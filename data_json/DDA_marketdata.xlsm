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pivotTables/pivotTable1.xml" ContentType="application/vnd.openxmlformats-officedocument.spreadsheetml.pivot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pivotTables/pivotTable2.xml" ContentType="application/vnd.openxmlformats-officedocument.spreadsheetml.pivotTable+xml"/>
  <Override PartName="/xl/tables/table4.xml" ContentType="application/vnd.openxmlformats-officedocument.spreadsheetml.table+xml"/>
  <Override PartName="/xl/comments6.xml" ContentType="application/vnd.openxmlformats-officedocument.spreadsheetml.comments+xml"/>
  <Override PartName="/xl/pivotTables/pivotTable3.xml" ContentType="application/vnd.openxmlformats-officedocument.spreadsheetml.pivotTable+xml"/>
  <Override PartName="/xl/tables/table5.xml" ContentType="application/vnd.openxmlformats-officedocument.spreadsheetml.table+xml"/>
  <Override PartName="/xl/comments7.xml" ContentType="application/vnd.openxmlformats-officedocument.spreadsheetml.comments+xml"/>
  <Override PartName="/xl/pivotTables/pivotTable4.xml" ContentType="application/vnd.openxmlformats-officedocument.spreadsheetml.pivotTable+xml"/>
  <Override PartName="/xl/tables/table6.xml" ContentType="application/vnd.openxmlformats-officedocument.spreadsheetml.table+xml"/>
  <Override PartName="/xl/comments8.xml" ContentType="application/vnd.openxmlformats-officedocument.spreadsheetml.comments+xml"/>
  <Override PartName="/xl/pivotTables/pivotTable5.xml" ContentType="application/vnd.openxmlformats-officedocument.spreadsheetml.pivotTable+xml"/>
  <Override PartName="/xl/tables/table7.xml" ContentType="application/vnd.openxmlformats-officedocument.spreadsheetml.table+xml"/>
  <Override PartName="/xl/comments9.xml" ContentType="application/vnd.openxmlformats-officedocument.spreadsheetml.comments+xml"/>
  <Override PartName="/xl/pivotTables/pivotTable6.xml" ContentType="application/vnd.openxmlformats-officedocument.spreadsheetml.pivotTable+xml"/>
  <Override PartName="/xl/tables/table8.xml" ContentType="application/vnd.openxmlformats-officedocument.spreadsheetml.table+xml"/>
  <Override PartName="/xl/comments10.xml" ContentType="application/vnd.openxmlformats-officedocument.spreadsheetml.comments+xml"/>
  <Override PartName="/xl/pivotTables/pivotTable7.xml" ContentType="application/vnd.openxmlformats-officedocument.spreadsheetml.pivotTable+xml"/>
  <Override PartName="/xl/tables/table9.xml" ContentType="application/vnd.openxmlformats-officedocument.spreadsheetml.table+xml"/>
  <Override PartName="/xl/comments11.xml" ContentType="application/vnd.openxmlformats-officedocument.spreadsheetml.comments+xml"/>
  <Override PartName="/xl/pivotTables/pivotTable8.xml" ContentType="application/vnd.openxmlformats-officedocument.spreadsheetml.pivotTable+xml"/>
  <Override PartName="/xl/tables/table10.xml" ContentType="application/vnd.openxmlformats-officedocument.spreadsheetml.table+xml"/>
  <Override PartName="/xl/comments12.xml" ContentType="application/vnd.openxmlformats-officedocument.spreadsheetml.comments+xml"/>
  <Override PartName="/xl/pivotTables/pivotTable9.xml" ContentType="application/vnd.openxmlformats-officedocument.spreadsheetml.pivotTable+xml"/>
  <Override PartName="/xl/tables/table11.xml" ContentType="application/vnd.openxmlformats-officedocument.spreadsheetml.table+xml"/>
  <Override PartName="/xl/comments13.xml" ContentType="application/vnd.openxmlformats-officedocument.spreadsheetml.comments+xml"/>
  <Override PartName="/xl/pivotTables/pivotTable10.xml" ContentType="application/vnd.openxmlformats-officedocument.spreadsheetml.pivotTable+xml"/>
  <Override PartName="/xl/tables/table12.xml" ContentType="application/vnd.openxmlformats-officedocument.spreadsheetml.table+xml"/>
  <Override PartName="/xl/comments14.xml" ContentType="application/vnd.openxmlformats-officedocument.spreadsheetml.comments+xml"/>
  <Override PartName="/xl/pivotTables/pivotTable11.xml" ContentType="application/vnd.openxmlformats-officedocument.spreadsheetml.pivotTable+xml"/>
  <Override PartName="/xl/tables/table13.xml" ContentType="application/vnd.openxmlformats-officedocument.spreadsheetml.table+xml"/>
  <Override PartName="/xl/comments15.xml" ContentType="application/vnd.openxmlformats-officedocument.spreadsheetml.comments+xml"/>
  <Override PartName="/xl/pivotTables/pivotTable12.xml" ContentType="application/vnd.openxmlformats-officedocument.spreadsheetml.pivotTable+xml"/>
  <Override PartName="/xl/tables/table14.xml" ContentType="application/vnd.openxmlformats-officedocument.spreadsheetml.table+xml"/>
  <Override PartName="/xl/comments16.xml" ContentType="application/vnd.openxmlformats-officedocument.spreadsheetml.comments+xml"/>
  <Override PartName="/xl/pivotTables/pivotTable13.xml" ContentType="application/vnd.openxmlformats-officedocument.spreadsheetml.pivotTable+xml"/>
  <Override PartName="/xl/tables/table15.xml" ContentType="application/vnd.openxmlformats-officedocument.spreadsheetml.table+xml"/>
  <Override PartName="/xl/comments17.xml" ContentType="application/vnd.openxmlformats-officedocument.spreadsheetml.comments+xml"/>
  <Override PartName="/xl/pivotTables/pivotTable14.xml" ContentType="application/vnd.openxmlformats-officedocument.spreadsheetml.pivotTable+xml"/>
  <Override PartName="/xl/tables/table16.xml" ContentType="application/vnd.openxmlformats-officedocument.spreadsheetml.table+xml"/>
  <Override PartName="/xl/comments18.xml" ContentType="application/vnd.openxmlformats-officedocument.spreadsheetml.comments+xml"/>
  <Override PartName="/xl/pivotTables/pivotTable15.xml" ContentType="application/vnd.openxmlformats-officedocument.spreadsheetml.pivotTable+xml"/>
  <Override PartName="/xl/tables/table17.xml" ContentType="application/vnd.openxmlformats-officedocument.spreadsheetml.table+xml"/>
  <Override PartName="/xl/comments19.xml" ContentType="application/vnd.openxmlformats-officedocument.spreadsheetml.comments+xml"/>
  <Override PartName="/xl/pivotTables/pivotTable16.xml" ContentType="application/vnd.openxmlformats-officedocument.spreadsheetml.pivotTable+xml"/>
  <Override PartName="/xl/tables/table18.xml" ContentType="application/vnd.openxmlformats-officedocument.spreadsheetml.table+xml"/>
  <Override PartName="/xl/comments20.xml" ContentType="application/vnd.openxmlformats-officedocument.spreadsheetml.comments+xml"/>
  <Override PartName="/xl/pivotTables/pivotTable17.xml" ContentType="application/vnd.openxmlformats-officedocument.spreadsheetml.pivotTable+xml"/>
  <Override PartName="/xl/tables/table19.xml" ContentType="application/vnd.openxmlformats-officedocument.spreadsheetml.table+xml"/>
  <Override PartName="/xl/comments21.xml" ContentType="application/vnd.openxmlformats-officedocument.spreadsheetml.comments+xml"/>
  <Override PartName="/xl/pivotTables/pivotTable18.xml" ContentType="application/vnd.openxmlformats-officedocument.spreadsheetml.pivotTable+xml"/>
  <Override PartName="/xl/tables/table20.xml" ContentType="application/vnd.openxmlformats-officedocument.spreadsheetml.table+xml"/>
  <Override PartName="/xl/comments22.xml" ContentType="application/vnd.openxmlformats-officedocument.spreadsheetml.comments+xml"/>
  <Override PartName="/xl/pivotTables/pivotTable19.xml" ContentType="application/vnd.openxmlformats-officedocument.spreadsheetml.pivotTable+xml"/>
  <Override PartName="/xl/tables/table21.xml" ContentType="application/vnd.openxmlformats-officedocument.spreadsheetml.table+xml"/>
  <Override PartName="/xl/comments23.xml" ContentType="application/vnd.openxmlformats-officedocument.spreadsheetml.comments+xml"/>
  <Override PartName="/xl/pivotTables/pivotTable20.xml" ContentType="application/vnd.openxmlformats-officedocument.spreadsheetml.pivotTable+xml"/>
  <Override PartName="/xl/tables/table22.xml" ContentType="application/vnd.openxmlformats-officedocument.spreadsheetml.table+xml"/>
  <Override PartName="/xl/comments24.xml" ContentType="application/vnd.openxmlformats-officedocument.spreadsheetml.comments+xml"/>
  <Override PartName="/xl/pivotTables/pivotTable21.xml" ContentType="application/vnd.openxmlformats-officedocument.spreadsheetml.pivotTable+xml"/>
  <Override PartName="/xl/tables/table23.xml" ContentType="application/vnd.openxmlformats-officedocument.spreadsheetml.table+xml"/>
  <Override PartName="/xl/comments25.xml" ContentType="application/vnd.openxmlformats-officedocument.spreadsheetml.comments+xml"/>
  <Override PartName="/xl/pivotTables/pivotTable22.xml" ContentType="application/vnd.openxmlformats-officedocument.spreadsheetml.pivotTable+xml"/>
  <Override PartName="/xl/tables/table24.xml" ContentType="application/vnd.openxmlformats-officedocument.spreadsheetml.table+xml"/>
  <Override PartName="/xl/comments26.xml" ContentType="application/vnd.openxmlformats-officedocument.spreadsheetml.comments+xml"/>
  <Override PartName="/xl/pivotTables/pivotTable23.xml" ContentType="application/vnd.openxmlformats-officedocument.spreadsheetml.pivotTable+xml"/>
  <Override PartName="/xl/tables/table25.xml" ContentType="application/vnd.openxmlformats-officedocument.spreadsheetml.table+xml"/>
  <Override PartName="/xl/comments27.xml" ContentType="application/vnd.openxmlformats-officedocument.spreadsheetml.comments+xml"/>
  <Override PartName="/xl/pivotTables/pivotTable24.xml" ContentType="application/vnd.openxmlformats-officedocument.spreadsheetml.pivotTable+xml"/>
  <Override PartName="/xl/tables/table26.xml" ContentType="application/vnd.openxmlformats-officedocument.spreadsheetml.table+xml"/>
  <Override PartName="/xl/comments2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hidePivotFieldList="1"/>
  <mc:AlternateContent xmlns:mc="http://schemas.openxmlformats.org/markup-compatibility/2006">
    <mc:Choice Requires="x15">
      <x15ac:absPath xmlns:x15ac="http://schemas.microsoft.com/office/spreadsheetml/2010/11/ac" url="\\eur.ad.hedani.net\home_ea$\M972991\Desktop\"/>
    </mc:Choice>
  </mc:AlternateContent>
  <xr:revisionPtr revIDLastSave="0" documentId="8_{A4A6A49F-4460-4113-833F-2D3A5B6726BA}" xr6:coauthVersionLast="47" xr6:coauthVersionMax="47" xr10:uidLastSave="{00000000-0000-0000-0000-000000000000}"/>
  <bookViews>
    <workbookView xWindow="-120" yWindow="-120" windowWidth="38640" windowHeight="21240" tabRatio="563" firstSheet="16" activeTab="19" xr2:uid="{00000000-000D-0000-FFFF-FFFF00000000}"/>
  </bookViews>
  <sheets>
    <sheet name="RACI Tasks" sheetId="18" state="hidden" r:id="rId1"/>
    <sheet name="EDOAlgo" sheetId="21" state="hidden" r:id="rId2"/>
    <sheet name="SettingsMtx" sheetId="20" state="hidden" r:id="rId3"/>
    <sheet name="Lookups2" sheetId="19" r:id="rId4"/>
    <sheet name="AllDatasets" sheetId="22" r:id="rId5"/>
    <sheet name="Summary" sheetId="23" r:id="rId6"/>
    <sheet name="Tempset" sheetId="15" state="hidden" r:id="rId7"/>
    <sheet name="0.Audit" sheetId="16" r:id="rId8"/>
    <sheet name="1.Data Source" sheetId="1" r:id="rId9"/>
    <sheet name="2.Approvals" sheetId="9" r:id="rId10"/>
    <sheet name="3.Contacts" sheetId="5" r:id="rId11"/>
    <sheet name="4.Interface" sheetId="14" r:id="rId12"/>
    <sheet name="5.Technical" sheetId="11" r:id="rId13"/>
    <sheet name="Dataset 1 fx_schredder" sheetId="24" r:id="rId14"/>
    <sheet name="Dataset 2 vix_prices" sheetId="25" r:id="rId15"/>
    <sheet name="Dataset 3 fx_rates_usd" sheetId="26" r:id="rId16"/>
    <sheet name="Dataset 4 vix_prices_archive" sheetId="27" r:id="rId17"/>
    <sheet name="Dataset 5 traded_loan_price" sheetId="28" r:id="rId18"/>
    <sheet name="Dataset 6 market_cds_price" sheetId="29" r:id="rId19"/>
    <sheet name="Dataset 7 trader_cds_price" sheetId="30" r:id="rId20"/>
    <sheet name="Dataset 8 eq_rt_pr" sheetId="31" r:id="rId21"/>
    <sheet name="Dataset 9 market_index_price" sheetId="32" r:id="rId22"/>
    <sheet name="Dataset 10 eq_rt_pr_adj_factor" sheetId="33" r:id="rId23"/>
    <sheet name="Dataset 11 reference_entity" sheetId="34" r:id="rId24"/>
    <sheet name="Dataset 12 debt_bb_pr" sheetId="35" r:id="rId25"/>
    <sheet name="Dataset 13 entity_csid" sheetId="36" r:id="rId26"/>
    <sheet name="Dataset 14 fx_zur" sheetId="37" r:id="rId27"/>
    <sheet name="Dataset 15 trader" sheetId="38" r:id="rId28"/>
    <sheet name="Dataset 16 fbtrader" sheetId="39" r:id="rId29"/>
    <sheet name="Dataset 17 contoption" sheetId="40" r:id="rId30"/>
    <sheet name="Dataset 18 index_bb_pr" sheetId="41" r:id="rId31"/>
    <sheet name="Dataset 19 ma_cr_idx_pr" sheetId="42" r:id="rId32"/>
    <sheet name="Dataset 20 commod_bb_pr" sheetId="43" r:id="rId33"/>
    <sheet name="Dataset 21 cmtfix" sheetId="44" r:id="rId34"/>
    <sheet name="Dataset 22 fx_rates_udi_xp_xa" sheetId="45" r:id="rId35"/>
    <sheet name="Dataset 23 fx_rates_historical" sheetId="46" r:id="rId36"/>
  </sheets>
  <functionGroups builtInGroupCount="19"/>
  <externalReferences>
    <externalReference r:id="rId37"/>
    <externalReference r:id="rId38"/>
  </externalReferences>
  <definedNames>
    <definedName name="_xlnm._FilterDatabase" localSheetId="11" hidden="1">'4.Interface'!$D$5:$E$37</definedName>
    <definedName name="ADDRESS" localSheetId="3">Lookups2!$BA$3:$BA$86</definedName>
    <definedName name="ADDRESS">EDOAlgo!$A$2:$A$15</definedName>
    <definedName name="Agreement">Lookups2!$AI$3:$AI$5</definedName>
    <definedName name="APAC_Countries">Lookups2!$AU$14:$AU$20</definedName>
    <definedName name="Asia_Pacific">Lookups2!$AS$14:$AS$20</definedName>
    <definedName name="Banking_Product">Lookups2!$AI$6:$AI$11</definedName>
    <definedName name="BLOB">EDOAlgo!$I$2</definedName>
    <definedName name="Business_Transactions">Lookups2!$AI$12:$AI$24</definedName>
    <definedName name="Calendar__Time">Lookups2!$AI$25</definedName>
    <definedName name="Capital_Measures">Lookups2!$AI$26:$AI$27</definedName>
    <definedName name="CDUAlgo">EDOAlgo!$S$2</definedName>
    <definedName name="Chief_Operating_Officer_Function">Lookups2!$AS$42:$AS$44</definedName>
    <definedName name="Collateral_Agreement">Lookups2!$BA$14</definedName>
    <definedName name="COO_Countries">Lookups2!$AU$42:$AU$44</definedName>
    <definedName name="Corporate___Other_Transactions">Lookups2!$AI$28</definedName>
    <definedName name="Corporate__Other_Transactions">Lookups2!$AI$28</definedName>
    <definedName name="CREDIT_CARD">EDOAlgo!$C$2</definedName>
    <definedName name="Credit_Risk">Lookups2!$AI$29:$AI$31</definedName>
    <definedName name="Credit_Suisse_AG_Branches">Lookups2!$AS$45:$AS$67</definedName>
    <definedName name="Credit_Suisse_Services_AG">Lookups2!$AS$68:$AS$73</definedName>
    <definedName name="Credit_Suisse_Trust_AG">Lookups2!$AS$74:$AS$90</definedName>
    <definedName name="CRO_ALGOS">EDOAlgo!$Q$2:$Q$5</definedName>
    <definedName name="CS_COMPANY">EDOAlgo!$K$2:$K$3</definedName>
    <definedName name="CS_Corporate_Data">Lookups2!$AI$32:$AI$39</definedName>
    <definedName name="CS_Services_Countries">Lookups2!$AU$68:$AU$73</definedName>
    <definedName name="CSAG_Countries">Lookups2!$AU$45:$AU$67</definedName>
    <definedName name="CUS_RAPPORT">EDOAlgo!$L$2:$L$6</definedName>
    <definedName name="DATE">EDOAlgo!$D$2:$D$6</definedName>
    <definedName name="DERIVED">EDOAlgo!$H$2</definedName>
    <definedName name="Disclosures">Lookups2!$AI$40</definedName>
    <definedName name="DropDownList" localSheetId="5">[1]Lookups2!$AZ$3:INDEX([1]Lookups2!$AZ$3:$AZ$1165,MAX([1]Lookups2!$AY$3:$AY$1165),1)</definedName>
    <definedName name="DropDownList">Lookups2!$AZ$3:INDEX(Lookups2!$AZ$3:$AZ$1165,MAX(Lookups2!$AY$3:$AY$1165),1)</definedName>
    <definedName name="DTD_ALGOS">EDOAlgo!$P$2:$P$4</definedName>
    <definedName name="DVSZ_CREDIT_CARD">EDOAlgo!$Y$2:$Y$14</definedName>
    <definedName name="DVSZ_IBAN_NOS">EDOAlgo!$X$2:$X$12</definedName>
    <definedName name="DVSZ_SYNTHETIC_DATA">EDOAlgo!$W$2:$W$20</definedName>
    <definedName name="EDOAlgo__A_2__A_15">Lookups2!$BA$3:$BA$86</definedName>
    <definedName name="EMAIL">EDOAlgo!$M$2:$M$4</definedName>
    <definedName name="England_and_Wales_United_Kingdome">Lookups2!$AS$3:$AS$4</definedName>
    <definedName name="Enterprise_Risk">Lookups2!$AI$41:$AI$47</definedName>
    <definedName name="Financial_Instrument">Lookups2!$AI$48:$AI$56</definedName>
    <definedName name="Geographical">Lookups2!$AI$57</definedName>
    <definedName name="GLOBAL" localSheetId="13">Lookups2!#REF!</definedName>
    <definedName name="GLOBAL" localSheetId="22">Lookups2!#REF!</definedName>
    <definedName name="GLOBAL" localSheetId="23">Lookups2!#REF!</definedName>
    <definedName name="GLOBAL" localSheetId="24">Lookups2!#REF!</definedName>
    <definedName name="GLOBAL" localSheetId="25">Lookups2!#REF!</definedName>
    <definedName name="GLOBAL" localSheetId="26">Lookups2!#REF!</definedName>
    <definedName name="GLOBAL" localSheetId="27">Lookups2!#REF!</definedName>
    <definedName name="GLOBAL" localSheetId="28">Lookups2!#REF!</definedName>
    <definedName name="GLOBAL" localSheetId="29">Lookups2!#REF!</definedName>
    <definedName name="GLOBAL" localSheetId="30">Lookups2!#REF!</definedName>
    <definedName name="GLOBAL" localSheetId="31">Lookups2!#REF!</definedName>
    <definedName name="GLOBAL" localSheetId="14">Lookups2!#REF!</definedName>
    <definedName name="GLOBAL" localSheetId="32">Lookups2!#REF!</definedName>
    <definedName name="GLOBAL" localSheetId="33">Lookups2!#REF!</definedName>
    <definedName name="GLOBAL" localSheetId="34">Lookups2!#REF!</definedName>
    <definedName name="GLOBAL" localSheetId="35">Lookups2!#REF!</definedName>
    <definedName name="GLOBAL" localSheetId="15">Lookups2!#REF!</definedName>
    <definedName name="GLOBAL" localSheetId="16">Lookups2!#REF!</definedName>
    <definedName name="GLOBAL" localSheetId="17">Lookups2!#REF!</definedName>
    <definedName name="GLOBAL" localSheetId="18">Lookups2!#REF!</definedName>
    <definedName name="GLOBAL" localSheetId="19">Lookups2!#REF!</definedName>
    <definedName name="GLOBAL" localSheetId="20">Lookups2!#REF!</definedName>
    <definedName name="GLOBAL" localSheetId="21">Lookups2!#REF!</definedName>
    <definedName name="GLOBAL" localSheetId="5">[1]Lookups2!#REF!</definedName>
    <definedName name="GLOBAL">Lookups2!#REF!</definedName>
    <definedName name="IB_Countries">Lookups2!$AU$3:$AU$13</definedName>
    <definedName name="IDENTIFICATION">EDOAlgo!$F$2:$F$10</definedName>
    <definedName name="Industry_Sector_Classification">Lookups2!$AI$58</definedName>
    <definedName name="International_Wealth_Management">Lookups2!$AS$21:$AS$34</definedName>
    <definedName name="INTL_ADDRESS">EDOAlgo!$O$2:$O$9</definedName>
    <definedName name="Investment_Bank">Lookups2!$AS$3:$AS$13</definedName>
    <definedName name="IWM_Countries">Lookups2!$AU$21:$AU$34</definedName>
    <definedName name="KEY">EDOAlgo!$E$2:$E$9</definedName>
    <definedName name="LApprovalStatus" localSheetId="2">SettingsMtx!#REF!</definedName>
    <definedName name="LApprovalStatus" localSheetId="5">[1]Lookups2!$C$15:$C$17</definedName>
    <definedName name="LApprovalStatus">Lookups2!$C$15:$C$17</definedName>
    <definedName name="LApprovalTypes" localSheetId="2">SettingsMtx!#REF!</definedName>
    <definedName name="LApprovalTypes">Lookups2!$C$22:$C$25</definedName>
    <definedName name="LAttType">Lookups2!$Q$3:$Q$5</definedName>
    <definedName name="LAutomations" localSheetId="2">SettingsMtx!#REF!</definedName>
    <definedName name="LAutomations">Lookups2!$E$33:$E$36</definedName>
    <definedName name="LCals" localSheetId="2">SettingsMtx!#REF!</definedName>
    <definedName name="LCals" localSheetId="5">[1]Lookups2!$G$13:$G$21</definedName>
    <definedName name="LCals">Lookups2!$G$13:$G$21</definedName>
    <definedName name="LCIDs" localSheetId="2">SettingsMtx!#REF!</definedName>
    <definedName name="LCIDs">Lookups2!$C$8:$C$11</definedName>
    <definedName name="LContactGroups" localSheetId="2">SettingsMtx!#REF!</definedName>
    <definedName name="LContactGroups">Lookups2!$M$3:$O$26</definedName>
    <definedName name="LDistributions" localSheetId="2">SettingsMtx!#REF!</definedName>
    <definedName name="LDistributions">Lookups2!$E$3:$E$10</definedName>
    <definedName name="LDivisions" localSheetId="2">SettingsMtx!#REF!</definedName>
    <definedName name="LDivisions">Lookups2!$I$3:$I$8</definedName>
    <definedName name="LDSRoles" localSheetId="2">SettingsMtx!#REF!</definedName>
    <definedName name="LDSRoles">Lookups2!$K$3:$K$4</definedName>
    <definedName name="LEDOAlgos">EDOAlgo!$A$1:$Z$1</definedName>
    <definedName name="LEnvSource">Lookups2!$E$47:$E$49</definedName>
    <definedName name="LIngestFormat">Lookups2!$AC$2:$AC$3</definedName>
    <definedName name="LInterfaceTypes" localSheetId="2">SettingsMtx!#REF!</definedName>
    <definedName name="LInterfaceTypes">Lookups2!$E$14:$E$27</definedName>
    <definedName name="LOAN_IQ_ALGOCLASS">EDOAlgo!$T$2:$T$3</definedName>
    <definedName name="LookupContactGroups">Lookups2!$M$3:$O$26</definedName>
    <definedName name="LookupProjects" localSheetId="2">#REF!</definedName>
    <definedName name="LookupProjects">Lookups2!$A$3:$A$19</definedName>
    <definedName name="LookupRACITasks">'RACI Tasks'!$C$2:$C$7</definedName>
    <definedName name="LPeriods" localSheetId="2">SettingsMtx!#REF!</definedName>
    <definedName name="LPeriods" localSheetId="5">[1]Lookups2!$G$3:$G$8</definedName>
    <definedName name="LPeriods">Lookups2!$G$3:$G$8</definedName>
    <definedName name="LProjects" localSheetId="2">SettingsMtx!#REF!</definedName>
    <definedName name="LProjects">Lookups2!$A$3:$A$19</definedName>
    <definedName name="LRACI" localSheetId="5">[1]Lookups2!$G$26:$G$29</definedName>
    <definedName name="LRACI">Lookups2!$G$26:$G$29</definedName>
    <definedName name="LRegions" localSheetId="2">SettingsMtx!#REF!</definedName>
    <definedName name="LRegions">Lookups2!$I$15:$I$18</definedName>
    <definedName name="LRegs" localSheetId="2">SettingsMtx!#REF!</definedName>
    <definedName name="LRegs">Lookups2!$E$40:$E$43</definedName>
    <definedName name="LSenCategory">Lookups2!$K$11:$K$23</definedName>
    <definedName name="LSenClass">Lookups2!$K$29:$K$46</definedName>
    <definedName name="LSetInterfaceLookup">SettingsMtx!$D$1:$Q$1</definedName>
    <definedName name="LSetMatrix">SettingsMtx!$D$2:$Q$27</definedName>
    <definedName name="LYesNo" localSheetId="2">SettingsMtx!#REF!</definedName>
    <definedName name="LYesNo" localSheetId="5">[1]Lookups2!$C$3:$C$4</definedName>
    <definedName name="LYesNo">Lookups2!$C$3:$C$4</definedName>
    <definedName name="Mappings_and_Configurations">Lookups2!$AI$59</definedName>
    <definedName name="Market_Data">Lookups2!$AI$60:$AI$65</definedName>
    <definedName name="Market_Risk">Lookups2!$AI$66:$AI$75</definedName>
    <definedName name="NEMO_ALGOCLASS">EDOAlgo!$U$2:$U$3</definedName>
    <definedName name="Operational_Risk">Lookups2!$AI$76:$AI$80</definedName>
    <definedName name="OTHER" localSheetId="13">Lookups2!#REF!</definedName>
    <definedName name="OTHER" localSheetId="22">Lookups2!#REF!</definedName>
    <definedName name="OTHER" localSheetId="23">Lookups2!#REF!</definedName>
    <definedName name="OTHER" localSheetId="24">Lookups2!#REF!</definedName>
    <definedName name="OTHER" localSheetId="25">Lookups2!#REF!</definedName>
    <definedName name="OTHER" localSheetId="26">Lookups2!#REF!</definedName>
    <definedName name="OTHER" localSheetId="27">Lookups2!#REF!</definedName>
    <definedName name="OTHER" localSheetId="28">Lookups2!#REF!</definedName>
    <definedName name="OTHER" localSheetId="29">Lookups2!#REF!</definedName>
    <definedName name="OTHER" localSheetId="30">Lookups2!#REF!</definedName>
    <definedName name="OTHER" localSheetId="31">Lookups2!#REF!</definedName>
    <definedName name="OTHER" localSheetId="14">Lookups2!#REF!</definedName>
    <definedName name="OTHER" localSheetId="32">Lookups2!#REF!</definedName>
    <definedName name="OTHER" localSheetId="33">Lookups2!#REF!</definedName>
    <definedName name="OTHER" localSheetId="34">Lookups2!#REF!</definedName>
    <definedName name="OTHER" localSheetId="35">Lookups2!#REF!</definedName>
    <definedName name="OTHER" localSheetId="15">Lookups2!#REF!</definedName>
    <definedName name="OTHER" localSheetId="16">Lookups2!#REF!</definedName>
    <definedName name="OTHER" localSheetId="17">Lookups2!#REF!</definedName>
    <definedName name="OTHER" localSheetId="18">Lookups2!#REF!</definedName>
    <definedName name="OTHER" localSheetId="19">Lookups2!#REF!</definedName>
    <definedName name="OTHER" localSheetId="20">Lookups2!#REF!</definedName>
    <definedName name="OTHER" localSheetId="21">Lookups2!#REF!</definedName>
    <definedName name="OTHER" localSheetId="5">[1]Lookups2!#REF!</definedName>
    <definedName name="OTHER">Lookups2!#REF!</definedName>
    <definedName name="Party">Lookups2!$AI$81:$AI$82</definedName>
    <definedName name="PCals" localSheetId="2">SettingsMtx!#REF!</definedName>
    <definedName name="PCals">Lookups2!$BA$72</definedName>
    <definedName name="Positions">Lookups2!$AI$83</definedName>
    <definedName name="PRISM">EDOAlgo!$R$2</definedName>
    <definedName name="RANDOM">EDOAlgo!$G$2:$G$7</definedName>
    <definedName name="Rating_and_Watchlist">Lookups2!$AI$84:$AI$85</definedName>
    <definedName name="REGEX_ALGO_CLASS">EDOAlgo!$V$2:$V$7</definedName>
    <definedName name="Regulatory___Tax">Lookups2!$AI$86</definedName>
    <definedName name="Regulatory__Tax">Lookups2!$AI$86</definedName>
    <definedName name="Research_and_Recommendation">Lookups2!$AI$87</definedName>
    <definedName name="Risk___Trading_Limits">Lookups2!$AI$88</definedName>
    <definedName name="Risk__Trading_Limits">Lookups2!$AI$88</definedName>
    <definedName name="SHUFFLE">EDOAlgo!$J$2:$J$4</definedName>
    <definedName name="SUB_Countries">Lookups2!$AU$35:$AU$41</definedName>
    <definedName name="SUBSTITUTION">EDOAlgo!$B$2:$B$6</definedName>
    <definedName name="Support_Transactions">Lookups2!$AI$89:$AI$93</definedName>
    <definedName name="Swiss_Universal_Bank">Lookups2!$AS$35:$AS$41</definedName>
    <definedName name="Trust_Countries">Lookups2!$AU$74:$AU$90</definedName>
    <definedName name="Valuation_and_Risk_Models">Lookups2!$AI$94</definedName>
    <definedName name="Valuations_and_P_L">Lookups2!$AI$100</definedName>
    <definedName name="Valuations_and_PL">Lookups2!$AI$95:$AI$100</definedName>
    <definedName name="XML_ALGO_CLASS">EDOAlgo!$Z$2:$Z$7</definedName>
  </definedNames>
  <calcPr calcId="191029"/>
  <pivotCaches>
    <pivotCache cacheId="4" r:id="rId39"/>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46" l="1"/>
  <c r="M12" i="46"/>
  <c r="M10" i="46"/>
  <c r="M5" i="46"/>
  <c r="A1" i="46"/>
  <c r="B19" i="45"/>
  <c r="M12" i="45"/>
  <c r="M10" i="45"/>
  <c r="M5" i="45"/>
  <c r="A1" i="45"/>
  <c r="B50" i="44" l="1"/>
  <c r="M11" i="44"/>
  <c r="M12" i="44"/>
  <c r="M13" i="44"/>
  <c r="B19" i="44"/>
  <c r="M10" i="44"/>
  <c r="M5" i="44"/>
  <c r="A1" i="44"/>
  <c r="B50" i="43"/>
  <c r="M11" i="43"/>
  <c r="M12" i="43"/>
  <c r="B19" i="43"/>
  <c r="M10" i="43"/>
  <c r="M5" i="43"/>
  <c r="A1" i="43"/>
  <c r="B50" i="42"/>
  <c r="M11" i="42"/>
  <c r="M12" i="42"/>
  <c r="M13" i="42"/>
  <c r="M14" i="42"/>
  <c r="M15" i="42"/>
  <c r="M16" i="42"/>
  <c r="M17" i="42"/>
  <c r="M18" i="42"/>
  <c r="M19" i="42"/>
  <c r="M20" i="42"/>
  <c r="M21" i="42"/>
  <c r="M22" i="42"/>
  <c r="M23" i="42"/>
  <c r="M24" i="42"/>
  <c r="M25" i="42"/>
  <c r="M26" i="42"/>
  <c r="M27" i="42"/>
  <c r="M28" i="42"/>
  <c r="M29" i="42"/>
  <c r="M30" i="42"/>
  <c r="M31" i="42"/>
  <c r="B19" i="42"/>
  <c r="M10" i="42"/>
  <c r="M5" i="42"/>
  <c r="A1" i="42"/>
  <c r="B50" i="41"/>
  <c r="M11" i="41"/>
  <c r="M12" i="41"/>
  <c r="B19" i="41"/>
  <c r="M10" i="41"/>
  <c r="M5" i="41"/>
  <c r="A1" i="41"/>
  <c r="B50" i="40"/>
  <c r="B50" i="39"/>
  <c r="B50" i="38"/>
  <c r="M11" i="40"/>
  <c r="M12" i="40"/>
  <c r="M13" i="40"/>
  <c r="M14" i="40"/>
  <c r="M15" i="40"/>
  <c r="M16" i="40"/>
  <c r="M17" i="40"/>
  <c r="M18" i="40"/>
  <c r="M19" i="40"/>
  <c r="M20" i="40"/>
  <c r="M21" i="40"/>
  <c r="M22" i="40"/>
  <c r="M23" i="40"/>
  <c r="M24" i="40"/>
  <c r="M25" i="40"/>
  <c r="M26" i="40"/>
  <c r="M27" i="40"/>
  <c r="M28" i="40"/>
  <c r="M29" i="40"/>
  <c r="M30" i="40"/>
  <c r="M31" i="40"/>
  <c r="M32" i="40"/>
  <c r="M33" i="40"/>
  <c r="M34" i="40"/>
  <c r="M35" i="40"/>
  <c r="M36" i="40"/>
  <c r="M37" i="40"/>
  <c r="M38" i="40"/>
  <c r="M39" i="40"/>
  <c r="M40" i="40"/>
  <c r="M41" i="40"/>
  <c r="M42" i="40"/>
  <c r="M43" i="40"/>
  <c r="M44" i="40"/>
  <c r="M45" i="40"/>
  <c r="M46" i="40"/>
  <c r="M47" i="40"/>
  <c r="M48" i="40"/>
  <c r="M49" i="40"/>
  <c r="M50" i="40"/>
  <c r="M51" i="40"/>
  <c r="M52" i="40"/>
  <c r="M53" i="40"/>
  <c r="M54" i="40"/>
  <c r="M55" i="40"/>
  <c r="M56" i="40"/>
  <c r="M57" i="40"/>
  <c r="M58" i="40"/>
  <c r="M59" i="40"/>
  <c r="M60" i="40"/>
  <c r="M61" i="40"/>
  <c r="M62" i="40"/>
  <c r="M63" i="40"/>
  <c r="M64" i="40"/>
  <c r="M65" i="40"/>
  <c r="M66" i="40"/>
  <c r="M67" i="40"/>
  <c r="M68" i="40"/>
  <c r="M69" i="40"/>
  <c r="M70" i="40"/>
  <c r="B19" i="40"/>
  <c r="M10" i="40"/>
  <c r="M5" i="40"/>
  <c r="A1" i="40"/>
  <c r="M11" i="39"/>
  <c r="M10" i="39"/>
  <c r="B19" i="39"/>
  <c r="M5" i="39"/>
  <c r="A1" i="39"/>
  <c r="M11" i="38"/>
  <c r="M10" i="38"/>
  <c r="M5" i="38"/>
  <c r="A1" i="38"/>
  <c r="A1" i="31"/>
  <c r="B50" i="36"/>
  <c r="B50" i="37"/>
  <c r="M11" i="37"/>
  <c r="M12" i="37"/>
  <c r="M13" i="37"/>
  <c r="M14" i="37"/>
  <c r="M15" i="37"/>
  <c r="B19" i="37"/>
  <c r="M10" i="37"/>
  <c r="M5" i="37"/>
  <c r="A1" i="37"/>
  <c r="M11" i="36"/>
  <c r="M12" i="36"/>
  <c r="M13" i="36"/>
  <c r="M14" i="36"/>
  <c r="M15" i="36"/>
  <c r="M16" i="36"/>
  <c r="M17" i="36"/>
  <c r="M18" i="36"/>
  <c r="B19" i="36"/>
  <c r="M10" i="36"/>
  <c r="M5" i="36"/>
  <c r="A1" i="36"/>
  <c r="M11" i="35"/>
  <c r="M12" i="35"/>
  <c r="M13" i="35"/>
  <c r="M14" i="35"/>
  <c r="M15" i="35"/>
  <c r="M16" i="35"/>
  <c r="M17" i="35"/>
  <c r="M18" i="35"/>
  <c r="M19" i="35"/>
  <c r="M20" i="35"/>
  <c r="M21" i="35"/>
  <c r="M22" i="35"/>
  <c r="M23" i="35"/>
  <c r="M24" i="35"/>
  <c r="M25" i="35"/>
  <c r="M26" i="35"/>
  <c r="M27" i="35"/>
  <c r="M28" i="35"/>
  <c r="M29" i="35"/>
  <c r="M30" i="35"/>
  <c r="M31" i="35"/>
  <c r="M32" i="35"/>
  <c r="M33" i="35"/>
  <c r="B19" i="35"/>
  <c r="M10" i="35"/>
  <c r="M5" i="35"/>
  <c r="A1" i="35"/>
  <c r="M11" i="34"/>
  <c r="M12" i="34"/>
  <c r="M13" i="34"/>
  <c r="M14" i="34"/>
  <c r="M15" i="34"/>
  <c r="M16" i="34"/>
  <c r="M17" i="34"/>
  <c r="M18" i="34"/>
  <c r="M19" i="34"/>
  <c r="M20" i="34"/>
  <c r="B19" i="34"/>
  <c r="M10" i="34"/>
  <c r="M5" i="34"/>
  <c r="A1" i="34"/>
  <c r="M11" i="33"/>
  <c r="M12" i="33"/>
  <c r="M13" i="33"/>
  <c r="M14" i="33"/>
  <c r="M15" i="33"/>
  <c r="M16" i="33"/>
  <c r="M17" i="33"/>
  <c r="B19" i="33"/>
  <c r="M10" i="33"/>
  <c r="M5" i="33"/>
  <c r="A1" i="33"/>
  <c r="M11" i="32"/>
  <c r="M12" i="32"/>
  <c r="M13" i="32"/>
  <c r="M14" i="32"/>
  <c r="M15" i="32"/>
  <c r="M16" i="32"/>
  <c r="M17" i="32"/>
  <c r="M18" i="32"/>
  <c r="M19" i="32"/>
  <c r="M20" i="32"/>
  <c r="M21" i="32"/>
  <c r="M22" i="32"/>
  <c r="M23" i="32"/>
  <c r="M24" i="32"/>
  <c r="M25" i="32"/>
  <c r="M26" i="32"/>
  <c r="M27" i="32"/>
  <c r="M28" i="32"/>
  <c r="M29" i="32"/>
  <c r="M30" i="32"/>
  <c r="M31" i="32"/>
  <c r="M32" i="32"/>
  <c r="M33" i="32"/>
  <c r="B19" i="32"/>
  <c r="M10" i="32"/>
  <c r="M5" i="32"/>
  <c r="A1" i="32"/>
  <c r="M11" i="31"/>
  <c r="M12" i="31"/>
  <c r="M13" i="31"/>
  <c r="M14" i="31"/>
  <c r="M15" i="31"/>
  <c r="M16" i="31"/>
  <c r="M17" i="31"/>
  <c r="M18" i="31"/>
  <c r="M19" i="31"/>
  <c r="M20" i="31"/>
  <c r="M21" i="31"/>
  <c r="M22" i="31"/>
  <c r="M23" i="31"/>
  <c r="B19" i="31"/>
  <c r="M10" i="31"/>
  <c r="M5" i="31"/>
  <c r="M11" i="30"/>
  <c r="M12" i="30"/>
  <c r="M13" i="30"/>
  <c r="M14" i="30"/>
  <c r="M15" i="30"/>
  <c r="M16" i="30"/>
  <c r="M17" i="30"/>
  <c r="M18" i="30"/>
  <c r="M19" i="30"/>
  <c r="M20" i="30"/>
  <c r="M21" i="30"/>
  <c r="M22" i="30"/>
  <c r="M23" i="30"/>
  <c r="M24" i="30"/>
  <c r="M25" i="30"/>
  <c r="M26" i="30"/>
  <c r="M27" i="30"/>
  <c r="M28" i="30"/>
  <c r="M29" i="30"/>
  <c r="M30" i="30"/>
  <c r="M31" i="30"/>
  <c r="B19" i="30"/>
  <c r="M10" i="30"/>
  <c r="M5" i="30"/>
  <c r="A1" i="30"/>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B19" i="29"/>
  <c r="M10" i="29"/>
  <c r="M5" i="29"/>
  <c r="A1" i="29"/>
  <c r="M11" i="28"/>
  <c r="M12" i="28"/>
  <c r="M13" i="28"/>
  <c r="M14" i="28"/>
  <c r="M15" i="28"/>
  <c r="B19" i="28"/>
  <c r="M10" i="28"/>
  <c r="M5" i="28"/>
  <c r="A1" i="28"/>
  <c r="M11" i="27"/>
  <c r="M12" i="27"/>
  <c r="M13" i="27"/>
  <c r="M14" i="27"/>
  <c r="B19" i="27"/>
  <c r="M10" i="27"/>
  <c r="M5" i="27"/>
  <c r="A1" i="27"/>
  <c r="M12" i="26"/>
  <c r="B19" i="26"/>
  <c r="M10" i="26"/>
  <c r="M5" i="26"/>
  <c r="A1" i="26"/>
  <c r="M11" i="25"/>
  <c r="M12" i="25"/>
  <c r="M13" i="25"/>
  <c r="M14" i="25"/>
  <c r="B50" i="25"/>
  <c r="B19" i="25"/>
  <c r="M10" i="25"/>
  <c r="M5" i="25"/>
  <c r="A1" i="25"/>
  <c r="M11" i="24"/>
  <c r="M12" i="24"/>
  <c r="B19" i="24"/>
  <c r="M10" i="24"/>
  <c r="M5" i="24"/>
  <c r="A1" i="24"/>
  <c r="B31" i="14"/>
  <c r="B32" i="14"/>
  <c r="M5" i="15"/>
  <c r="B19" i="15"/>
  <c r="O14" i="1" a="1"/>
  <c r="O14" i="1" s="1"/>
  <c r="O15" i="1" a="1"/>
  <c r="O15" i="1" s="1"/>
  <c r="O16" i="1" a="1"/>
  <c r="O16" i="1"/>
  <c r="O17" i="1" a="1"/>
  <c r="O17" i="1" s="1"/>
  <c r="O18" i="1" a="1"/>
  <c r="O18" i="1"/>
  <c r="O19" i="1" a="1"/>
  <c r="O19" i="1" s="1"/>
  <c r="O20" i="1" a="1"/>
  <c r="O20" i="1" s="1"/>
  <c r="O21" i="1" a="1"/>
  <c r="O21" i="1" s="1"/>
  <c r="O22" i="1" a="1"/>
  <c r="O22" i="1" s="1"/>
  <c r="O23" i="1" a="1"/>
  <c r="O23" i="1" s="1"/>
  <c r="O24" i="1" a="1"/>
  <c r="O24" i="1"/>
  <c r="O25" i="1" a="1"/>
  <c r="O25" i="1" s="1"/>
  <c r="O26" i="1" a="1"/>
  <c r="O26" i="1"/>
  <c r="O27" i="1" a="1"/>
  <c r="O27" i="1" s="1"/>
  <c r="O28" i="1" a="1"/>
  <c r="O28" i="1" s="1"/>
  <c r="O29" i="1" a="1"/>
  <c r="O29" i="1" s="1"/>
  <c r="O30" i="1" a="1"/>
  <c r="O30" i="1" s="1"/>
  <c r="O31" i="1" a="1"/>
  <c r="O31" i="1" s="1"/>
  <c r="O32" i="1" a="1"/>
  <c r="O32" i="1"/>
  <c r="O33" i="1" a="1"/>
  <c r="O33" i="1" s="1"/>
  <c r="O34" i="1" a="1"/>
  <c r="O34" i="1"/>
  <c r="O35" i="1" a="1"/>
  <c r="O35" i="1" s="1"/>
  <c r="O36" i="1" a="1"/>
  <c r="O36" i="1" s="1"/>
  <c r="O37" i="1" a="1"/>
  <c r="O37" i="1" s="1"/>
  <c r="O38" i="1" a="1"/>
  <c r="O38" i="1"/>
  <c r="O39" i="1" a="1"/>
  <c r="O39" i="1" s="1"/>
  <c r="O40" i="1" a="1"/>
  <c r="O40" i="1" s="1"/>
  <c r="O41" i="1" a="1"/>
  <c r="O41" i="1" s="1"/>
  <c r="O42" i="1" a="1"/>
  <c r="O42" i="1"/>
  <c r="O43" i="1" a="1"/>
  <c r="O43" i="1" s="1"/>
  <c r="O44" i="1" a="1"/>
  <c r="O44" i="1" s="1"/>
  <c r="O45" i="1" a="1"/>
  <c r="O45" i="1" s="1"/>
  <c r="AU89" i="19"/>
  <c r="AU72" i="19"/>
  <c r="AU66" i="19"/>
  <c r="AU33" i="19"/>
  <c r="AU19" i="19"/>
  <c r="AU12" i="19"/>
  <c r="M10" i="15"/>
  <c r="AX276" i="19"/>
  <c r="AX3" i="19"/>
  <c r="AX4" i="19"/>
  <c r="AX5" i="19"/>
  <c r="AX6" i="19"/>
  <c r="AX7" i="19"/>
  <c r="AX8" i="19"/>
  <c r="AX9" i="19"/>
  <c r="AX10" i="19"/>
  <c r="AX11" i="19"/>
  <c r="AX12" i="19"/>
  <c r="AX13" i="19"/>
  <c r="AX14" i="19"/>
  <c r="AX15" i="19"/>
  <c r="AX16" i="19"/>
  <c r="AX17" i="19"/>
  <c r="AX18" i="19"/>
  <c r="AX19" i="19"/>
  <c r="AX20" i="19"/>
  <c r="AX21" i="19"/>
  <c r="AX22" i="19"/>
  <c r="AX23" i="19"/>
  <c r="AX24" i="19"/>
  <c r="AX25" i="19"/>
  <c r="AX26" i="19"/>
  <c r="AX27" i="19"/>
  <c r="AX28" i="19"/>
  <c r="AX29" i="19"/>
  <c r="AX30" i="19"/>
  <c r="AX31" i="19"/>
  <c r="AX32" i="19"/>
  <c r="AX33" i="19"/>
  <c r="AX34" i="19"/>
  <c r="AX35" i="19"/>
  <c r="AX36" i="19"/>
  <c r="AX37" i="19"/>
  <c r="AX38" i="19"/>
  <c r="AX39" i="19"/>
  <c r="AX40" i="19"/>
  <c r="AX41" i="19"/>
  <c r="AX42" i="19"/>
  <c r="AX43" i="19"/>
  <c r="AX44" i="19"/>
  <c r="AX45" i="19"/>
  <c r="AX46" i="19"/>
  <c r="AX47" i="19"/>
  <c r="AX48" i="19"/>
  <c r="AX49" i="19"/>
  <c r="AX50" i="19"/>
  <c r="AX51" i="19"/>
  <c r="AX52" i="19"/>
  <c r="AX53" i="19"/>
  <c r="AX54" i="19"/>
  <c r="AX55" i="19"/>
  <c r="AX56" i="19"/>
  <c r="AX57" i="19"/>
  <c r="AX58" i="19"/>
  <c r="AX59" i="19"/>
  <c r="AX60" i="19"/>
  <c r="AX61" i="19"/>
  <c r="AX62" i="19"/>
  <c r="AX63" i="19"/>
  <c r="AX64" i="19"/>
  <c r="AX65" i="19"/>
  <c r="AX66" i="19"/>
  <c r="AX67" i="19"/>
  <c r="AX68" i="19"/>
  <c r="AX69" i="19"/>
  <c r="AX70" i="19"/>
  <c r="AX71" i="19"/>
  <c r="AX72" i="19"/>
  <c r="AX73" i="19"/>
  <c r="AX74" i="19"/>
  <c r="AX75" i="19"/>
  <c r="AX76" i="19"/>
  <c r="AX77" i="19"/>
  <c r="AX78" i="19"/>
  <c r="AX79" i="19"/>
  <c r="AX80" i="19"/>
  <c r="AX81" i="19"/>
  <c r="AX82" i="19"/>
  <c r="AX83" i="19"/>
  <c r="AX84" i="19"/>
  <c r="AX85" i="19"/>
  <c r="AX86" i="19"/>
  <c r="AX87" i="19"/>
  <c r="AX88" i="19"/>
  <c r="AX89" i="19"/>
  <c r="AX90" i="19"/>
  <c r="AX91" i="19"/>
  <c r="AX92" i="19"/>
  <c r="AX93" i="19"/>
  <c r="AX94" i="19"/>
  <c r="AX95" i="19"/>
  <c r="AX96" i="19"/>
  <c r="AX97" i="19"/>
  <c r="AX98" i="19"/>
  <c r="AX99" i="19"/>
  <c r="AX100" i="19"/>
  <c r="AX101" i="19"/>
  <c r="AX102" i="19"/>
  <c r="AX103" i="19"/>
  <c r="AX104" i="19"/>
  <c r="AY104" i="19" s="1"/>
  <c r="AX105" i="19"/>
  <c r="AX106" i="19"/>
  <c r="AX107" i="19"/>
  <c r="AX108" i="19"/>
  <c r="AY108" i="19" s="1"/>
  <c r="AX109" i="19"/>
  <c r="AX110" i="19"/>
  <c r="AX111" i="19"/>
  <c r="AX112" i="19"/>
  <c r="AY112" i="19" s="1"/>
  <c r="AX113" i="19"/>
  <c r="AX114" i="19"/>
  <c r="AX115" i="19"/>
  <c r="AX116" i="19"/>
  <c r="AY371" i="19" s="1"/>
  <c r="AX117" i="19"/>
  <c r="AX118" i="19"/>
  <c r="AX119" i="19"/>
  <c r="AX120" i="19"/>
  <c r="AX121" i="19"/>
  <c r="AX122" i="19"/>
  <c r="AX123" i="19"/>
  <c r="AX124" i="19"/>
  <c r="AY124" i="19" s="1"/>
  <c r="AX125" i="19"/>
  <c r="AX126" i="19"/>
  <c r="AX127" i="19"/>
  <c r="AX128" i="19"/>
  <c r="AY839" i="19" s="1"/>
  <c r="AX129" i="19"/>
  <c r="AX130" i="19"/>
  <c r="AX131" i="19"/>
  <c r="AX132" i="19"/>
  <c r="AY132" i="19" s="1"/>
  <c r="AX133" i="19"/>
  <c r="AX134" i="19"/>
  <c r="AX135" i="19"/>
  <c r="AX136" i="19"/>
  <c r="AY1138" i="19" s="1"/>
  <c r="AX137" i="19"/>
  <c r="AX138" i="19"/>
  <c r="AX139" i="19"/>
  <c r="AX140" i="19"/>
  <c r="AY1098" i="19" s="1"/>
  <c r="AX141" i="19"/>
  <c r="AX142" i="19"/>
  <c r="AX143" i="19"/>
  <c r="AX144" i="19"/>
  <c r="AX145" i="19"/>
  <c r="AX146" i="19"/>
  <c r="AX147" i="19"/>
  <c r="AX148" i="19"/>
  <c r="AX149" i="19"/>
  <c r="AX150" i="19"/>
  <c r="AX151" i="19"/>
  <c r="AX152" i="19"/>
  <c r="AY152" i="19" s="1"/>
  <c r="AX153" i="19"/>
  <c r="AX154" i="19"/>
  <c r="AX155" i="19"/>
  <c r="AX156" i="19"/>
  <c r="AY914" i="19" s="1"/>
  <c r="AX157" i="19"/>
  <c r="AX158" i="19"/>
  <c r="AX159" i="19"/>
  <c r="AX160" i="19"/>
  <c r="AX161" i="19"/>
  <c r="AX162" i="19"/>
  <c r="AX163" i="19"/>
  <c r="AX164" i="19"/>
  <c r="AX165" i="19"/>
  <c r="AX166" i="19"/>
  <c r="AX167" i="19"/>
  <c r="AX168" i="19"/>
  <c r="AY898" i="19" s="1"/>
  <c r="AX169" i="19"/>
  <c r="AX170" i="19"/>
  <c r="AX171" i="19"/>
  <c r="AX172" i="19"/>
  <c r="AX173" i="19"/>
  <c r="AX174" i="19"/>
  <c r="AX175" i="19"/>
  <c r="AX176" i="19"/>
  <c r="AX177" i="19"/>
  <c r="AX178" i="19"/>
  <c r="AX179" i="19"/>
  <c r="AX180" i="19"/>
  <c r="AX181" i="19"/>
  <c r="AX182" i="19"/>
  <c r="AX183" i="19"/>
  <c r="AX184" i="19"/>
  <c r="AY822" i="19" s="1"/>
  <c r="AX185" i="19"/>
  <c r="AX186" i="19"/>
  <c r="AX187" i="19"/>
  <c r="AX188" i="19"/>
  <c r="AX189" i="19"/>
  <c r="AX190" i="19"/>
  <c r="AX191" i="19"/>
  <c r="AX192" i="19"/>
  <c r="AX193" i="19"/>
  <c r="AX194" i="19"/>
  <c r="AX195" i="19"/>
  <c r="AX196" i="19"/>
  <c r="AX197" i="19"/>
  <c r="AX198" i="19"/>
  <c r="AX199" i="19"/>
  <c r="AX200" i="19"/>
  <c r="AX201" i="19"/>
  <c r="AX202" i="19"/>
  <c r="AX203" i="19"/>
  <c r="AX204" i="19"/>
  <c r="AX205" i="19"/>
  <c r="AX206" i="19"/>
  <c r="AX207" i="19"/>
  <c r="AX208" i="19"/>
  <c r="AY802" i="19" s="1"/>
  <c r="AX209" i="19"/>
  <c r="AX210" i="19"/>
  <c r="AX211" i="19"/>
  <c r="AX212" i="19"/>
  <c r="AY438" i="19" s="1"/>
  <c r="AX213" i="19"/>
  <c r="AX214" i="19"/>
  <c r="AX215" i="19"/>
  <c r="AX216" i="19"/>
  <c r="AX217" i="19"/>
  <c r="AX218" i="19"/>
  <c r="AX219" i="19"/>
  <c r="AX220" i="19"/>
  <c r="AX221" i="19"/>
  <c r="AX222" i="19"/>
  <c r="AX223" i="19"/>
  <c r="AX224" i="19"/>
  <c r="AX225" i="19"/>
  <c r="AX226" i="19"/>
  <c r="AX227" i="19"/>
  <c r="AX228" i="19"/>
  <c r="AY1010" i="19" s="1"/>
  <c r="AX229" i="19"/>
  <c r="AX230" i="19"/>
  <c r="AX231" i="19"/>
  <c r="AX232" i="19"/>
  <c r="AX233" i="19"/>
  <c r="AX234" i="19"/>
  <c r="AX235" i="19"/>
  <c r="AX236" i="19"/>
  <c r="AX237" i="19"/>
  <c r="AX238" i="19"/>
  <c r="AX239" i="19"/>
  <c r="AX240" i="19"/>
  <c r="AY426" i="19" s="1"/>
  <c r="AX241" i="19"/>
  <c r="AX242" i="19"/>
  <c r="AX243" i="19"/>
  <c r="AX244" i="19"/>
  <c r="AX245" i="19"/>
  <c r="AX246" i="19"/>
  <c r="AX247" i="19"/>
  <c r="AX248" i="19"/>
  <c r="AX249" i="19"/>
  <c r="AX250" i="19"/>
  <c r="AX251" i="19"/>
  <c r="AX252" i="19"/>
  <c r="AX253" i="19"/>
  <c r="AX254" i="19"/>
  <c r="AX255" i="19"/>
  <c r="AX256" i="19"/>
  <c r="AX257" i="19"/>
  <c r="AX258" i="19"/>
  <c r="AX259" i="19"/>
  <c r="AX260" i="19"/>
  <c r="AX261" i="19"/>
  <c r="AX262" i="19"/>
  <c r="AX263" i="19"/>
  <c r="AX264" i="19"/>
  <c r="AX265" i="19"/>
  <c r="AX266" i="19"/>
  <c r="AX267" i="19"/>
  <c r="AX268" i="19"/>
  <c r="AX269" i="19"/>
  <c r="AX270" i="19"/>
  <c r="AX271" i="19"/>
  <c r="AX272" i="19"/>
  <c r="AX273" i="19"/>
  <c r="AX274" i="19"/>
  <c r="AX275" i="19"/>
  <c r="AX277" i="19"/>
  <c r="AY866" i="19" s="1"/>
  <c r="AX278" i="19"/>
  <c r="AX279" i="19"/>
  <c r="AX280" i="19"/>
  <c r="AX281" i="19"/>
  <c r="AX282" i="19"/>
  <c r="AX283" i="19"/>
  <c r="AX284" i="19"/>
  <c r="AX285" i="19"/>
  <c r="AY285" i="19" s="1"/>
  <c r="AX286" i="19"/>
  <c r="AX287" i="19"/>
  <c r="AX288" i="19"/>
  <c r="AX289" i="19"/>
  <c r="AY289" i="19" s="1"/>
  <c r="AX290" i="19"/>
  <c r="AX291" i="19"/>
  <c r="AX292" i="19"/>
  <c r="AX293" i="19"/>
  <c r="AY928" i="19" s="1"/>
  <c r="AX294" i="19"/>
  <c r="AX295" i="19"/>
  <c r="AX296" i="19"/>
  <c r="AX297" i="19"/>
  <c r="AX298" i="19"/>
  <c r="AX299" i="19"/>
  <c r="AX300" i="19"/>
  <c r="AX301" i="19"/>
  <c r="AX302" i="19"/>
  <c r="AX303" i="19"/>
  <c r="AX304" i="19"/>
  <c r="AX305" i="19"/>
  <c r="AY305" i="19" s="1"/>
  <c r="AX306" i="19"/>
  <c r="AX307" i="19"/>
  <c r="AX308" i="19"/>
  <c r="AX309" i="19"/>
  <c r="AY816" i="19" s="1"/>
  <c r="AX310" i="19"/>
  <c r="AX311" i="19"/>
  <c r="AX312" i="19"/>
  <c r="AX313" i="19"/>
  <c r="AX314" i="19"/>
  <c r="AX315" i="19"/>
  <c r="AX316" i="19"/>
  <c r="AX317" i="19"/>
  <c r="AX318" i="19"/>
  <c r="AX319" i="19"/>
  <c r="AX320" i="19"/>
  <c r="AX321" i="19"/>
  <c r="AY321" i="19" s="1"/>
  <c r="AX322" i="19"/>
  <c r="AX323" i="19"/>
  <c r="AX324" i="19"/>
  <c r="AX325" i="19"/>
  <c r="AY740" i="19" s="1"/>
  <c r="AX326" i="19"/>
  <c r="AX327" i="19"/>
  <c r="AX328" i="19"/>
  <c r="AX329" i="19"/>
  <c r="AX330" i="19"/>
  <c r="AX331" i="19"/>
  <c r="AX332" i="19"/>
  <c r="AX333" i="19"/>
  <c r="AX334" i="19"/>
  <c r="AX335" i="19"/>
  <c r="AX336" i="19"/>
  <c r="AX337" i="19"/>
  <c r="AY337" i="19" s="1"/>
  <c r="AX338" i="19"/>
  <c r="AX339" i="19"/>
  <c r="AX340" i="19"/>
  <c r="AX341" i="19"/>
  <c r="AY341" i="19" s="1"/>
  <c r="AX342" i="19"/>
  <c r="AX343" i="19"/>
  <c r="AX344" i="19"/>
  <c r="AX345" i="19"/>
  <c r="AY1047" i="19" s="1"/>
  <c r="AX346" i="19"/>
  <c r="AX347" i="19"/>
  <c r="AX348" i="19"/>
  <c r="AX349" i="19"/>
  <c r="AX350" i="19"/>
  <c r="AX351" i="19"/>
  <c r="AX352" i="19"/>
  <c r="AX353" i="19"/>
  <c r="AY353" i="19" s="1"/>
  <c r="AX354" i="19"/>
  <c r="AX355" i="19"/>
  <c r="AX356" i="19"/>
  <c r="AX357" i="19"/>
  <c r="AX358" i="19"/>
  <c r="AX359" i="19"/>
  <c r="AX360" i="19"/>
  <c r="AX361" i="19"/>
  <c r="AX362" i="19"/>
  <c r="AX363" i="19"/>
  <c r="AX364" i="19"/>
  <c r="AX365" i="19"/>
  <c r="AY365" i="19" s="1"/>
  <c r="AX366" i="19"/>
  <c r="AX367" i="19"/>
  <c r="AX368" i="19"/>
  <c r="AX369" i="19"/>
  <c r="AY369" i="19" s="1"/>
  <c r="AX370" i="19"/>
  <c r="AX371" i="19"/>
  <c r="AX372" i="19"/>
  <c r="AX373" i="19"/>
  <c r="AY373" i="19" s="1"/>
  <c r="AX374" i="19"/>
  <c r="AX375" i="19"/>
  <c r="AX376" i="19"/>
  <c r="AX377" i="19"/>
  <c r="AY377" i="19" s="1"/>
  <c r="AX378" i="19"/>
  <c r="AX379" i="19"/>
  <c r="AX380" i="19"/>
  <c r="AX381" i="19"/>
  <c r="AY891" i="19" s="1"/>
  <c r="AX382" i="19"/>
  <c r="AX383" i="19"/>
  <c r="AX384" i="19"/>
  <c r="AX385" i="19"/>
  <c r="AY385" i="19" s="1"/>
  <c r="AX386" i="19"/>
  <c r="AX387" i="19"/>
  <c r="AX388" i="19"/>
  <c r="AX389" i="19"/>
  <c r="AY807" i="19" s="1"/>
  <c r="AX390" i="19"/>
  <c r="AX391" i="19"/>
  <c r="AX392" i="19"/>
  <c r="AX393" i="19"/>
  <c r="AX394" i="19"/>
  <c r="AX395" i="19"/>
  <c r="AX396" i="19"/>
  <c r="AX397" i="19"/>
  <c r="AX398" i="19"/>
  <c r="AX399" i="19"/>
  <c r="AX400" i="19"/>
  <c r="AX401" i="19"/>
  <c r="AY401" i="19" s="1"/>
  <c r="AX402" i="19"/>
  <c r="AX403" i="19"/>
  <c r="AX404" i="19"/>
  <c r="AX405" i="19"/>
  <c r="AY405" i="19" s="1"/>
  <c r="AX406" i="19"/>
  <c r="AX407" i="19"/>
  <c r="AX408" i="19"/>
  <c r="AX409" i="19"/>
  <c r="AY715" i="19" s="1"/>
  <c r="AX410" i="19"/>
  <c r="AX411" i="19"/>
  <c r="AX412" i="19"/>
  <c r="AX413" i="19"/>
  <c r="AX414" i="19"/>
  <c r="AX415" i="19"/>
  <c r="AX416" i="19"/>
  <c r="AX417" i="19"/>
  <c r="AY417" i="19" s="1"/>
  <c r="AX418" i="19"/>
  <c r="AX419" i="19"/>
  <c r="AX420" i="19"/>
  <c r="AX421" i="19"/>
  <c r="AX422" i="19"/>
  <c r="AX423" i="19"/>
  <c r="AX424" i="19"/>
  <c r="AX425" i="19"/>
  <c r="AY425" i="19" s="1"/>
  <c r="AX426" i="19"/>
  <c r="AX427" i="19"/>
  <c r="AX428" i="19"/>
  <c r="AX429" i="19"/>
  <c r="AY679" i="19" s="1"/>
  <c r="AX430" i="19"/>
  <c r="AX431" i="19"/>
  <c r="AX432" i="19"/>
  <c r="AX433" i="19"/>
  <c r="AY433" i="19" s="1"/>
  <c r="AX434" i="19"/>
  <c r="AX435" i="19"/>
  <c r="AX436" i="19"/>
  <c r="AX437" i="19"/>
  <c r="AY651" i="19" s="1"/>
  <c r="AX438" i="19"/>
  <c r="AX439" i="19"/>
  <c r="AX440" i="19"/>
  <c r="AX441" i="19"/>
  <c r="AX442" i="19"/>
  <c r="AX443" i="19"/>
  <c r="AX444" i="19"/>
  <c r="AX445" i="19"/>
  <c r="AX446" i="19"/>
  <c r="AX447" i="19"/>
  <c r="AX448" i="19"/>
  <c r="AX449" i="19"/>
  <c r="AX450" i="19"/>
  <c r="AX451" i="19"/>
  <c r="AX452" i="19"/>
  <c r="AX453" i="19"/>
  <c r="AX454" i="19"/>
  <c r="AX455" i="19"/>
  <c r="AX456" i="19"/>
  <c r="AX457" i="19"/>
  <c r="AX458" i="19"/>
  <c r="AX459" i="19"/>
  <c r="AX460" i="19"/>
  <c r="AX461" i="19"/>
  <c r="AX462" i="19"/>
  <c r="AX463" i="19"/>
  <c r="AX464" i="19"/>
  <c r="AX465" i="19"/>
  <c r="AX466" i="19"/>
  <c r="AX467" i="19"/>
  <c r="AX468" i="19"/>
  <c r="AX469" i="19"/>
  <c r="AX470" i="19"/>
  <c r="AX471" i="19"/>
  <c r="AX472" i="19"/>
  <c r="AX473" i="19"/>
  <c r="AX474" i="19"/>
  <c r="AX475" i="19"/>
  <c r="AX476" i="19"/>
  <c r="AX477" i="19"/>
  <c r="AX478" i="19"/>
  <c r="AX479" i="19"/>
  <c r="AX480" i="19"/>
  <c r="AX481" i="19"/>
  <c r="AX482" i="19"/>
  <c r="AX483" i="19"/>
  <c r="AX484" i="19"/>
  <c r="AX485" i="19"/>
  <c r="AX486" i="19"/>
  <c r="AX487" i="19"/>
  <c r="AX488" i="19"/>
  <c r="AX489" i="19"/>
  <c r="AX490" i="19"/>
  <c r="AX491" i="19"/>
  <c r="AX492" i="19"/>
  <c r="AX493" i="19"/>
  <c r="AX494" i="19"/>
  <c r="AX495" i="19"/>
  <c r="AX496" i="19"/>
  <c r="AX497" i="19"/>
  <c r="AY647" i="19" s="1"/>
  <c r="AX498" i="19"/>
  <c r="AX499" i="19"/>
  <c r="AX500" i="19"/>
  <c r="AX501" i="19"/>
  <c r="AY743" i="19" s="1"/>
  <c r="AX502" i="19"/>
  <c r="AX503" i="19"/>
  <c r="AX504" i="19"/>
  <c r="AX505" i="19"/>
  <c r="AX506" i="19"/>
  <c r="AX507" i="19"/>
  <c r="AX508" i="19"/>
  <c r="AX509" i="19"/>
  <c r="AX510" i="19"/>
  <c r="AX511" i="19"/>
  <c r="AX512" i="19"/>
  <c r="AX513" i="19"/>
  <c r="AX514" i="19"/>
  <c r="AX515" i="19"/>
  <c r="AX516" i="19"/>
  <c r="AX517" i="19"/>
  <c r="AX518" i="19"/>
  <c r="AX519" i="19"/>
  <c r="AX520" i="19"/>
  <c r="AX521" i="19"/>
  <c r="AX522" i="19"/>
  <c r="AX523" i="19"/>
  <c r="AX524" i="19"/>
  <c r="AX525" i="19"/>
  <c r="AX526" i="19"/>
  <c r="AX527" i="19"/>
  <c r="AX528" i="19"/>
  <c r="AX529" i="19"/>
  <c r="AX530" i="19"/>
  <c r="AX531" i="19"/>
  <c r="AX532" i="19"/>
  <c r="AX533" i="19"/>
  <c r="AX534" i="19"/>
  <c r="AX535" i="19"/>
  <c r="AX536" i="19"/>
  <c r="AX537" i="19"/>
  <c r="AX538" i="19"/>
  <c r="AX539" i="19"/>
  <c r="AX540" i="19"/>
  <c r="AX541" i="19"/>
  <c r="AX542" i="19"/>
  <c r="AX543" i="19"/>
  <c r="AX544" i="19"/>
  <c r="AX545" i="19"/>
  <c r="AX546" i="19"/>
  <c r="AX547" i="19"/>
  <c r="AX548" i="19"/>
  <c r="AX549" i="19"/>
  <c r="AX550" i="19"/>
  <c r="AX551" i="19"/>
  <c r="AX552" i="19"/>
  <c r="AX553" i="19"/>
  <c r="AY1154" i="19" s="1"/>
  <c r="AX554" i="19"/>
  <c r="AX555" i="19"/>
  <c r="AX556" i="19"/>
  <c r="AX557" i="19"/>
  <c r="AX558" i="19"/>
  <c r="AX559" i="19"/>
  <c r="AX560" i="19"/>
  <c r="AX561" i="19"/>
  <c r="AX562" i="19"/>
  <c r="AX563" i="19"/>
  <c r="AX564" i="19"/>
  <c r="AX565" i="19"/>
  <c r="AX566" i="19"/>
  <c r="AX567" i="19"/>
  <c r="AX568" i="19"/>
  <c r="AX569" i="19"/>
  <c r="AX570" i="19"/>
  <c r="AX571" i="19"/>
  <c r="AX572" i="19"/>
  <c r="AX573" i="19"/>
  <c r="AX574" i="19"/>
  <c r="AX575" i="19"/>
  <c r="AX576" i="19"/>
  <c r="AX577" i="19"/>
  <c r="AY695" i="19" s="1"/>
  <c r="AX578" i="19"/>
  <c r="AX579" i="19"/>
  <c r="AX580" i="19"/>
  <c r="AX581" i="19"/>
  <c r="AX582" i="19"/>
  <c r="AX583" i="19"/>
  <c r="AX584" i="19"/>
  <c r="AX585" i="19"/>
  <c r="AX586" i="19"/>
  <c r="AX587" i="19"/>
  <c r="AX588" i="19"/>
  <c r="AX589" i="19"/>
  <c r="AX590" i="19"/>
  <c r="AX591" i="19"/>
  <c r="AX592" i="19"/>
  <c r="AX593" i="19"/>
  <c r="AX594" i="19"/>
  <c r="AX595" i="19"/>
  <c r="AX596" i="19"/>
  <c r="AX597" i="19"/>
  <c r="AX598" i="19"/>
  <c r="AX599" i="19"/>
  <c r="AX600" i="19"/>
  <c r="AX601" i="19"/>
  <c r="AX602" i="19"/>
  <c r="AX603" i="19"/>
  <c r="AX604" i="19"/>
  <c r="AX605" i="19"/>
  <c r="AX606" i="19"/>
  <c r="AX607" i="19"/>
  <c r="AX608" i="19"/>
  <c r="AX609" i="19"/>
  <c r="AX610" i="19"/>
  <c r="AX611" i="19"/>
  <c r="AX612" i="19"/>
  <c r="AX613" i="19"/>
  <c r="AX614" i="19"/>
  <c r="AX615" i="19"/>
  <c r="AX616" i="19"/>
  <c r="AX617" i="19"/>
  <c r="AX618" i="19"/>
  <c r="AX619" i="19"/>
  <c r="AX620" i="19"/>
  <c r="AX621" i="19"/>
  <c r="AX622" i="19"/>
  <c r="AX623" i="19"/>
  <c r="AX624" i="19"/>
  <c r="AX625" i="19"/>
  <c r="AX626" i="19"/>
  <c r="AX627" i="19"/>
  <c r="AX628" i="19"/>
  <c r="AX629" i="19"/>
  <c r="AX630" i="19"/>
  <c r="AX631" i="19"/>
  <c r="AX632" i="19"/>
  <c r="AX633" i="19"/>
  <c r="AX634" i="19"/>
  <c r="AX635" i="19"/>
  <c r="AX636" i="19"/>
  <c r="AX637" i="19"/>
  <c r="AX638" i="19"/>
  <c r="AX639" i="19"/>
  <c r="AX640" i="19"/>
  <c r="AX641" i="19"/>
  <c r="AX642" i="19"/>
  <c r="AX643" i="19"/>
  <c r="AX644" i="19"/>
  <c r="AX645" i="19"/>
  <c r="AX646" i="19"/>
  <c r="AX647" i="19"/>
  <c r="AX648" i="19"/>
  <c r="AX649" i="19"/>
  <c r="AX650" i="19"/>
  <c r="AX651" i="19"/>
  <c r="AX652" i="19"/>
  <c r="AX653" i="19"/>
  <c r="AX654" i="19"/>
  <c r="AX655" i="19"/>
  <c r="AX656" i="19"/>
  <c r="AX657" i="19"/>
  <c r="AY1074" i="19" s="1"/>
  <c r="AX658" i="19"/>
  <c r="AX659" i="19"/>
  <c r="AX660" i="19"/>
  <c r="AX661" i="19"/>
  <c r="AX662" i="19"/>
  <c r="AX663" i="19"/>
  <c r="AX664" i="19"/>
  <c r="AX665" i="19"/>
  <c r="AX666" i="19"/>
  <c r="AX667" i="19"/>
  <c r="AX668" i="19"/>
  <c r="AX669" i="19"/>
  <c r="AX670" i="19"/>
  <c r="AX671" i="19"/>
  <c r="AX672" i="19"/>
  <c r="AX673" i="19"/>
  <c r="AX674" i="19"/>
  <c r="AX675" i="19"/>
  <c r="AX676" i="19"/>
  <c r="AX677" i="19"/>
  <c r="AX678" i="19"/>
  <c r="AX679" i="19"/>
  <c r="AX680" i="19"/>
  <c r="AX681" i="19"/>
  <c r="AX682" i="19"/>
  <c r="AX683" i="19"/>
  <c r="AX684" i="19"/>
  <c r="AX685" i="19"/>
  <c r="AX686" i="19"/>
  <c r="AX687" i="19"/>
  <c r="AX688" i="19"/>
  <c r="AX689" i="19"/>
  <c r="AX690" i="19"/>
  <c r="AX691" i="19"/>
  <c r="AX692" i="19"/>
  <c r="AX693" i="19"/>
  <c r="AX694" i="19"/>
  <c r="AX695" i="19"/>
  <c r="AX696" i="19"/>
  <c r="AX697" i="19"/>
  <c r="AX698" i="19"/>
  <c r="AX699" i="19"/>
  <c r="AX700" i="19"/>
  <c r="AX701" i="19"/>
  <c r="AX702" i="19"/>
  <c r="AX703" i="19"/>
  <c r="AX704" i="19"/>
  <c r="AX705" i="19"/>
  <c r="AX706" i="19"/>
  <c r="AX707" i="19"/>
  <c r="AX708" i="19"/>
  <c r="AX709" i="19"/>
  <c r="AY709" i="19" s="1"/>
  <c r="AX710" i="19"/>
  <c r="AX711" i="19"/>
  <c r="AX712" i="19"/>
  <c r="AX713" i="19"/>
  <c r="AY713" i="19" s="1"/>
  <c r="AX714" i="19"/>
  <c r="AX715" i="19"/>
  <c r="AX716" i="19"/>
  <c r="AX717" i="19"/>
  <c r="AY717" i="19" s="1"/>
  <c r="AX718" i="19"/>
  <c r="AX719" i="19"/>
  <c r="AX720" i="19"/>
  <c r="AX721" i="19"/>
  <c r="AY998" i="19" s="1"/>
  <c r="AX722" i="19"/>
  <c r="AX723" i="19"/>
  <c r="AX724" i="19"/>
  <c r="AX725" i="19"/>
  <c r="AY725" i="19" s="1"/>
  <c r="AX726" i="19"/>
  <c r="AX727" i="19"/>
  <c r="AX728" i="19"/>
  <c r="AX729" i="19"/>
  <c r="AY962" i="19" s="1"/>
  <c r="AX730" i="19"/>
  <c r="AX731" i="19"/>
  <c r="AX732" i="19"/>
  <c r="AX733" i="19"/>
  <c r="AY733" i="19" s="1"/>
  <c r="AX734" i="19"/>
  <c r="AX735" i="19"/>
  <c r="AX736" i="19"/>
  <c r="AX737" i="19"/>
  <c r="AY1112" i="19" s="1"/>
  <c r="AX738" i="19"/>
  <c r="AX739" i="19"/>
  <c r="AX740" i="19"/>
  <c r="AX741" i="19"/>
  <c r="AY741" i="19" s="1"/>
  <c r="AX742" i="19"/>
  <c r="AX743" i="19"/>
  <c r="AX744" i="19"/>
  <c r="AX745" i="19"/>
  <c r="AY745" i="19" s="1"/>
  <c r="AX746" i="19"/>
  <c r="AX747" i="19"/>
  <c r="AX748" i="19"/>
  <c r="AX749" i="19"/>
  <c r="AY749" i="19" s="1"/>
  <c r="AX750" i="19"/>
  <c r="AX751" i="19"/>
  <c r="AX752" i="19"/>
  <c r="AX753" i="19"/>
  <c r="AY753" i="19" s="1"/>
  <c r="AX754" i="19"/>
  <c r="AX755" i="19"/>
  <c r="AX756" i="19"/>
  <c r="AX757" i="19"/>
  <c r="AY757" i="19" s="1"/>
  <c r="AX758" i="19"/>
  <c r="AX759" i="19"/>
  <c r="AX760" i="19"/>
  <c r="AX761" i="19"/>
  <c r="AY1040" i="19" s="1"/>
  <c r="AX762" i="19"/>
  <c r="AX763" i="19"/>
  <c r="AX764" i="19"/>
  <c r="AX765" i="19"/>
  <c r="AX766" i="19"/>
  <c r="AX767" i="19"/>
  <c r="AX768" i="19"/>
  <c r="AX769" i="19"/>
  <c r="AX770" i="19"/>
  <c r="AX771" i="19"/>
  <c r="AX772" i="19"/>
  <c r="AX773" i="19"/>
  <c r="AX774" i="19"/>
  <c r="AX775" i="19"/>
  <c r="AX776" i="19"/>
  <c r="AX777" i="19"/>
  <c r="AY777" i="19" s="1"/>
  <c r="AX778" i="19"/>
  <c r="AX779" i="19"/>
  <c r="AX780" i="19"/>
  <c r="AX781" i="19"/>
  <c r="AY984" i="19" s="1"/>
  <c r="AX782" i="19"/>
  <c r="AX783" i="19"/>
  <c r="AX784" i="19"/>
  <c r="AX785" i="19"/>
  <c r="AY785" i="19" s="1"/>
  <c r="AX786" i="19"/>
  <c r="AX787" i="19"/>
  <c r="AX788" i="19"/>
  <c r="AX789" i="19"/>
  <c r="AY789" i="19" s="1"/>
  <c r="AX790" i="19"/>
  <c r="AX791" i="19"/>
  <c r="AX792" i="19"/>
  <c r="AX793" i="19"/>
  <c r="AY892" i="19" s="1"/>
  <c r="AX794" i="19"/>
  <c r="AX795" i="19"/>
  <c r="AX796" i="19"/>
  <c r="AX797" i="19"/>
  <c r="AX798" i="19"/>
  <c r="AX799" i="19"/>
  <c r="AX800" i="19"/>
  <c r="AX801" i="19"/>
  <c r="AY801" i="19" s="1"/>
  <c r="AX802" i="19"/>
  <c r="AX803" i="19"/>
  <c r="AX804" i="19"/>
  <c r="AX805" i="19"/>
  <c r="AY805" i="19" s="1"/>
  <c r="AX806" i="19"/>
  <c r="AX807" i="19"/>
  <c r="AX808" i="19"/>
  <c r="AX809" i="19"/>
  <c r="AY809" i="19" s="1"/>
  <c r="AX810" i="19"/>
  <c r="AX811" i="19"/>
  <c r="AX812" i="19"/>
  <c r="AX813" i="19"/>
  <c r="AY860" i="19" s="1"/>
  <c r="AX814" i="19"/>
  <c r="AX815" i="19"/>
  <c r="AX816" i="19"/>
  <c r="AX817" i="19"/>
  <c r="AY817" i="19" s="1"/>
  <c r="AX818" i="19"/>
  <c r="AX819" i="19"/>
  <c r="AX820" i="19"/>
  <c r="AX821" i="19"/>
  <c r="AX822" i="19"/>
  <c r="AX823" i="19"/>
  <c r="AX824" i="19"/>
  <c r="AX825" i="19"/>
  <c r="AX826" i="19"/>
  <c r="AX827" i="19"/>
  <c r="AX828" i="19"/>
  <c r="AX829" i="19"/>
  <c r="AY829" i="19" s="1"/>
  <c r="AX830" i="19"/>
  <c r="AX831" i="19"/>
  <c r="AX832" i="19"/>
  <c r="AX833" i="19"/>
  <c r="AY833" i="19" s="1"/>
  <c r="AX834" i="19"/>
  <c r="AX835" i="19"/>
  <c r="AX836" i="19"/>
  <c r="AX837" i="19"/>
  <c r="AY837" i="19" s="1"/>
  <c r="AX838" i="19"/>
  <c r="AX839" i="19"/>
  <c r="AX840" i="19"/>
  <c r="AX841" i="19"/>
  <c r="AY841" i="19" s="1"/>
  <c r="AX842" i="19"/>
  <c r="AX843" i="19"/>
  <c r="AX844" i="19"/>
  <c r="AX845" i="19"/>
  <c r="AY845" i="19" s="1"/>
  <c r="AX846" i="19"/>
  <c r="AX847" i="19"/>
  <c r="AX848" i="19"/>
  <c r="AX849" i="19"/>
  <c r="AY849" i="19" s="1"/>
  <c r="AX850" i="19"/>
  <c r="AX851" i="19"/>
  <c r="AX852" i="19"/>
  <c r="AX853" i="19"/>
  <c r="AX854" i="19"/>
  <c r="AX855" i="19"/>
  <c r="AX856" i="19"/>
  <c r="AX857" i="19"/>
  <c r="AY857" i="19" s="1"/>
  <c r="AX858" i="19"/>
  <c r="AX859" i="19"/>
  <c r="AX860" i="19"/>
  <c r="AX861" i="19"/>
  <c r="AY861" i="19" s="1"/>
  <c r="AX862" i="19"/>
  <c r="AX863" i="19"/>
  <c r="AX864" i="19"/>
  <c r="AX865" i="19"/>
  <c r="AY865" i="19" s="1"/>
  <c r="AX866" i="19"/>
  <c r="AX867" i="19"/>
  <c r="AX868" i="19"/>
  <c r="AX869" i="19"/>
  <c r="AY869" i="19" s="1"/>
  <c r="AX870" i="19"/>
  <c r="AX871" i="19"/>
  <c r="AX872" i="19"/>
  <c r="AX873" i="19"/>
  <c r="AY873" i="19" s="1"/>
  <c r="AX874" i="19"/>
  <c r="AX875" i="19"/>
  <c r="AX876" i="19"/>
  <c r="AX877" i="19"/>
  <c r="AY877" i="19" s="1"/>
  <c r="AX878" i="19"/>
  <c r="AX879" i="19"/>
  <c r="AX880" i="19"/>
  <c r="AX881" i="19"/>
  <c r="AY881" i="19" s="1"/>
  <c r="AX882" i="19"/>
  <c r="AX883" i="19"/>
  <c r="AX884" i="19"/>
  <c r="AX885" i="19"/>
  <c r="AX886" i="19"/>
  <c r="AX887" i="19"/>
  <c r="AX888" i="19"/>
  <c r="AX889" i="19"/>
  <c r="AY889" i="19" s="1"/>
  <c r="AX890" i="19"/>
  <c r="AX891" i="19"/>
  <c r="AX892" i="19"/>
  <c r="AX893" i="19"/>
  <c r="AY893" i="19" s="1"/>
  <c r="AX894" i="19"/>
  <c r="AX895" i="19"/>
  <c r="AX896" i="19"/>
  <c r="AX897" i="19"/>
  <c r="AY897" i="19" s="1"/>
  <c r="AX898" i="19"/>
  <c r="AX899" i="19"/>
  <c r="AX900" i="19"/>
  <c r="AX901" i="19"/>
  <c r="AY901" i="19" s="1"/>
  <c r="AX902" i="19"/>
  <c r="AX903" i="19"/>
  <c r="AX904" i="19"/>
  <c r="AX905" i="19"/>
  <c r="AY905" i="19" s="1"/>
  <c r="AX906" i="19"/>
  <c r="AX907" i="19"/>
  <c r="AX908" i="19"/>
  <c r="AX909" i="19"/>
  <c r="AY909" i="19" s="1"/>
  <c r="AX910" i="19"/>
  <c r="AX911" i="19"/>
  <c r="AX912" i="19"/>
  <c r="AX913" i="19"/>
  <c r="AY913" i="19" s="1"/>
  <c r="AX914" i="19"/>
  <c r="AX915" i="19"/>
  <c r="AX916" i="19"/>
  <c r="AX917" i="19"/>
  <c r="AY917" i="19" s="1"/>
  <c r="AX918" i="19"/>
  <c r="AX919" i="19"/>
  <c r="AX920" i="19"/>
  <c r="AX921" i="19"/>
  <c r="AY921" i="19" s="1"/>
  <c r="AX922" i="19"/>
  <c r="AX923" i="19"/>
  <c r="AX924" i="19"/>
  <c r="AX925" i="19"/>
  <c r="AY925" i="19" s="1"/>
  <c r="AX926" i="19"/>
  <c r="AX927" i="19"/>
  <c r="AX928" i="19"/>
  <c r="AX929" i="19"/>
  <c r="AY929" i="19" s="1"/>
  <c r="AX930" i="19"/>
  <c r="AX931" i="19"/>
  <c r="AX932" i="19"/>
  <c r="AX933" i="19"/>
  <c r="AY933" i="19" s="1"/>
  <c r="AX934" i="19"/>
  <c r="AX935" i="19"/>
  <c r="AX936" i="19"/>
  <c r="AX937" i="19"/>
  <c r="AY937" i="19" s="1"/>
  <c r="AX938" i="19"/>
  <c r="AX939" i="19"/>
  <c r="AX940" i="19"/>
  <c r="AX941" i="19"/>
  <c r="AX942" i="19"/>
  <c r="AX943" i="19"/>
  <c r="AX944" i="19"/>
  <c r="AX945" i="19"/>
  <c r="AY945" i="19" s="1"/>
  <c r="AX946" i="19"/>
  <c r="AX947" i="19"/>
  <c r="AX948" i="19"/>
  <c r="AX949" i="19"/>
  <c r="AY949" i="19" s="1"/>
  <c r="AX950" i="19"/>
  <c r="AX951" i="19"/>
  <c r="AX952" i="19"/>
  <c r="AX953" i="19"/>
  <c r="AY953" i="19" s="1"/>
  <c r="AX954" i="19"/>
  <c r="AX955" i="19"/>
  <c r="AX956" i="19"/>
  <c r="AX957" i="19"/>
  <c r="AY957" i="19" s="1"/>
  <c r="AX958" i="19"/>
  <c r="AX959" i="19"/>
  <c r="AX960" i="19"/>
  <c r="AX961" i="19"/>
  <c r="AY961" i="19" s="1"/>
  <c r="AX962" i="19"/>
  <c r="AX963" i="19"/>
  <c r="AX964" i="19"/>
  <c r="AX965" i="19"/>
  <c r="AY965" i="19" s="1"/>
  <c r="AX966" i="19"/>
  <c r="AX967" i="19"/>
  <c r="AX968" i="19"/>
  <c r="AX969" i="19"/>
  <c r="AX970" i="19"/>
  <c r="AX971" i="19"/>
  <c r="AX972" i="19"/>
  <c r="AX973" i="19"/>
  <c r="AY973" i="19" s="1"/>
  <c r="AX974" i="19"/>
  <c r="AX975" i="19"/>
  <c r="AX976" i="19"/>
  <c r="AX977" i="19"/>
  <c r="AY977" i="19" s="1"/>
  <c r="AX978" i="19"/>
  <c r="AX979" i="19"/>
  <c r="AX980" i="19"/>
  <c r="AX981" i="19"/>
  <c r="AY981" i="19" s="1"/>
  <c r="AX982" i="19"/>
  <c r="AX983" i="19"/>
  <c r="AX984" i="19"/>
  <c r="AX985" i="19"/>
  <c r="AY985" i="19" s="1"/>
  <c r="AX986" i="19"/>
  <c r="AX987" i="19"/>
  <c r="AX988" i="19"/>
  <c r="AX989" i="19"/>
  <c r="AY989" i="19" s="1"/>
  <c r="AX990" i="19"/>
  <c r="AX991" i="19"/>
  <c r="AX992" i="19"/>
  <c r="AX993" i="19"/>
  <c r="AY993" i="19" s="1"/>
  <c r="AX994" i="19"/>
  <c r="AX995" i="19"/>
  <c r="AX996" i="19"/>
  <c r="AX997" i="19"/>
  <c r="AX998" i="19"/>
  <c r="AX999" i="19"/>
  <c r="AX1000" i="19"/>
  <c r="AX1001" i="19"/>
  <c r="AY1001" i="19" s="1"/>
  <c r="AX1002" i="19"/>
  <c r="AX1003" i="19"/>
  <c r="AX1004" i="19"/>
  <c r="AX1005" i="19"/>
  <c r="AY1005" i="19" s="1"/>
  <c r="AX1006" i="19"/>
  <c r="AX1007" i="19"/>
  <c r="AX1008" i="19"/>
  <c r="AX1009" i="19"/>
  <c r="AY1009" i="19" s="1"/>
  <c r="AX1010" i="19"/>
  <c r="AX1011" i="19"/>
  <c r="AX1012" i="19"/>
  <c r="AX1013" i="19"/>
  <c r="AY1013" i="19" s="1"/>
  <c r="AX1014" i="19"/>
  <c r="AX1015" i="19"/>
  <c r="AX1016" i="19"/>
  <c r="AX1017" i="19"/>
  <c r="AX1018" i="19"/>
  <c r="AX1019" i="19"/>
  <c r="AX1020" i="19"/>
  <c r="AX1021" i="19"/>
  <c r="AY1021" i="19" s="1"/>
  <c r="AX1022" i="19"/>
  <c r="AX1023" i="19"/>
  <c r="AX1024" i="19"/>
  <c r="AX1025" i="19"/>
  <c r="AY1025" i="19" s="1"/>
  <c r="AX1026" i="19"/>
  <c r="AX1027" i="19"/>
  <c r="AX1028" i="19"/>
  <c r="AX1029" i="19"/>
  <c r="AY1029" i="19" s="1"/>
  <c r="AX1030" i="19"/>
  <c r="AX1031" i="19"/>
  <c r="AX1032" i="19"/>
  <c r="AX1033" i="19"/>
  <c r="AY1033" i="19" s="1"/>
  <c r="AX1034" i="19"/>
  <c r="AX1035" i="19"/>
  <c r="AX1036" i="19"/>
  <c r="AX1037" i="19"/>
  <c r="AY1037" i="19" s="1"/>
  <c r="AX1038" i="19"/>
  <c r="AX1039" i="19"/>
  <c r="AX1040" i="19"/>
  <c r="AX1041" i="19"/>
  <c r="AY1041" i="19" s="1"/>
  <c r="AX1042" i="19"/>
  <c r="AX1043" i="19"/>
  <c r="AX1044" i="19"/>
  <c r="AX1045" i="19"/>
  <c r="AY1045" i="19" s="1"/>
  <c r="AX1046" i="19"/>
  <c r="AX1047" i="19"/>
  <c r="AX1048" i="19"/>
  <c r="AX1049" i="19"/>
  <c r="AY1049" i="19" s="1"/>
  <c r="AX1050" i="19"/>
  <c r="AX1051" i="19"/>
  <c r="AX1052" i="19"/>
  <c r="AX1053" i="19"/>
  <c r="AY1053" i="19" s="1"/>
  <c r="AX1054" i="19"/>
  <c r="AX1055" i="19"/>
  <c r="AX1056" i="19"/>
  <c r="AX1057" i="19"/>
  <c r="AY1057" i="19" s="1"/>
  <c r="AX1058" i="19"/>
  <c r="AX1059" i="19"/>
  <c r="AX1060" i="19"/>
  <c r="AX1061" i="19"/>
  <c r="AY1061" i="19" s="1"/>
  <c r="AX1062" i="19"/>
  <c r="AX1063" i="19"/>
  <c r="AX1064" i="19"/>
  <c r="AX1065" i="19"/>
  <c r="AX1066" i="19"/>
  <c r="AX1067" i="19"/>
  <c r="AX1068" i="19"/>
  <c r="AX1069" i="19"/>
  <c r="AY1069" i="19" s="1"/>
  <c r="AX1070" i="19"/>
  <c r="AX1071" i="19"/>
  <c r="AX1072" i="19"/>
  <c r="AX1073" i="19"/>
  <c r="AY1073" i="19" s="1"/>
  <c r="AX1074" i="19"/>
  <c r="AX1075" i="19"/>
  <c r="AX1076" i="19"/>
  <c r="AX1077" i="19"/>
  <c r="AY1077" i="19" s="1"/>
  <c r="AX1078" i="19"/>
  <c r="AX1079" i="19"/>
  <c r="AX1080" i="19"/>
  <c r="AX1081" i="19"/>
  <c r="AY1081" i="19" s="1"/>
  <c r="AX1082" i="19"/>
  <c r="AX1083" i="19"/>
  <c r="AX1084" i="19"/>
  <c r="AX1085" i="19"/>
  <c r="AY1085" i="19" s="1"/>
  <c r="AX1086" i="19"/>
  <c r="AX1087" i="19"/>
  <c r="AX1088" i="19"/>
  <c r="AX1089" i="19"/>
  <c r="AY1089" i="19" s="1"/>
  <c r="AX1090" i="19"/>
  <c r="AX1091" i="19"/>
  <c r="AX1092" i="19"/>
  <c r="AX1093" i="19"/>
  <c r="AY1093" i="19" s="1"/>
  <c r="AX1094" i="19"/>
  <c r="AX1095" i="19"/>
  <c r="AX1096" i="19"/>
  <c r="AX1097" i="19"/>
  <c r="AY1097" i="19" s="1"/>
  <c r="AX1098" i="19"/>
  <c r="AX1099" i="19"/>
  <c r="AX1100" i="19"/>
  <c r="AX1101" i="19"/>
  <c r="AY1101" i="19" s="1"/>
  <c r="AX1102" i="19"/>
  <c r="AX1103" i="19"/>
  <c r="AX1104" i="19"/>
  <c r="AX1105" i="19"/>
  <c r="AX1106" i="19"/>
  <c r="AX1107" i="19"/>
  <c r="AX1108" i="19"/>
  <c r="AX1109" i="19"/>
  <c r="AY1109" i="19" s="1"/>
  <c r="AX1110" i="19"/>
  <c r="AX1111" i="19"/>
  <c r="AX1112" i="19"/>
  <c r="AX1113" i="19"/>
  <c r="AY1113" i="19" s="1"/>
  <c r="AX1114" i="19"/>
  <c r="AX1115" i="19"/>
  <c r="AX1116" i="19"/>
  <c r="AX1117" i="19"/>
  <c r="AY1117" i="19" s="1"/>
  <c r="AX1118" i="19"/>
  <c r="AX1119" i="19"/>
  <c r="AX1120" i="19"/>
  <c r="AX1121" i="19"/>
  <c r="AY1121" i="19" s="1"/>
  <c r="AX1122" i="19"/>
  <c r="AX1123" i="19"/>
  <c r="AX1124" i="19"/>
  <c r="AX1125" i="19"/>
  <c r="AY1125" i="19" s="1"/>
  <c r="AX1126" i="19"/>
  <c r="AX1127" i="19"/>
  <c r="AX1128" i="19"/>
  <c r="AX1129" i="19"/>
  <c r="AY1129" i="19" s="1"/>
  <c r="AX1130" i="19"/>
  <c r="AX1131" i="19"/>
  <c r="AX1132" i="19"/>
  <c r="AX1133" i="19"/>
  <c r="AY1133" i="19" s="1"/>
  <c r="AX1134" i="19"/>
  <c r="AX1135" i="19"/>
  <c r="AX1136" i="19"/>
  <c r="AX1137" i="19"/>
  <c r="AX1138" i="19"/>
  <c r="AX1139" i="19"/>
  <c r="AX1140" i="19"/>
  <c r="AX1141" i="19"/>
  <c r="AY1141" i="19" s="1"/>
  <c r="AX1142" i="19"/>
  <c r="AX1143" i="19"/>
  <c r="AX1144" i="19"/>
  <c r="AX1145" i="19"/>
  <c r="AY1145" i="19" s="1"/>
  <c r="AX1146" i="19"/>
  <c r="AX1147" i="19"/>
  <c r="AX1148" i="19"/>
  <c r="AX1149" i="19"/>
  <c r="AY1149" i="19" s="1"/>
  <c r="AX1150" i="19"/>
  <c r="AX1151" i="19"/>
  <c r="AX1152" i="19"/>
  <c r="AX1153" i="19"/>
  <c r="AY1153" i="19" s="1"/>
  <c r="AX1154" i="19"/>
  <c r="AX1155" i="19"/>
  <c r="AX1156" i="19"/>
  <c r="AX1157" i="19"/>
  <c r="AY1157" i="19" s="1"/>
  <c r="AX1158" i="19"/>
  <c r="AX1159" i="19"/>
  <c r="AX1160" i="19"/>
  <c r="AX1161" i="19"/>
  <c r="AY1161" i="19" s="1"/>
  <c r="AX1162" i="19"/>
  <c r="AX1163" i="19"/>
  <c r="AY1091" i="19"/>
  <c r="AY727" i="19"/>
  <c r="AY1165" i="19"/>
  <c r="AY927" i="19"/>
  <c r="AY403" i="19"/>
  <c r="AY931" i="19"/>
  <c r="AY335" i="19"/>
  <c r="AY19" i="19"/>
  <c r="AY1110" i="19"/>
  <c r="AY938" i="19"/>
  <c r="AY838" i="19"/>
  <c r="AY734" i="19"/>
  <c r="AY362" i="19"/>
  <c r="AY126" i="19"/>
  <c r="AY1105" i="19"/>
  <c r="AY997" i="19"/>
  <c r="AY885" i="19"/>
  <c r="AY769" i="19"/>
  <c r="AY429" i="19"/>
  <c r="AY125" i="19"/>
  <c r="AY29" i="19"/>
  <c r="AY1084" i="19"/>
  <c r="AY988" i="19"/>
  <c r="AY852" i="19"/>
  <c r="AY760" i="19"/>
  <c r="AY396" i="19"/>
  <c r="AY148" i="19"/>
  <c r="AY144" i="19"/>
  <c r="AY116" i="19"/>
  <c r="AY24" i="19"/>
  <c r="AY20" i="19"/>
  <c r="AY1119" i="19"/>
  <c r="AY1051" i="19"/>
  <c r="AY995" i="19"/>
  <c r="AY951" i="19"/>
  <c r="AY903" i="19"/>
  <c r="AY831" i="19"/>
  <c r="AY775" i="19"/>
  <c r="AY723" i="19"/>
  <c r="AY691" i="19"/>
  <c r="AY659" i="19"/>
  <c r="AY635" i="19"/>
  <c r="AY17" i="19"/>
  <c r="AY81" i="19"/>
  <c r="AY33" i="19"/>
  <c r="AY97" i="19"/>
  <c r="AY225" i="19"/>
  <c r="AY49" i="19"/>
  <c r="AY177" i="19"/>
  <c r="AY241" i="19"/>
  <c r="AY129" i="19"/>
  <c r="AY193" i="19"/>
  <c r="AY257" i="19"/>
  <c r="AY3" i="19"/>
  <c r="AY1164" i="19"/>
  <c r="AY1090" i="19"/>
  <c r="AY1046" i="19"/>
  <c r="AY1002" i="19"/>
  <c r="AY974" i="19"/>
  <c r="AY942" i="19"/>
  <c r="AY1137" i="19"/>
  <c r="AY1065" i="19"/>
  <c r="AY1017" i="19"/>
  <c r="AY969" i="19"/>
  <c r="AY941" i="19"/>
  <c r="AY853" i="19"/>
  <c r="AY1148" i="19"/>
  <c r="AY1104" i="19"/>
  <c r="AY1048" i="19"/>
  <c r="AY992" i="19"/>
  <c r="AY960" i="19"/>
  <c r="AY896" i="19"/>
  <c r="AY856" i="19"/>
  <c r="AY788" i="19"/>
  <c r="AY780" i="19"/>
  <c r="AY776" i="19"/>
  <c r="AY756" i="19"/>
  <c r="AY748" i="19"/>
  <c r="AY744" i="19"/>
  <c r="AY704" i="19"/>
  <c r="AY700" i="19"/>
  <c r="AY692" i="19"/>
  <c r="AY684" i="19"/>
  <c r="AY676" i="19"/>
  <c r="AY672" i="19"/>
  <c r="AY660" i="19"/>
  <c r="AY656" i="19"/>
  <c r="AY652" i="19"/>
  <c r="AY640" i="19"/>
  <c r="AY636" i="19"/>
  <c r="AY628" i="19"/>
  <c r="AY631" i="19"/>
  <c r="AY623" i="19"/>
  <c r="AY619" i="19"/>
  <c r="AY607" i="19"/>
  <c r="AY603" i="19"/>
  <c r="AY599" i="19"/>
  <c r="AY587" i="19"/>
  <c r="AY583" i="19"/>
  <c r="AY575" i="19"/>
  <c r="AY567" i="19"/>
  <c r="AY559" i="19"/>
  <c r="AY555" i="19"/>
  <c r="AY543" i="19"/>
  <c r="AY539" i="19"/>
  <c r="AY535" i="19"/>
  <c r="AY523" i="19"/>
  <c r="AY519" i="19"/>
  <c r="AY511" i="19"/>
  <c r="AY507" i="19"/>
  <c r="AY503" i="19"/>
  <c r="AY495" i="19"/>
  <c r="AY491" i="19"/>
  <c r="AY487" i="19"/>
  <c r="AY479" i="19"/>
  <c r="AY475" i="19"/>
  <c r="AY471" i="19"/>
  <c r="AY463" i="19"/>
  <c r="AY455" i="19"/>
  <c r="AY451" i="19"/>
  <c r="AY443" i="19"/>
  <c r="AY435" i="19"/>
  <c r="AY431" i="19"/>
  <c r="AY419" i="19"/>
  <c r="AY411" i="19"/>
  <c r="AY399" i="19"/>
  <c r="AY391" i="19"/>
  <c r="AY383" i="19"/>
  <c r="AY379" i="19"/>
  <c r="AY359" i="19"/>
  <c r="AY355" i="19"/>
  <c r="AY347" i="19"/>
  <c r="AY331" i="19"/>
  <c r="AY327" i="19"/>
  <c r="AY323" i="19"/>
  <c r="AY315" i="19"/>
  <c r="AY311" i="19"/>
  <c r="AY307" i="19"/>
  <c r="AY299" i="19"/>
  <c r="AY295" i="19"/>
  <c r="AY291" i="19"/>
  <c r="AY283" i="19"/>
  <c r="AY279" i="19"/>
  <c r="AY275" i="19"/>
  <c r="AY267" i="19"/>
  <c r="AY263" i="19"/>
  <c r="AY259" i="19"/>
  <c r="AY251" i="19"/>
  <c r="AY247" i="19"/>
  <c r="AY243" i="19"/>
  <c r="AY235" i="19"/>
  <c r="AY231" i="19"/>
  <c r="AY227" i="19"/>
  <c r="AY215" i="19"/>
  <c r="AY211" i="19"/>
  <c r="AY207" i="19"/>
  <c r="AY199" i="19"/>
  <c r="AY195" i="19"/>
  <c r="AY191" i="19"/>
  <c r="AY183" i="19"/>
  <c r="AY179" i="19"/>
  <c r="AY175" i="19"/>
  <c r="AY167" i="19"/>
  <c r="AY163" i="19"/>
  <c r="AY159" i="19"/>
  <c r="AY139" i="19"/>
  <c r="AY135" i="19"/>
  <c r="AY127" i="19"/>
  <c r="AY119" i="19"/>
  <c r="AY115" i="19"/>
  <c r="AY107" i="19"/>
  <c r="AY95" i="19"/>
  <c r="AY91" i="19"/>
  <c r="AY87" i="19"/>
  <c r="AY79" i="19"/>
  <c r="AY75" i="19"/>
  <c r="AY71" i="19"/>
  <c r="AY63" i="19"/>
  <c r="AY59" i="19"/>
  <c r="AY55" i="19"/>
  <c r="AY47" i="19"/>
  <c r="AY43" i="19"/>
  <c r="AY39" i="19"/>
  <c r="AY31" i="19"/>
  <c r="AY27" i="19"/>
  <c r="AY23" i="19"/>
  <c r="AY11" i="19"/>
  <c r="AY7" i="19"/>
  <c r="AY894" i="19"/>
  <c r="AY890" i="19"/>
  <c r="AY886" i="19"/>
  <c r="AY882" i="19"/>
  <c r="AY878" i="19"/>
  <c r="AY874" i="19"/>
  <c r="AY846" i="19"/>
  <c r="AY842" i="19"/>
  <c r="AY834" i="19"/>
  <c r="AY830" i="19"/>
  <c r="AY826" i="19"/>
  <c r="AY814" i="19"/>
  <c r="AY806" i="19"/>
  <c r="AY798" i="19"/>
  <c r="AY794" i="19"/>
  <c r="AY786" i="19"/>
  <c r="AY782" i="19"/>
  <c r="AY774" i="19"/>
  <c r="AY762" i="19"/>
  <c r="AY758" i="19"/>
  <c r="AY754" i="19"/>
  <c r="AY750" i="19"/>
  <c r="AY742" i="19"/>
  <c r="AY726" i="19"/>
  <c r="AY718" i="19"/>
  <c r="AY714" i="19"/>
  <c r="AY710" i="19"/>
  <c r="AY706" i="19"/>
  <c r="AY702" i="19"/>
  <c r="AY698" i="19"/>
  <c r="AY694" i="19"/>
  <c r="AY690" i="19"/>
  <c r="AY686" i="19"/>
  <c r="AY682" i="19"/>
  <c r="AY678" i="19"/>
  <c r="AY674" i="19"/>
  <c r="AY670" i="19"/>
  <c r="AY666" i="19"/>
  <c r="AY662" i="19"/>
  <c r="AY658" i="19"/>
  <c r="AY654" i="19"/>
  <c r="AY650" i="19"/>
  <c r="AY646" i="19"/>
  <c r="AY642" i="19"/>
  <c r="AY638" i="19"/>
  <c r="AY634" i="19"/>
  <c r="AY630" i="19"/>
  <c r="AY626" i="19"/>
  <c r="AY622" i="19"/>
  <c r="AY618" i="19"/>
  <c r="AY614" i="19"/>
  <c r="AY610" i="19"/>
  <c r="AY606" i="19"/>
  <c r="AY602" i="19"/>
  <c r="AY598" i="19"/>
  <c r="AY594" i="19"/>
  <c r="AY590" i="19"/>
  <c r="AY586" i="19"/>
  <c r="AY582" i="19"/>
  <c r="AY578" i="19"/>
  <c r="AY574" i="19"/>
  <c r="AY570" i="19"/>
  <c r="AY566" i="19"/>
  <c r="AY562" i="19"/>
  <c r="AY558" i="19"/>
  <c r="AY554" i="19"/>
  <c r="AY550" i="19"/>
  <c r="AY546" i="19"/>
  <c r="AY542" i="19"/>
  <c r="AY538" i="19"/>
  <c r="AY534" i="19"/>
  <c r="AY530" i="19"/>
  <c r="AY526" i="19"/>
  <c r="AY522" i="19"/>
  <c r="AY518" i="19"/>
  <c r="AY514" i="19"/>
  <c r="AY510" i="19"/>
  <c r="AY506" i="19"/>
  <c r="AY502" i="19"/>
  <c r="AY498" i="19"/>
  <c r="AY494" i="19"/>
  <c r="AY490" i="19"/>
  <c r="AY486" i="19"/>
  <c r="AY482" i="19"/>
  <c r="AY478" i="19"/>
  <c r="AY474" i="19"/>
  <c r="AY470" i="19"/>
  <c r="AY466" i="19"/>
  <c r="AY462" i="19"/>
  <c r="AY454" i="19"/>
  <c r="AY450" i="19"/>
  <c r="AY446" i="19"/>
  <c r="AY442" i="19"/>
  <c r="AY430" i="19"/>
  <c r="AY418" i="19"/>
  <c r="AY414" i="19"/>
  <c r="AY410" i="19"/>
  <c r="AY402" i="19"/>
  <c r="AY398" i="19"/>
  <c r="AY390" i="19"/>
  <c r="AY386" i="19"/>
  <c r="AY382" i="19"/>
  <c r="AY374" i="19"/>
  <c r="AY370" i="19"/>
  <c r="AY358" i="19"/>
  <c r="AY354" i="19"/>
  <c r="AY350" i="19"/>
  <c r="AY346" i="19"/>
  <c r="AY342" i="19"/>
  <c r="AY825" i="19"/>
  <c r="AY821" i="19"/>
  <c r="AY813" i="19"/>
  <c r="AY797" i="19"/>
  <c r="AY793" i="19"/>
  <c r="AY781" i="19"/>
  <c r="AY773" i="19"/>
  <c r="AY765" i="19"/>
  <c r="AY761" i="19"/>
  <c r="AY737" i="19"/>
  <c r="AY729" i="19"/>
  <c r="AY721" i="19"/>
  <c r="AY705" i="19"/>
  <c r="AY701" i="19"/>
  <c r="AY697" i="19"/>
  <c r="AY693" i="19"/>
  <c r="AY689" i="19"/>
  <c r="AY685" i="19"/>
  <c r="AY681" i="19"/>
  <c r="AY677" i="19"/>
  <c r="AY673" i="19"/>
  <c r="AY669" i="19"/>
  <c r="AY665" i="19"/>
  <c r="AY661" i="19"/>
  <c r="AY657" i="19"/>
  <c r="AY653" i="19"/>
  <c r="AY649" i="19"/>
  <c r="AY645" i="19"/>
  <c r="AY641" i="19"/>
  <c r="AY637" i="19"/>
  <c r="AY633" i="19"/>
  <c r="AY629" i="19"/>
  <c r="AY625" i="19"/>
  <c r="AY621" i="19"/>
  <c r="AY617" i="19"/>
  <c r="AY613" i="19"/>
  <c r="AY609" i="19"/>
  <c r="AY605" i="19"/>
  <c r="AY601" i="19"/>
  <c r="AY597" i="19"/>
  <c r="AY593" i="19"/>
  <c r="AY589" i="19"/>
  <c r="AY585" i="19"/>
  <c r="AY581" i="19"/>
  <c r="AY577" i="19"/>
  <c r="AY573" i="19"/>
  <c r="AY569" i="19"/>
  <c r="AY565" i="19"/>
  <c r="AY561" i="19"/>
  <c r="AY557" i="19"/>
  <c r="AY553" i="19"/>
  <c r="AY549" i="19"/>
  <c r="AY545" i="19"/>
  <c r="AY541" i="19"/>
  <c r="AY537" i="19"/>
  <c r="AY533" i="19"/>
  <c r="AY529" i="19"/>
  <c r="AY525" i="19"/>
  <c r="AY521" i="19"/>
  <c r="AY517" i="19"/>
  <c r="AY513" i="19"/>
  <c r="AY509" i="19"/>
  <c r="AY505" i="19"/>
  <c r="AY501" i="19"/>
  <c r="AY497" i="19"/>
  <c r="AY493" i="19"/>
  <c r="AY489" i="19"/>
  <c r="AY485" i="19"/>
  <c r="AY481" i="19"/>
  <c r="AY477" i="19"/>
  <c r="AY473" i="19"/>
  <c r="AY469" i="19"/>
  <c r="AY465" i="19"/>
  <c r="AY461" i="19"/>
  <c r="AY457" i="19"/>
  <c r="AY453" i="19"/>
  <c r="AY449" i="19"/>
  <c r="AY445" i="19"/>
  <c r="AY441" i="19"/>
  <c r="AY437" i="19"/>
  <c r="AY421" i="19"/>
  <c r="AY413" i="19"/>
  <c r="AY409" i="19"/>
  <c r="AY397" i="19"/>
  <c r="AY393" i="19"/>
  <c r="AY361" i="19"/>
  <c r="AY345" i="19"/>
  <c r="AY329" i="19"/>
  <c r="AY313" i="19"/>
  <c r="AY297" i="19"/>
  <c r="AY281" i="19"/>
  <c r="AY265" i="19"/>
  <c r="AY249" i="19"/>
  <c r="AY233" i="19"/>
  <c r="AY217" i="19"/>
  <c r="AY201" i="19"/>
  <c r="AY185" i="19"/>
  <c r="AY169" i="19"/>
  <c r="AY153" i="19"/>
  <c r="AY137" i="19"/>
  <c r="AY121" i="19"/>
  <c r="AY105" i="19"/>
  <c r="AY89" i="19"/>
  <c r="AY73" i="19"/>
  <c r="AY57" i="19"/>
  <c r="AY41" i="19"/>
  <c r="AY9" i="19"/>
  <c r="AY620" i="19"/>
  <c r="AY616" i="19"/>
  <c r="AY612" i="19"/>
  <c r="AY608" i="19"/>
  <c r="AY604" i="19"/>
  <c r="AY600" i="19"/>
  <c r="AY596" i="19"/>
  <c r="AY592" i="19"/>
  <c r="AY588" i="19"/>
  <c r="AY584" i="19"/>
  <c r="AY580" i="19"/>
  <c r="AY576" i="19"/>
  <c r="AY572" i="19"/>
  <c r="AY568" i="19"/>
  <c r="AY564" i="19"/>
  <c r="AY560" i="19"/>
  <c r="AY556" i="19"/>
  <c r="AY552" i="19"/>
  <c r="AY548" i="19"/>
  <c r="AY544" i="19"/>
  <c r="AY540" i="19"/>
  <c r="AY536" i="19"/>
  <c r="AY532" i="19"/>
  <c r="AY528" i="19"/>
  <c r="AY524" i="19"/>
  <c r="AY520" i="19"/>
  <c r="AY516" i="19"/>
  <c r="AY512" i="19"/>
  <c r="AY508" i="19"/>
  <c r="AY504" i="19"/>
  <c r="AY500" i="19"/>
  <c r="AY496" i="19"/>
  <c r="AY492" i="19"/>
  <c r="AY488" i="19"/>
  <c r="AY484" i="19"/>
  <c r="AY480" i="19"/>
  <c r="AY476" i="19"/>
  <c r="AY472" i="19"/>
  <c r="AY468" i="19"/>
  <c r="AY464" i="19"/>
  <c r="AY460" i="19"/>
  <c r="AY456" i="19"/>
  <c r="AY452" i="19"/>
  <c r="AY448" i="19"/>
  <c r="AY444" i="19"/>
  <c r="AY440" i="19"/>
  <c r="AY436" i="19"/>
  <c r="AY432" i="19"/>
  <c r="AY428" i="19"/>
  <c r="AY412" i="19"/>
  <c r="AY404" i="19"/>
  <c r="AY400" i="19"/>
  <c r="AY392" i="19"/>
  <c r="AY384" i="19"/>
  <c r="AY380" i="19"/>
  <c r="AY376" i="19"/>
  <c r="AY372" i="19"/>
  <c r="AY360" i="19"/>
  <c r="AY356" i="19"/>
  <c r="AY352" i="19"/>
  <c r="AY348" i="19"/>
  <c r="AY344" i="19"/>
  <c r="AY332" i="19"/>
  <c r="AY328" i="19"/>
  <c r="AY324" i="19"/>
  <c r="AY320" i="19"/>
  <c r="AY316" i="19"/>
  <c r="AY312" i="19"/>
  <c r="AY308" i="19"/>
  <c r="AY304" i="19"/>
  <c r="AY300" i="19"/>
  <c r="AY296" i="19"/>
  <c r="AY292" i="19"/>
  <c r="AY288" i="19"/>
  <c r="AY284" i="19"/>
  <c r="AY280" i="19"/>
  <c r="AY276" i="19"/>
  <c r="AY272" i="19"/>
  <c r="AY268" i="19"/>
  <c r="AY264" i="19"/>
  <c r="AY260" i="19"/>
  <c r="AY256" i="19"/>
  <c r="AY252" i="19"/>
  <c r="AY248" i="19"/>
  <c r="AY244" i="19"/>
  <c r="AY240" i="19"/>
  <c r="AY236" i="19"/>
  <c r="AY232" i="19"/>
  <c r="AY228" i="19"/>
  <c r="AY224" i="19"/>
  <c r="AY220" i="19"/>
  <c r="AY216" i="19"/>
  <c r="AY212" i="19"/>
  <c r="AY208" i="19"/>
  <c r="AY204" i="19"/>
  <c r="AY200" i="19"/>
  <c r="AY196" i="19"/>
  <c r="AY192" i="19"/>
  <c r="AY188" i="19"/>
  <c r="AY184" i="19"/>
  <c r="AY180" i="19"/>
  <c r="AY176" i="19"/>
  <c r="AY172" i="19"/>
  <c r="AY168" i="19"/>
  <c r="AY164" i="19"/>
  <c r="AY160" i="19"/>
  <c r="AY156" i="19"/>
  <c r="AY140" i="19"/>
  <c r="AY136" i="19"/>
  <c r="AY128" i="19"/>
  <c r="AY120" i="19"/>
  <c r="AY100" i="19"/>
  <c r="AY96" i="19"/>
  <c r="AY92" i="19"/>
  <c r="AY88" i="19"/>
  <c r="AY84" i="19"/>
  <c r="AY80" i="19"/>
  <c r="AY76" i="19"/>
  <c r="AY72" i="19"/>
  <c r="AY68" i="19"/>
  <c r="AY64" i="19"/>
  <c r="AY60" i="19"/>
  <c r="AY56" i="19"/>
  <c r="AY52" i="19"/>
  <c r="AY48" i="19"/>
  <c r="AY44" i="19"/>
  <c r="AY40" i="19"/>
  <c r="AY36" i="19"/>
  <c r="AY32" i="19"/>
  <c r="AY28" i="19"/>
  <c r="AY16" i="19"/>
  <c r="AY12" i="19"/>
  <c r="AY8" i="19"/>
  <c r="AY4" i="19"/>
  <c r="AY338" i="19"/>
  <c r="AY330" i="19"/>
  <c r="AY326" i="19"/>
  <c r="AY322" i="19"/>
  <c r="AY318" i="19"/>
  <c r="AY314" i="19"/>
  <c r="AY310" i="19"/>
  <c r="AY306" i="19"/>
  <c r="AY302" i="19"/>
  <c r="AY298" i="19"/>
  <c r="AY294" i="19"/>
  <c r="AY290" i="19"/>
  <c r="AY286" i="19"/>
  <c r="AY282" i="19"/>
  <c r="AY278" i="19"/>
  <c r="AY274" i="19"/>
  <c r="AY270" i="19"/>
  <c r="AY266" i="19"/>
  <c r="AY262" i="19"/>
  <c r="AY258" i="19"/>
  <c r="AY254" i="19"/>
  <c r="AY250" i="19"/>
  <c r="AY246" i="19"/>
  <c r="AY242" i="19"/>
  <c r="AY238" i="19"/>
  <c r="AY234" i="19"/>
  <c r="AY230" i="19"/>
  <c r="AY226" i="19"/>
  <c r="AY222" i="19"/>
  <c r="AY218" i="19"/>
  <c r="AY214" i="19"/>
  <c r="AY210" i="19"/>
  <c r="AY206" i="19"/>
  <c r="AY202" i="19"/>
  <c r="AY198" i="19"/>
  <c r="AY194" i="19"/>
  <c r="AY190" i="19"/>
  <c r="AY186" i="19"/>
  <c r="AY182" i="19"/>
  <c r="AY178" i="19"/>
  <c r="AY174" i="19"/>
  <c r="AY170" i="19"/>
  <c r="AY166" i="19"/>
  <c r="AY162" i="19"/>
  <c r="AY158" i="19"/>
  <c r="AY154" i="19"/>
  <c r="AY150" i="19"/>
  <c r="AY134" i="19"/>
  <c r="AY130" i="19"/>
  <c r="AY122" i="19"/>
  <c r="AY118" i="19"/>
  <c r="AY114" i="19"/>
  <c r="AY110" i="19"/>
  <c r="AY106" i="19"/>
  <c r="AY102" i="19"/>
  <c r="AY98" i="19"/>
  <c r="AY94" i="19"/>
  <c r="AY90" i="19"/>
  <c r="AY86" i="19"/>
  <c r="AY82" i="19"/>
  <c r="AY78" i="19"/>
  <c r="AY74" i="19"/>
  <c r="AY70" i="19"/>
  <c r="AY66" i="19"/>
  <c r="AY62" i="19"/>
  <c r="AY58" i="19"/>
  <c r="AY54" i="19"/>
  <c r="AY50" i="19"/>
  <c r="AY46" i="19"/>
  <c r="AY42" i="19"/>
  <c r="AY38" i="19"/>
  <c r="AY34" i="19"/>
  <c r="AY30" i="19"/>
  <c r="AY26" i="19"/>
  <c r="AY22" i="19"/>
  <c r="AY18" i="19"/>
  <c r="AY14" i="19"/>
  <c r="AY10" i="19"/>
  <c r="AY6" i="19"/>
  <c r="AY389" i="19"/>
  <c r="AY381" i="19"/>
  <c r="AY357" i="19"/>
  <c r="AY349" i="19"/>
  <c r="AY333" i="19"/>
  <c r="AY325" i="19"/>
  <c r="AY317" i="19"/>
  <c r="AY309" i="19"/>
  <c r="AY301" i="19"/>
  <c r="AY293" i="19"/>
  <c r="AY277" i="19"/>
  <c r="AY269" i="19"/>
  <c r="AY261" i="19"/>
  <c r="AY253" i="19"/>
  <c r="AY245" i="19"/>
  <c r="AY237" i="19"/>
  <c r="AY229" i="19"/>
  <c r="AY221" i="19"/>
  <c r="AY213" i="19"/>
  <c r="AY205" i="19"/>
  <c r="AY197" i="19"/>
  <c r="AY189" i="19"/>
  <c r="AY181" i="19"/>
  <c r="AY173" i="19"/>
  <c r="AY165" i="19"/>
  <c r="AY157" i="19"/>
  <c r="AY149" i="19"/>
  <c r="AY141" i="19"/>
  <c r="AY133" i="19"/>
  <c r="AY101" i="19"/>
  <c r="AY93" i="19"/>
  <c r="AY85" i="19"/>
  <c r="AY77" i="19"/>
  <c r="AY69" i="19"/>
  <c r="AY61" i="19"/>
  <c r="AY53" i="19"/>
  <c r="AY45" i="19"/>
  <c r="AY37" i="19"/>
  <c r="AY21" i="19"/>
  <c r="AY13" i="19"/>
  <c r="AY5" i="19"/>
  <c r="AZ12" i="19" s="1"/>
  <c r="AZ4" i="19"/>
  <c r="AZ8" i="19"/>
  <c r="AZ5" i="19"/>
  <c r="AZ13" i="19"/>
  <c r="AZ10" i="19"/>
  <c r="AZ7" i="19"/>
  <c r="AZ3" i="19"/>
  <c r="B26" i="11"/>
  <c r="B25" i="11"/>
  <c r="B30" i="14"/>
  <c r="A30" i="14"/>
  <c r="B29" i="14"/>
  <c r="A29" i="14"/>
  <c r="B28" i="14"/>
  <c r="A28" i="14"/>
  <c r="B27" i="14"/>
  <c r="A27" i="14"/>
  <c r="B26" i="14"/>
  <c r="A26" i="14"/>
  <c r="B25" i="14"/>
  <c r="A25" i="14"/>
  <c r="B24" i="14"/>
  <c r="A24" i="14"/>
  <c r="B23" i="14"/>
  <c r="A23" i="14"/>
  <c r="B22" i="14"/>
  <c r="A22" i="14"/>
  <c r="B21" i="14"/>
  <c r="A21" i="14"/>
  <c r="B20" i="14"/>
  <c r="A20" i="14"/>
  <c r="B19" i="14"/>
  <c r="A19" i="14"/>
  <c r="B18" i="14"/>
  <c r="A18" i="14"/>
  <c r="B17" i="14"/>
  <c r="A17" i="14"/>
  <c r="B16" i="14"/>
  <c r="A16" i="14"/>
  <c r="B15" i="14"/>
  <c r="A15" i="14"/>
  <c r="B14" i="14"/>
  <c r="A14" i="14"/>
  <c r="B13" i="14"/>
  <c r="A13" i="14"/>
  <c r="B12" i="14"/>
  <c r="A12" i="14"/>
  <c r="B11" i="14"/>
  <c r="A11" i="14"/>
  <c r="B10" i="14"/>
  <c r="A10" i="14"/>
  <c r="B9" i="14"/>
  <c r="A9" i="14"/>
  <c r="B8" i="14"/>
  <c r="A8" i="14"/>
  <c r="B7" i="14"/>
  <c r="A7" i="14"/>
  <c r="A1" i="15"/>
  <c r="O26" i="19"/>
  <c r="O25" i="19"/>
  <c r="O24" i="19"/>
  <c r="O23" i="19"/>
  <c r="O22" i="19"/>
  <c r="O21" i="19"/>
  <c r="O20" i="19"/>
  <c r="O19" i="19"/>
  <c r="O18" i="19"/>
  <c r="O17" i="19"/>
  <c r="O16" i="19"/>
  <c r="O15" i="19"/>
  <c r="O14" i="19"/>
  <c r="O13" i="19"/>
  <c r="O12" i="19"/>
  <c r="O11" i="19"/>
  <c r="O10" i="19"/>
  <c r="O9" i="19"/>
  <c r="O8" i="19"/>
  <c r="O7" i="19"/>
  <c r="O6" i="19"/>
  <c r="O5" i="19"/>
  <c r="O4" i="19"/>
  <c r="O3" i="19"/>
  <c r="C7" i="18"/>
  <c r="C6" i="18"/>
  <c r="C5" i="18"/>
  <c r="C4" i="18"/>
  <c r="C3" i="18"/>
  <c r="AZ11" i="19" l="1"/>
  <c r="AY1071" i="19"/>
  <c r="AY847" i="19"/>
  <c r="AY155" i="19"/>
  <c r="AY1135" i="19"/>
  <c r="AY827" i="19"/>
  <c r="AY415" i="19"/>
  <c r="AY1151" i="19"/>
  <c r="AY899" i="19"/>
  <c r="AY739" i="19"/>
  <c r="AY111" i="19"/>
  <c r="AY1126" i="19"/>
  <c r="AY1082" i="19"/>
  <c r="AY994" i="19"/>
  <c r="AY906" i="19"/>
  <c r="AY850" i="19"/>
  <c r="AY790" i="19"/>
  <c r="AY730" i="19"/>
  <c r="AY394" i="19"/>
  <c r="AY138" i="19"/>
  <c r="AY1152" i="19"/>
  <c r="AY1088" i="19"/>
  <c r="AY1020" i="19"/>
  <c r="AY932" i="19"/>
  <c r="AY884" i="19"/>
  <c r="AY832" i="19"/>
  <c r="AY796" i="19"/>
  <c r="AY732" i="19"/>
  <c r="AY420" i="19"/>
  <c r="AY336" i="19"/>
  <c r="AY1155" i="19"/>
  <c r="AY1099" i="19"/>
  <c r="AY1063" i="19"/>
  <c r="AY1043" i="19"/>
  <c r="AY1003" i="19"/>
  <c r="AY979" i="19"/>
  <c r="AY959" i="19"/>
  <c r="AY923" i="19"/>
  <c r="AY895" i="19"/>
  <c r="AY843" i="19"/>
  <c r="AY815" i="19"/>
  <c r="AY783" i="19"/>
  <c r="AY759" i="19"/>
  <c r="AY735" i="19"/>
  <c r="AY703" i="19"/>
  <c r="AY687" i="19"/>
  <c r="AY671" i="19"/>
  <c r="AY655" i="19"/>
  <c r="AY639" i="19"/>
  <c r="AY209" i="19"/>
  <c r="AY161" i="19"/>
  <c r="AY113" i="19"/>
  <c r="AY65" i="19"/>
  <c r="AY1158" i="19"/>
  <c r="AY1130" i="19"/>
  <c r="AY1078" i="19"/>
  <c r="AY1054" i="19"/>
  <c r="AY1030" i="19"/>
  <c r="AY1006" i="19"/>
  <c r="AY986" i="19"/>
  <c r="AY970" i="19"/>
  <c r="AY954" i="19"/>
  <c r="AY930" i="19"/>
  <c r="AY1156" i="19"/>
  <c r="AY1128" i="19"/>
  <c r="AY1096" i="19"/>
  <c r="AY1064" i="19"/>
  <c r="AY1044" i="19"/>
  <c r="AY1008" i="19"/>
  <c r="AY980" i="19"/>
  <c r="AY964" i="19"/>
  <c r="AY948" i="19"/>
  <c r="AY904" i="19"/>
  <c r="AY876" i="19"/>
  <c r="AY844" i="19"/>
  <c r="AY784" i="19"/>
  <c r="AY768" i="19"/>
  <c r="AY720" i="19"/>
  <c r="AY696" i="19"/>
  <c r="AY680" i="19"/>
  <c r="AY664" i="19"/>
  <c r="AY648" i="19"/>
  <c r="AY632" i="19"/>
  <c r="AY627" i="19"/>
  <c r="AY611" i="19"/>
  <c r="AY595" i="19"/>
  <c r="AY579" i="19"/>
  <c r="AY563" i="19"/>
  <c r="AY547" i="19"/>
  <c r="AY531" i="19"/>
  <c r="AY515" i="19"/>
  <c r="AY499" i="19"/>
  <c r="AY483" i="19"/>
  <c r="AY467" i="19"/>
  <c r="AY447" i="19"/>
  <c r="AY427" i="19"/>
  <c r="AY395" i="19"/>
  <c r="AY375" i="19"/>
  <c r="AY343" i="19"/>
  <c r="AY319" i="19"/>
  <c r="AY303" i="19"/>
  <c r="AY287" i="19"/>
  <c r="AY271" i="19"/>
  <c r="AY255" i="19"/>
  <c r="AY239" i="19"/>
  <c r="AY223" i="19"/>
  <c r="AY203" i="19"/>
  <c r="AY187" i="19"/>
  <c r="AY171" i="19"/>
  <c r="AY143" i="19"/>
  <c r="AY123" i="19"/>
  <c r="AY99" i="19"/>
  <c r="AY83" i="19"/>
  <c r="AY67" i="19"/>
  <c r="AY51" i="19"/>
  <c r="AY35" i="19"/>
  <c r="AY15" i="19"/>
  <c r="AZ1068" i="19" s="1"/>
  <c r="AY219" i="19"/>
  <c r="AY935" i="19"/>
  <c r="AY339" i="19"/>
  <c r="AY1107" i="19"/>
  <c r="AY731" i="19"/>
  <c r="AY103" i="19"/>
  <c r="AY851" i="19"/>
  <c r="AY407" i="19"/>
  <c r="AY1134" i="19"/>
  <c r="AY1058" i="19"/>
  <c r="AY918" i="19"/>
  <c r="AY862" i="19"/>
  <c r="AY770" i="19"/>
  <c r="AY434" i="19"/>
  <c r="AY146" i="19"/>
  <c r="AY117" i="19"/>
  <c r="AY1100" i="19"/>
  <c r="AY1012" i="19"/>
  <c r="AY920" i="19"/>
  <c r="AY840" i="19"/>
  <c r="AY792" i="19"/>
  <c r="AY708" i="19"/>
  <c r="AY364" i="19"/>
  <c r="AY1131" i="19"/>
  <c r="AY1067" i="19"/>
  <c r="AY1031" i="19"/>
  <c r="AY991" i="19"/>
  <c r="AY963" i="19"/>
  <c r="AY919" i="19"/>
  <c r="AY883" i="19"/>
  <c r="AY823" i="19"/>
  <c r="AY779" i="19"/>
  <c r="AY751" i="19"/>
  <c r="AY707" i="19"/>
  <c r="AY683" i="19"/>
  <c r="AY663" i="19"/>
  <c r="AY643" i="19"/>
  <c r="AY273" i="19"/>
  <c r="AY1146" i="19"/>
  <c r="AY1086" i="19"/>
  <c r="AY1050" i="19"/>
  <c r="AY1022" i="19"/>
  <c r="AY990" i="19"/>
  <c r="AY966" i="19"/>
  <c r="AY946" i="19"/>
  <c r="AY1140" i="19"/>
  <c r="AY1092" i="19"/>
  <c r="AY1052" i="19"/>
  <c r="AY1032" i="19"/>
  <c r="AY976" i="19"/>
  <c r="AY956" i="19"/>
  <c r="AY912" i="19"/>
  <c r="AY868" i="19"/>
  <c r="AY828" i="19"/>
  <c r="AY772" i="19"/>
  <c r="AY716" i="19"/>
  <c r="AY688" i="19"/>
  <c r="AY668" i="19"/>
  <c r="AY644" i="19"/>
  <c r="AY624" i="19"/>
  <c r="AY615" i="19"/>
  <c r="AY591" i="19"/>
  <c r="AY571" i="19"/>
  <c r="AY551" i="19"/>
  <c r="AY527" i="19"/>
  <c r="AZ54" i="19"/>
  <c r="AZ6" i="19"/>
  <c r="AZ9" i="19"/>
  <c r="AZ20" i="19"/>
  <c r="AY924" i="19"/>
  <c r="AY968" i="19"/>
  <c r="AY1004" i="19"/>
  <c r="AY1060" i="19"/>
  <c r="AY1108" i="19"/>
  <c r="AY1160" i="19"/>
  <c r="AY950" i="19"/>
  <c r="AY978" i="19"/>
  <c r="AY1014" i="19"/>
  <c r="AY1062" i="19"/>
  <c r="AY1106" i="19"/>
  <c r="AY667" i="19"/>
  <c r="AY791" i="19"/>
  <c r="AY835" i="19"/>
  <c r="AY915" i="19"/>
  <c r="AY967" i="19"/>
  <c r="AY1011" i="19"/>
  <c r="AY1059" i="19"/>
  <c r="AY1143" i="19"/>
  <c r="AY424" i="19"/>
  <c r="AY808" i="19"/>
  <c r="AY872" i="19"/>
  <c r="AY996" i="19"/>
  <c r="AY1124" i="19"/>
  <c r="AY378" i="19"/>
  <c r="AY746" i="19"/>
  <c r="AY1114" i="19"/>
  <c r="AY711" i="19"/>
  <c r="AY1087" i="19"/>
  <c r="AY719" i="19"/>
  <c r="AY1159" i="19"/>
  <c r="AY771" i="19"/>
  <c r="AY1115" i="19"/>
  <c r="AY888" i="19"/>
  <c r="AY944" i="19"/>
  <c r="AY972" i="19"/>
  <c r="AY1036" i="19"/>
  <c r="AY1072" i="19"/>
  <c r="AY958" i="19"/>
  <c r="AY982" i="19"/>
  <c r="AY1026" i="19"/>
  <c r="AY1066" i="19"/>
  <c r="AY1142" i="19"/>
  <c r="AY675" i="19"/>
  <c r="AY699" i="19"/>
  <c r="AY755" i="19"/>
  <c r="AY795" i="19"/>
  <c r="AY863" i="19"/>
  <c r="AY943" i="19"/>
  <c r="AY975" i="19"/>
  <c r="AY1015" i="19"/>
  <c r="AY1079" i="19"/>
  <c r="AY728" i="19"/>
  <c r="AY812" i="19"/>
  <c r="AY900" i="19"/>
  <c r="AY1028" i="19"/>
  <c r="AY1132" i="19"/>
  <c r="AY1042" i="19"/>
  <c r="AY819" i="19"/>
  <c r="AY1123" i="19"/>
  <c r="AY799" i="19"/>
  <c r="AY871" i="19"/>
  <c r="AZ126" i="19"/>
  <c r="AZ62" i="19"/>
  <c r="AZ14" i="19"/>
  <c r="AZ145" i="19"/>
  <c r="AZ81" i="19"/>
  <c r="AZ17" i="19"/>
  <c r="AZ92" i="19"/>
  <c r="AZ28" i="19"/>
  <c r="AY836" i="19"/>
  <c r="AY952" i="19"/>
  <c r="AY1076" i="19"/>
  <c r="AY1144" i="19"/>
  <c r="AY926" i="19"/>
  <c r="AY1038" i="19"/>
  <c r="AY763" i="19"/>
  <c r="AY947" i="19"/>
  <c r="AY983" i="19"/>
  <c r="AY1095" i="19"/>
  <c r="AY388" i="19"/>
  <c r="AY1056" i="19"/>
  <c r="AY875" i="19"/>
  <c r="AY131" i="19"/>
  <c r="AY999" i="19"/>
  <c r="AY1136" i="19"/>
  <c r="AY1120" i="19"/>
  <c r="AY1116" i="19"/>
  <c r="AY1080" i="19"/>
  <c r="AY1068" i="19"/>
  <c r="AY1024" i="19"/>
  <c r="AY1016" i="19"/>
  <c r="AY1000" i="19"/>
  <c r="AY940" i="19"/>
  <c r="AY936" i="19"/>
  <c r="AY916" i="19"/>
  <c r="AY908" i="19"/>
  <c r="AY880" i="19"/>
  <c r="AY864" i="19"/>
  <c r="AY848" i="19"/>
  <c r="AY824" i="19"/>
  <c r="AY820" i="19"/>
  <c r="AY804" i="19"/>
  <c r="AY800" i="19"/>
  <c r="AY764" i="19"/>
  <c r="AY752" i="19"/>
  <c r="AY736" i="19"/>
  <c r="AY724" i="19"/>
  <c r="AY712" i="19"/>
  <c r="AY416" i="19"/>
  <c r="AY408" i="19"/>
  <c r="AY368" i="19"/>
  <c r="AY340" i="19"/>
  <c r="AY151" i="19"/>
  <c r="AZ549" i="19" s="1"/>
  <c r="AY147" i="19"/>
  <c r="AY1127" i="19"/>
  <c r="AY1039" i="19"/>
  <c r="AY907" i="19"/>
  <c r="AY803" i="19"/>
  <c r="AY363" i="19"/>
  <c r="AY1083" i="19"/>
  <c r="AY855" i="19"/>
  <c r="AY747" i="19"/>
  <c r="AY439" i="19"/>
  <c r="AY351" i="19"/>
  <c r="AY1139" i="19"/>
  <c r="AY1019" i="19"/>
  <c r="AY867" i="19"/>
  <c r="AY787" i="19"/>
  <c r="AY423" i="19"/>
  <c r="AY142" i="19"/>
  <c r="AY1163" i="19"/>
  <c r="AY1023" i="19"/>
  <c r="AY859" i="19"/>
  <c r="AY387" i="19"/>
  <c r="AY1027" i="19"/>
  <c r="AY811" i="19"/>
  <c r="AY459" i="19"/>
  <c r="AY1111" i="19"/>
  <c r="AY879" i="19"/>
  <c r="AY767" i="19"/>
  <c r="AY367" i="19"/>
  <c r="AY1162" i="19"/>
  <c r="AY1118" i="19"/>
  <c r="AY1094" i="19"/>
  <c r="AY1034" i="19"/>
  <c r="AY922" i="19"/>
  <c r="AY902" i="19"/>
  <c r="AY858" i="19"/>
  <c r="AY810" i="19"/>
  <c r="AY766" i="19"/>
  <c r="AY722" i="19"/>
  <c r="AY406" i="19"/>
  <c r="AY334" i="19"/>
  <c r="AY145" i="19"/>
  <c r="AY25" i="19"/>
  <c r="AY1147" i="19"/>
  <c r="AY1103" i="19"/>
  <c r="AY1075" i="19"/>
  <c r="AY1055" i="19"/>
  <c r="AY1035" i="19"/>
  <c r="AY1007" i="19"/>
  <c r="AY987" i="19"/>
  <c r="AY971" i="19"/>
  <c r="AY955" i="19"/>
  <c r="AY939" i="19"/>
  <c r="AY911" i="19"/>
  <c r="AY887" i="19"/>
  <c r="AY1150" i="19"/>
  <c r="AY1122" i="19"/>
  <c r="AY1102" i="19"/>
  <c r="AY1070" i="19"/>
  <c r="AY1018" i="19"/>
  <c r="AY934" i="19"/>
  <c r="AY910" i="19"/>
  <c r="AY870" i="19"/>
  <c r="AY854" i="19"/>
  <c r="AY818" i="19"/>
  <c r="AY778" i="19"/>
  <c r="AY738" i="19"/>
  <c r="AY458" i="19"/>
  <c r="AY422" i="19"/>
  <c r="AY366" i="19"/>
  <c r="AY109" i="19"/>
  <c r="AZ310" i="19" s="1"/>
  <c r="AZ220" i="19" l="1"/>
  <c r="AZ273" i="19"/>
  <c r="AZ44" i="19"/>
  <c r="AZ108" i="19"/>
  <c r="AZ172" i="19"/>
  <c r="AZ236" i="19"/>
  <c r="AZ300" i="19"/>
  <c r="AZ33" i="19"/>
  <c r="AZ97" i="19"/>
  <c r="AZ161" i="19"/>
  <c r="AZ225" i="19"/>
  <c r="AZ289" i="19"/>
  <c r="AZ78" i="19"/>
  <c r="AZ142" i="19"/>
  <c r="AZ206" i="19"/>
  <c r="AZ270" i="19"/>
  <c r="AZ334" i="19"/>
  <c r="AZ215" i="19"/>
  <c r="AZ373" i="19"/>
  <c r="AZ437" i="19"/>
  <c r="AZ501" i="19"/>
  <c r="AZ565" i="19"/>
  <c r="AZ84" i="19"/>
  <c r="AZ265" i="19"/>
  <c r="AZ118" i="19"/>
  <c r="AZ119" i="19"/>
  <c r="AZ312" i="19"/>
  <c r="AZ210" i="19"/>
  <c r="AZ155" i="19"/>
  <c r="AZ467" i="19"/>
  <c r="AZ698" i="19"/>
  <c r="AZ615" i="19"/>
  <c r="AZ348" i="19"/>
  <c r="AZ788" i="19"/>
  <c r="AZ957" i="19"/>
  <c r="AZ709" i="19"/>
  <c r="AZ1070" i="19"/>
  <c r="AZ927" i="19"/>
  <c r="AZ781" i="19"/>
  <c r="AZ749" i="19"/>
  <c r="AZ209" i="19"/>
  <c r="AZ151" i="19"/>
  <c r="AZ60" i="19"/>
  <c r="AZ124" i="19"/>
  <c r="AZ188" i="19"/>
  <c r="AZ252" i="19"/>
  <c r="AZ316" i="19"/>
  <c r="AZ49" i="19"/>
  <c r="AZ113" i="19"/>
  <c r="AZ177" i="19"/>
  <c r="AZ241" i="19"/>
  <c r="AZ305" i="19"/>
  <c r="AZ30" i="19"/>
  <c r="AZ94" i="19"/>
  <c r="AZ158" i="19"/>
  <c r="AZ222" i="19"/>
  <c r="AZ286" i="19"/>
  <c r="AZ23" i="19"/>
  <c r="AZ279" i="19"/>
  <c r="AZ389" i="19"/>
  <c r="AZ453" i="19"/>
  <c r="AZ517" i="19"/>
  <c r="AZ148" i="19"/>
  <c r="AZ73" i="19"/>
  <c r="AZ329" i="19"/>
  <c r="AZ182" i="19"/>
  <c r="AZ349" i="19"/>
  <c r="AZ165" i="19"/>
  <c r="AZ338" i="19"/>
  <c r="AZ422" i="19"/>
  <c r="AZ563" i="19"/>
  <c r="AZ762" i="19"/>
  <c r="AZ679" i="19"/>
  <c r="AZ596" i="19"/>
  <c r="AZ67" i="19"/>
  <c r="AZ1021" i="19"/>
  <c r="AZ878" i="19"/>
  <c r="AZ1134" i="19"/>
  <c r="AZ991" i="19"/>
  <c r="AZ1088" i="19"/>
  <c r="AZ1080" i="19"/>
  <c r="AZ284" i="19"/>
  <c r="AZ337" i="19"/>
  <c r="AZ190" i="19"/>
  <c r="AZ76" i="19"/>
  <c r="AZ140" i="19"/>
  <c r="AZ204" i="19"/>
  <c r="AZ268" i="19"/>
  <c r="AZ332" i="19"/>
  <c r="AZ65" i="19"/>
  <c r="AZ129" i="19"/>
  <c r="AZ193" i="19"/>
  <c r="AZ257" i="19"/>
  <c r="AZ321" i="19"/>
  <c r="AZ46" i="19"/>
  <c r="AZ110" i="19"/>
  <c r="AZ174" i="19"/>
  <c r="AZ238" i="19"/>
  <c r="AZ302" i="19"/>
  <c r="AZ87" i="19"/>
  <c r="AZ339" i="19"/>
  <c r="AZ405" i="19"/>
  <c r="AZ469" i="19"/>
  <c r="AZ533" i="19"/>
  <c r="AZ212" i="19"/>
  <c r="AZ137" i="19"/>
  <c r="AZ246" i="19"/>
  <c r="AZ293" i="19"/>
  <c r="AZ377" i="19"/>
  <c r="AZ550" i="19"/>
  <c r="AZ484" i="19"/>
  <c r="AZ826" i="19"/>
  <c r="AZ743" i="19"/>
  <c r="AZ660" i="19"/>
  <c r="AZ769" i="19"/>
  <c r="AZ1085" i="19"/>
  <c r="AZ942" i="19"/>
  <c r="AZ649" i="19"/>
  <c r="AZ1055" i="19"/>
  <c r="AZ797" i="19"/>
  <c r="AZ156" i="19"/>
  <c r="AZ254" i="19"/>
  <c r="AZ318" i="19"/>
  <c r="AZ357" i="19"/>
  <c r="AZ421" i="19"/>
  <c r="AZ485" i="19"/>
  <c r="AZ276" i="19"/>
  <c r="AZ201" i="19"/>
  <c r="AZ72" i="19"/>
  <c r="AZ136" i="19"/>
  <c r="AZ200" i="19"/>
  <c r="AZ328" i="19"/>
  <c r="AZ45" i="19"/>
  <c r="AZ141" i="19"/>
  <c r="AZ173" i="19"/>
  <c r="AZ237" i="19"/>
  <c r="AZ301" i="19"/>
  <c r="AZ26" i="19"/>
  <c r="AZ90" i="19"/>
  <c r="AZ154" i="19"/>
  <c r="AZ218" i="19"/>
  <c r="AZ282" i="19"/>
  <c r="AZ353" i="19"/>
  <c r="AZ417" i="19"/>
  <c r="AZ481" i="19"/>
  <c r="AZ545" i="19"/>
  <c r="AZ59" i="19"/>
  <c r="AZ315" i="19"/>
  <c r="AZ398" i="19"/>
  <c r="AZ462" i="19"/>
  <c r="AZ526" i="19"/>
  <c r="AZ590" i="19"/>
  <c r="AZ239" i="19"/>
  <c r="AZ379" i="19"/>
  <c r="AZ443" i="19"/>
  <c r="AZ503" i="19"/>
  <c r="AZ547" i="19"/>
  <c r="AZ587" i="19"/>
  <c r="AZ420" i="19"/>
  <c r="AZ580" i="19"/>
  <c r="AZ622" i="19"/>
  <c r="AZ654" i="19"/>
  <c r="AZ686" i="19"/>
  <c r="AZ718" i="19"/>
  <c r="AZ766" i="19"/>
  <c r="AZ782" i="19"/>
  <c r="AZ830" i="19"/>
  <c r="AZ846" i="19"/>
  <c r="AZ440" i="19"/>
  <c r="AZ568" i="19"/>
  <c r="AZ619" i="19"/>
  <c r="AZ651" i="19"/>
  <c r="AZ683" i="19"/>
  <c r="AZ715" i="19"/>
  <c r="AZ747" i="19"/>
  <c r="AZ779" i="19"/>
  <c r="AZ811" i="19"/>
  <c r="AZ843" i="19"/>
  <c r="AZ364" i="19"/>
  <c r="AZ492" i="19"/>
  <c r="AZ556" i="19"/>
  <c r="AZ616" i="19"/>
  <c r="AZ648" i="19"/>
  <c r="AZ680" i="19"/>
  <c r="AZ712" i="19"/>
  <c r="AZ744" i="19"/>
  <c r="AZ776" i="19"/>
  <c r="AZ808" i="19"/>
  <c r="AZ840" i="19"/>
  <c r="AZ591" i="19"/>
  <c r="AZ721" i="19"/>
  <c r="AZ849" i="19"/>
  <c r="AZ881" i="19"/>
  <c r="AZ913" i="19"/>
  <c r="AZ945" i="19"/>
  <c r="AZ977" i="19"/>
  <c r="AZ1009" i="19"/>
  <c r="AZ1057" i="19"/>
  <c r="AZ1089" i="19"/>
  <c r="AZ1121" i="19"/>
  <c r="AZ1137" i="19"/>
  <c r="AZ352" i="19"/>
  <c r="AZ661" i="19"/>
  <c r="AZ789" i="19"/>
  <c r="AZ866" i="19"/>
  <c r="AZ898" i="19"/>
  <c r="AZ930" i="19"/>
  <c r="AZ962" i="19"/>
  <c r="AZ994" i="19"/>
  <c r="AZ1026" i="19"/>
  <c r="AZ1058" i="19"/>
  <c r="AZ1090" i="19"/>
  <c r="AZ1122" i="19"/>
  <c r="AZ1154" i="19"/>
  <c r="AZ601" i="19"/>
  <c r="AZ729" i="19"/>
  <c r="AZ851" i="19"/>
  <c r="AZ883" i="19"/>
  <c r="AZ915" i="19"/>
  <c r="AZ947" i="19"/>
  <c r="AZ979" i="19"/>
  <c r="AZ1011" i="19"/>
  <c r="AZ1043" i="19"/>
  <c r="AZ1075" i="19"/>
  <c r="AZ1107" i="19"/>
  <c r="AZ1139" i="19"/>
  <c r="AZ576" i="19"/>
  <c r="AZ912" i="19"/>
  <c r="AZ1040" i="19"/>
  <c r="AZ1165" i="19"/>
  <c r="AZ605" i="19"/>
  <c r="AZ916" i="19"/>
  <c r="AZ1044" i="19"/>
  <c r="AZ813" i="19"/>
  <c r="AZ968" i="19"/>
  <c r="AZ1096" i="19"/>
  <c r="AZ860" i="19"/>
  <c r="AZ1116" i="19"/>
  <c r="AZ296" i="19"/>
  <c r="AZ189" i="19"/>
  <c r="AZ253" i="19"/>
  <c r="AZ317" i="19"/>
  <c r="AZ74" i="19"/>
  <c r="AZ106" i="19"/>
  <c r="AZ202" i="19"/>
  <c r="AZ266" i="19"/>
  <c r="AZ71" i="19"/>
  <c r="AZ401" i="19"/>
  <c r="AZ264" i="19"/>
  <c r="AZ109" i="19"/>
  <c r="AZ205" i="19"/>
  <c r="AZ269" i="19"/>
  <c r="AZ333" i="19"/>
  <c r="AZ58" i="19"/>
  <c r="AZ122" i="19"/>
  <c r="AZ186" i="19"/>
  <c r="AZ250" i="19"/>
  <c r="AZ314" i="19"/>
  <c r="AZ135" i="19"/>
  <c r="AZ263" i="19"/>
  <c r="AZ385" i="19"/>
  <c r="AZ449" i="19"/>
  <c r="AZ513" i="19"/>
  <c r="AZ577" i="19"/>
  <c r="AZ187" i="19"/>
  <c r="AZ366" i="19"/>
  <c r="AZ430" i="19"/>
  <c r="AZ494" i="19"/>
  <c r="AZ558" i="19"/>
  <c r="AZ111" i="19"/>
  <c r="AZ347" i="19"/>
  <c r="AZ411" i="19"/>
  <c r="AZ475" i="19"/>
  <c r="AZ523" i="19"/>
  <c r="AZ567" i="19"/>
  <c r="AZ336" i="19"/>
  <c r="AZ500" i="19"/>
  <c r="AZ606" i="19"/>
  <c r="AZ638" i="19"/>
  <c r="AZ670" i="19"/>
  <c r="AZ702" i="19"/>
  <c r="AZ734" i="19"/>
  <c r="AZ750" i="19"/>
  <c r="AZ798" i="19"/>
  <c r="AZ814" i="19"/>
  <c r="AZ227" i="19"/>
  <c r="AZ376" i="19"/>
  <c r="AZ504" i="19"/>
  <c r="AZ603" i="19"/>
  <c r="AZ635" i="19"/>
  <c r="AZ667" i="19"/>
  <c r="AZ699" i="19"/>
  <c r="AZ731" i="19"/>
  <c r="AZ763" i="19"/>
  <c r="AZ795" i="19"/>
  <c r="AZ827" i="19"/>
  <c r="AZ179" i="19"/>
  <c r="AZ428" i="19"/>
  <c r="AZ600" i="19"/>
  <c r="AZ632" i="19"/>
  <c r="AZ664" i="19"/>
  <c r="AZ696" i="19"/>
  <c r="AZ728" i="19"/>
  <c r="AZ760" i="19"/>
  <c r="AZ792" i="19"/>
  <c r="AZ824" i="19"/>
  <c r="AZ323" i="19"/>
  <c r="AZ657" i="19"/>
  <c r="AZ785" i="19"/>
  <c r="AZ865" i="19"/>
  <c r="AZ897" i="19"/>
  <c r="AZ929" i="19"/>
  <c r="AZ961" i="19"/>
  <c r="AZ993" i="19"/>
  <c r="AZ1025" i="19"/>
  <c r="AZ1041" i="19"/>
  <c r="AZ1073" i="19"/>
  <c r="AZ1105" i="19"/>
  <c r="AZ1153" i="19"/>
  <c r="AZ597" i="19"/>
  <c r="AZ725" i="19"/>
  <c r="AZ850" i="19"/>
  <c r="AZ882" i="19"/>
  <c r="AZ914" i="19"/>
  <c r="AZ946" i="19"/>
  <c r="AZ978" i="19"/>
  <c r="AZ1010" i="19"/>
  <c r="AZ1042" i="19"/>
  <c r="AZ1074" i="19"/>
  <c r="AZ1106" i="19"/>
  <c r="AZ1138" i="19"/>
  <c r="AZ368" i="19"/>
  <c r="AZ665" i="19"/>
  <c r="AZ793" i="19"/>
  <c r="AZ867" i="19"/>
  <c r="AZ899" i="19"/>
  <c r="AZ931" i="19"/>
  <c r="AZ963" i="19"/>
  <c r="AZ995" i="19"/>
  <c r="AZ1027" i="19"/>
  <c r="AZ1059" i="19"/>
  <c r="AZ1091" i="19"/>
  <c r="AZ1123" i="19"/>
  <c r="AZ1155" i="19"/>
  <c r="AZ845" i="19"/>
  <c r="AZ976" i="19"/>
  <c r="AZ1104" i="19"/>
  <c r="AZ1084" i="19"/>
  <c r="AZ852" i="19"/>
  <c r="AZ980" i="19"/>
  <c r="AZ1108" i="19"/>
  <c r="AZ1004" i="19"/>
  <c r="AZ448" i="19"/>
  <c r="AZ904" i="19"/>
  <c r="AZ1032" i="19"/>
  <c r="AZ1160" i="19"/>
  <c r="AZ940" i="19"/>
  <c r="AZ104" i="19"/>
  <c r="AZ157" i="19"/>
  <c r="AZ221" i="19"/>
  <c r="AZ170" i="19"/>
  <c r="AZ298" i="19"/>
  <c r="AZ199" i="19"/>
  <c r="AZ369" i="19"/>
  <c r="AZ40" i="19"/>
  <c r="AZ168" i="19"/>
  <c r="AZ232" i="19"/>
  <c r="AZ77" i="19"/>
  <c r="AZ125" i="19"/>
  <c r="AZ285" i="19"/>
  <c r="AZ42" i="19"/>
  <c r="AZ138" i="19"/>
  <c r="AZ234" i="19"/>
  <c r="AZ330" i="19"/>
  <c r="AZ327" i="19"/>
  <c r="AZ433" i="19"/>
  <c r="AZ529" i="19"/>
  <c r="AZ251" i="19"/>
  <c r="AZ446" i="19"/>
  <c r="AZ574" i="19"/>
  <c r="AZ363" i="19"/>
  <c r="AZ491" i="19"/>
  <c r="AZ579" i="19"/>
  <c r="AZ548" i="19"/>
  <c r="AZ646" i="19"/>
  <c r="AZ710" i="19"/>
  <c r="AZ774" i="19"/>
  <c r="AZ838" i="19"/>
  <c r="AZ472" i="19"/>
  <c r="AZ627" i="19"/>
  <c r="AZ691" i="19"/>
  <c r="AZ755" i="19"/>
  <c r="AZ819" i="19"/>
  <c r="AZ396" i="19"/>
  <c r="AZ608" i="19"/>
  <c r="AZ672" i="19"/>
  <c r="AZ736" i="19"/>
  <c r="AZ800" i="19"/>
  <c r="AZ464" i="19"/>
  <c r="AZ817" i="19"/>
  <c r="AZ905" i="19"/>
  <c r="AZ969" i="19"/>
  <c r="AZ1033" i="19"/>
  <c r="AZ1097" i="19"/>
  <c r="AZ1161" i="19"/>
  <c r="AZ757" i="19"/>
  <c r="AZ890" i="19"/>
  <c r="AZ954" i="19"/>
  <c r="AZ1018" i="19"/>
  <c r="AZ1082" i="19"/>
  <c r="AZ1146" i="19"/>
  <c r="AZ697" i="19"/>
  <c r="AZ875" i="19"/>
  <c r="AZ939" i="19"/>
  <c r="AZ1003" i="19"/>
  <c r="AZ1067" i="19"/>
  <c r="AZ1131" i="19"/>
  <c r="AZ880" i="19"/>
  <c r="AZ1136" i="19"/>
  <c r="AZ884" i="19"/>
  <c r="AZ1140" i="19"/>
  <c r="AZ685" i="19"/>
  <c r="AZ1064" i="19"/>
  <c r="AZ1020" i="19"/>
  <c r="AZ414" i="19"/>
  <c r="AZ822" i="19"/>
  <c r="AZ675" i="19"/>
  <c r="AZ307" i="19"/>
  <c r="AZ720" i="19"/>
  <c r="AZ753" i="19"/>
  <c r="AZ1017" i="19"/>
  <c r="AZ693" i="19"/>
  <c r="AZ1002" i="19"/>
  <c r="AZ633" i="19"/>
  <c r="AZ987" i="19"/>
  <c r="AZ717" i="19"/>
  <c r="AZ733" i="19"/>
  <c r="AZ1100" i="19"/>
  <c r="AZ561" i="19"/>
  <c r="AZ350" i="19"/>
  <c r="AZ478" i="19"/>
  <c r="AZ47" i="19"/>
  <c r="AZ395" i="19"/>
  <c r="AZ515" i="19"/>
  <c r="AZ147" i="19"/>
  <c r="AZ598" i="19"/>
  <c r="AZ662" i="19"/>
  <c r="AZ726" i="19"/>
  <c r="AZ790" i="19"/>
  <c r="AZ99" i="19"/>
  <c r="AZ536" i="19"/>
  <c r="AZ643" i="19"/>
  <c r="AZ707" i="19"/>
  <c r="AZ771" i="19"/>
  <c r="AZ835" i="19"/>
  <c r="AZ460" i="19"/>
  <c r="AZ624" i="19"/>
  <c r="AZ688" i="19"/>
  <c r="AZ752" i="19"/>
  <c r="AZ816" i="19"/>
  <c r="AZ625" i="19"/>
  <c r="AZ857" i="19"/>
  <c r="AZ921" i="19"/>
  <c r="AZ985" i="19"/>
  <c r="AZ1049" i="19"/>
  <c r="AZ1113" i="19"/>
  <c r="AZ480" i="19"/>
  <c r="AZ821" i="19"/>
  <c r="AZ906" i="19"/>
  <c r="AZ970" i="19"/>
  <c r="AZ1034" i="19"/>
  <c r="AZ1098" i="19"/>
  <c r="AZ1162" i="19"/>
  <c r="AZ761" i="19"/>
  <c r="AZ891" i="19"/>
  <c r="AZ955" i="19"/>
  <c r="AZ1019" i="19"/>
  <c r="AZ1083" i="19"/>
  <c r="AZ1147" i="19"/>
  <c r="AZ944" i="19"/>
  <c r="AZ956" i="19"/>
  <c r="AZ948" i="19"/>
  <c r="AZ872" i="19"/>
  <c r="AZ1128" i="19"/>
  <c r="AZ123" i="19"/>
  <c r="AZ542" i="19"/>
  <c r="AZ555" i="19"/>
  <c r="AZ630" i="19"/>
  <c r="AZ694" i="19"/>
  <c r="AZ611" i="19"/>
  <c r="AZ739" i="19"/>
  <c r="AZ588" i="19"/>
  <c r="AZ784" i="19"/>
  <c r="AZ889" i="19"/>
  <c r="AZ1081" i="19"/>
  <c r="AZ938" i="19"/>
  <c r="AZ1130" i="19"/>
  <c r="AZ923" i="19"/>
  <c r="AZ1115" i="19"/>
  <c r="AZ1072" i="19"/>
  <c r="AZ1000" i="19"/>
  <c r="AZ465" i="19"/>
  <c r="AZ593" i="19"/>
  <c r="AZ382" i="19"/>
  <c r="AZ510" i="19"/>
  <c r="AZ175" i="19"/>
  <c r="AZ427" i="19"/>
  <c r="AZ535" i="19"/>
  <c r="AZ372" i="19"/>
  <c r="AZ614" i="19"/>
  <c r="AZ678" i="19"/>
  <c r="AZ742" i="19"/>
  <c r="AZ806" i="19"/>
  <c r="AZ344" i="19"/>
  <c r="AZ595" i="19"/>
  <c r="AZ659" i="19"/>
  <c r="AZ723" i="19"/>
  <c r="AZ787" i="19"/>
  <c r="AZ51" i="19"/>
  <c r="AZ524" i="19"/>
  <c r="AZ640" i="19"/>
  <c r="AZ704" i="19"/>
  <c r="AZ768" i="19"/>
  <c r="AZ832" i="19"/>
  <c r="AZ689" i="19"/>
  <c r="AZ873" i="19"/>
  <c r="AZ937" i="19"/>
  <c r="AZ1001" i="19"/>
  <c r="AZ1065" i="19"/>
  <c r="AZ1129" i="19"/>
  <c r="AZ629" i="19"/>
  <c r="AZ858" i="19"/>
  <c r="AZ922" i="19"/>
  <c r="AZ986" i="19"/>
  <c r="AZ1050" i="19"/>
  <c r="AZ1114" i="19"/>
  <c r="AZ496" i="19"/>
  <c r="AZ825" i="19"/>
  <c r="AZ907" i="19"/>
  <c r="AZ971" i="19"/>
  <c r="AZ1035" i="19"/>
  <c r="AZ1099" i="19"/>
  <c r="AZ1163" i="19"/>
  <c r="AZ1008" i="19"/>
  <c r="AZ1164" i="19"/>
  <c r="AZ1012" i="19"/>
  <c r="AZ924" i="19"/>
  <c r="AZ936" i="19"/>
  <c r="AZ765" i="19"/>
  <c r="AZ497" i="19"/>
  <c r="AZ303" i="19"/>
  <c r="AZ459" i="19"/>
  <c r="AZ468" i="19"/>
  <c r="AZ758" i="19"/>
  <c r="AZ408" i="19"/>
  <c r="AZ803" i="19"/>
  <c r="AZ656" i="19"/>
  <c r="AZ848" i="19"/>
  <c r="AZ953" i="19"/>
  <c r="AZ1145" i="19"/>
  <c r="AZ874" i="19"/>
  <c r="AZ1066" i="19"/>
  <c r="AZ859" i="19"/>
  <c r="AZ1051" i="19"/>
  <c r="AZ1076" i="19"/>
  <c r="AZ892" i="19"/>
  <c r="AZ24" i="19"/>
  <c r="AZ1112" i="19"/>
  <c r="AZ856" i="19"/>
  <c r="AZ1124" i="19"/>
  <c r="AZ868" i="19"/>
  <c r="AZ1120" i="19"/>
  <c r="AZ864" i="19"/>
  <c r="AZ1127" i="19"/>
  <c r="AZ1063" i="19"/>
  <c r="AZ999" i="19"/>
  <c r="AZ935" i="19"/>
  <c r="AZ871" i="19"/>
  <c r="AZ681" i="19"/>
  <c r="AZ1142" i="19"/>
  <c r="AZ1078" i="19"/>
  <c r="AZ1014" i="19"/>
  <c r="AZ950" i="19"/>
  <c r="AZ886" i="19"/>
  <c r="AZ741" i="19"/>
  <c r="AZ1157" i="19"/>
  <c r="AZ1093" i="19"/>
  <c r="AZ1029" i="19"/>
  <c r="AZ965" i="19"/>
  <c r="AZ901" i="19"/>
  <c r="AZ801" i="19"/>
  <c r="AZ400" i="19"/>
  <c r="AZ796" i="19"/>
  <c r="AZ732" i="19"/>
  <c r="AZ668" i="19"/>
  <c r="AZ604" i="19"/>
  <c r="AZ380" i="19"/>
  <c r="AZ815" i="19"/>
  <c r="AZ751" i="19"/>
  <c r="AZ687" i="19"/>
  <c r="AZ623" i="19"/>
  <c r="AZ456" i="19"/>
  <c r="AZ834" i="19"/>
  <c r="AZ770" i="19"/>
  <c r="AZ706" i="19"/>
  <c r="AZ642" i="19"/>
  <c r="AZ532" i="19"/>
  <c r="AZ571" i="19"/>
  <c r="AZ483" i="19"/>
  <c r="AZ355" i="19"/>
  <c r="AZ566" i="19"/>
  <c r="AZ438" i="19"/>
  <c r="AZ219" i="19"/>
  <c r="AZ521" i="19"/>
  <c r="AZ393" i="19"/>
  <c r="AZ39" i="19"/>
  <c r="AZ226" i="19"/>
  <c r="AZ98" i="19"/>
  <c r="AZ309" i="19"/>
  <c r="AZ181" i="19"/>
  <c r="AZ280" i="19"/>
  <c r="AZ581" i="19"/>
  <c r="AZ203" i="19"/>
  <c r="AZ370" i="19"/>
  <c r="AZ434" i="19"/>
  <c r="AZ498" i="19"/>
  <c r="AZ562" i="19"/>
  <c r="AZ127" i="19"/>
  <c r="AZ351" i="19"/>
  <c r="AZ415" i="19"/>
  <c r="AZ479" i="19"/>
  <c r="AZ543" i="19"/>
  <c r="AZ275" i="19"/>
  <c r="AZ16" i="19"/>
  <c r="AZ80" i="19"/>
  <c r="AZ144" i="19"/>
  <c r="AZ208" i="19"/>
  <c r="AZ272" i="19"/>
  <c r="AZ21" i="19"/>
  <c r="AZ85" i="19"/>
  <c r="AZ429" i="19"/>
  <c r="AZ493" i="19"/>
  <c r="AZ557" i="19"/>
  <c r="AZ107" i="19"/>
  <c r="AZ346" i="19"/>
  <c r="AZ410" i="19"/>
  <c r="AZ474" i="19"/>
  <c r="AZ538" i="19"/>
  <c r="AZ31" i="19"/>
  <c r="AZ287" i="19"/>
  <c r="AZ391" i="19"/>
  <c r="AZ455" i="19"/>
  <c r="AZ908" i="19"/>
  <c r="AZ1016" i="19"/>
  <c r="AZ1148" i="19"/>
  <c r="AZ1028" i="19"/>
  <c r="AZ384" i="19"/>
  <c r="AZ1024" i="19"/>
  <c r="AZ259" i="19"/>
  <c r="AZ1103" i="19"/>
  <c r="AZ1039" i="19"/>
  <c r="AZ975" i="19"/>
  <c r="AZ911" i="19"/>
  <c r="AZ841" i="19"/>
  <c r="AZ560" i="19"/>
  <c r="AZ1118" i="19"/>
  <c r="AZ1054" i="19"/>
  <c r="AZ990" i="19"/>
  <c r="AZ926" i="19"/>
  <c r="AZ862" i="19"/>
  <c r="AZ645" i="19"/>
  <c r="AZ1133" i="19"/>
  <c r="AZ1069" i="19"/>
  <c r="AZ1005" i="19"/>
  <c r="AZ941" i="19"/>
  <c r="AZ877" i="19"/>
  <c r="AZ705" i="19"/>
  <c r="AZ836" i="19"/>
  <c r="AZ772" i="19"/>
  <c r="AZ708" i="19"/>
  <c r="AZ644" i="19"/>
  <c r="AZ540" i="19"/>
  <c r="AZ115" i="19"/>
  <c r="AZ791" i="19"/>
  <c r="AZ727" i="19"/>
  <c r="AZ663" i="19"/>
  <c r="AZ599" i="19"/>
  <c r="AZ360" i="19"/>
  <c r="AZ810" i="19"/>
  <c r="AZ746" i="19"/>
  <c r="AZ682" i="19"/>
  <c r="AZ618" i="19"/>
  <c r="AZ404" i="19"/>
  <c r="AZ539" i="19"/>
  <c r="AZ435" i="19"/>
  <c r="AZ207" i="19"/>
  <c r="AZ518" i="19"/>
  <c r="AZ390" i="19"/>
  <c r="AZ27" i="19"/>
  <c r="AZ473" i="19"/>
  <c r="AZ345" i="19"/>
  <c r="AZ306" i="19"/>
  <c r="AZ178" i="19"/>
  <c r="AZ50" i="19"/>
  <c r="AZ261" i="19"/>
  <c r="AZ133" i="19"/>
  <c r="AZ248" i="19"/>
  <c r="AZ311" i="19"/>
  <c r="AZ55" i="19"/>
  <c r="AZ294" i="19"/>
  <c r="AZ230" i="19"/>
  <c r="AZ166" i="19"/>
  <c r="AZ102" i="19"/>
  <c r="AZ38" i="19"/>
  <c r="AZ313" i="19"/>
  <c r="AZ249" i="19"/>
  <c r="AZ185" i="19"/>
  <c r="AZ121" i="19"/>
  <c r="AZ57" i="19"/>
  <c r="AZ324" i="19"/>
  <c r="AZ260" i="19"/>
  <c r="AZ196" i="19"/>
  <c r="AZ132" i="19"/>
  <c r="AZ68" i="19"/>
  <c r="AZ988" i="19"/>
  <c r="AZ1048" i="19"/>
  <c r="AZ621" i="19"/>
  <c r="AZ1060" i="19"/>
  <c r="AZ669" i="19"/>
  <c r="AZ1056" i="19"/>
  <c r="AZ653" i="19"/>
  <c r="AZ1111" i="19"/>
  <c r="AZ1047" i="19"/>
  <c r="AZ983" i="19"/>
  <c r="AZ919" i="19"/>
  <c r="AZ855" i="19"/>
  <c r="AZ617" i="19"/>
  <c r="AZ1126" i="19"/>
  <c r="AZ1062" i="19"/>
  <c r="AZ998" i="19"/>
  <c r="AZ934" i="19"/>
  <c r="AZ870" i="19"/>
  <c r="AZ677" i="19"/>
  <c r="AZ1141" i="19"/>
  <c r="AZ1077" i="19"/>
  <c r="AZ1013" i="19"/>
  <c r="AZ949" i="19"/>
  <c r="AZ885" i="19"/>
  <c r="AZ737" i="19"/>
  <c r="AZ844" i="19"/>
  <c r="AZ780" i="19"/>
  <c r="AZ716" i="19"/>
  <c r="AZ652" i="19"/>
  <c r="AZ572" i="19"/>
  <c r="AZ243" i="19"/>
  <c r="AZ799" i="19"/>
  <c r="AZ735" i="19"/>
  <c r="AZ671" i="19"/>
  <c r="AZ607" i="19"/>
  <c r="AZ392" i="19"/>
  <c r="AZ818" i="19"/>
  <c r="AZ754" i="19"/>
  <c r="AZ690" i="19"/>
  <c r="AZ626" i="19"/>
  <c r="AZ436" i="19"/>
  <c r="AZ551" i="19"/>
  <c r="AZ451" i="19"/>
  <c r="AZ271" i="19"/>
  <c r="AZ534" i="19"/>
  <c r="AZ406" i="19"/>
  <c r="AZ91" i="19"/>
  <c r="AZ489" i="19"/>
  <c r="AZ361" i="19"/>
  <c r="AZ322" i="19"/>
  <c r="AZ194" i="19"/>
  <c r="AZ66" i="19"/>
  <c r="AZ277" i="19"/>
  <c r="AZ149" i="19"/>
  <c r="AZ216" i="19"/>
  <c r="AZ267" i="19"/>
  <c r="AZ386" i="19"/>
  <c r="AZ450" i="19"/>
  <c r="AZ514" i="19"/>
  <c r="AZ578" i="19"/>
  <c r="AZ191" i="19"/>
  <c r="AZ367" i="19"/>
  <c r="AZ431" i="19"/>
  <c r="AZ495" i="19"/>
  <c r="AZ559" i="19"/>
  <c r="AZ388" i="19"/>
  <c r="AZ32" i="19"/>
  <c r="AZ96" i="19"/>
  <c r="AZ160" i="19"/>
  <c r="AZ224" i="19"/>
  <c r="AZ288" i="19"/>
  <c r="AZ37" i="19"/>
  <c r="AZ101" i="19"/>
  <c r="AZ445" i="19"/>
  <c r="AZ509" i="19"/>
  <c r="AZ573" i="19"/>
  <c r="AZ171" i="19"/>
  <c r="AZ362" i="19"/>
  <c r="AZ426" i="19"/>
  <c r="AZ490" i="19"/>
  <c r="AZ554" i="19"/>
  <c r="AZ95" i="19"/>
  <c r="AZ343" i="19"/>
  <c r="AZ407" i="19"/>
  <c r="AZ471" i="19"/>
  <c r="AZ829" i="19"/>
  <c r="AZ952" i="19"/>
  <c r="AZ972" i="19"/>
  <c r="AZ964" i="19"/>
  <c r="AZ1036" i="19"/>
  <c r="AZ960" i="19"/>
  <c r="AZ1151" i="19"/>
  <c r="AZ1087" i="19"/>
  <c r="AZ1023" i="19"/>
  <c r="AZ959" i="19"/>
  <c r="AZ895" i="19"/>
  <c r="AZ777" i="19"/>
  <c r="AZ195" i="19"/>
  <c r="AZ1102" i="19"/>
  <c r="AZ1038" i="19"/>
  <c r="AZ974" i="19"/>
  <c r="AZ910" i="19"/>
  <c r="AZ837" i="19"/>
  <c r="AZ544" i="19"/>
  <c r="AZ1117" i="19"/>
  <c r="AZ1053" i="19"/>
  <c r="AZ989" i="19"/>
  <c r="AZ925" i="19"/>
  <c r="AZ861" i="19"/>
  <c r="AZ641" i="19"/>
  <c r="AZ820" i="19"/>
  <c r="AZ756" i="19"/>
  <c r="AZ692" i="19"/>
  <c r="AZ628" i="19"/>
  <c r="AZ476" i="19"/>
  <c r="AZ839" i="19"/>
  <c r="AZ775" i="19"/>
  <c r="AZ711" i="19"/>
  <c r="AZ647" i="19"/>
  <c r="AZ552" i="19"/>
  <c r="AZ163" i="19"/>
  <c r="AZ794" i="19"/>
  <c r="AZ730" i="19"/>
  <c r="AZ666" i="19"/>
  <c r="AZ602" i="19"/>
  <c r="AZ211" i="19"/>
  <c r="AZ519" i="19"/>
  <c r="AZ403" i="19"/>
  <c r="AZ79" i="19"/>
  <c r="AZ486" i="19"/>
  <c r="AZ358" i="19"/>
  <c r="AZ569" i="19"/>
  <c r="AZ441" i="19"/>
  <c r="AZ231" i="19"/>
  <c r="AZ274" i="19"/>
  <c r="AZ146" i="19"/>
  <c r="AZ18" i="19"/>
  <c r="AZ229" i="19"/>
  <c r="AZ93" i="19"/>
  <c r="AZ184" i="19"/>
  <c r="AZ381" i="19"/>
  <c r="AZ247" i="19"/>
  <c r="AZ342" i="19"/>
  <c r="AZ278" i="19"/>
  <c r="AZ214" i="19"/>
  <c r="AZ150" i="19"/>
  <c r="AZ86" i="19"/>
  <c r="AZ22" i="19"/>
  <c r="AZ297" i="19"/>
  <c r="AZ233" i="19"/>
  <c r="AZ169" i="19"/>
  <c r="AZ105" i="19"/>
  <c r="AZ41" i="19"/>
  <c r="AZ308" i="19"/>
  <c r="AZ244" i="19"/>
  <c r="AZ180" i="19"/>
  <c r="AZ116" i="19"/>
  <c r="AZ52" i="19"/>
  <c r="AZ876" i="19"/>
  <c r="AZ984" i="19"/>
  <c r="AZ1052" i="19"/>
  <c r="AZ996" i="19"/>
  <c r="AZ1132" i="19"/>
  <c r="AZ992" i="19"/>
  <c r="AZ1159" i="19"/>
  <c r="AZ1095" i="19"/>
  <c r="AZ1031" i="19"/>
  <c r="AZ967" i="19"/>
  <c r="AZ903" i="19"/>
  <c r="AZ809" i="19"/>
  <c r="AZ432" i="19"/>
  <c r="AZ1110" i="19"/>
  <c r="AZ1046" i="19"/>
  <c r="AZ982" i="19"/>
  <c r="AZ918" i="19"/>
  <c r="AZ854" i="19"/>
  <c r="AZ613" i="19"/>
  <c r="AZ1125" i="19"/>
  <c r="AZ1061" i="19"/>
  <c r="AZ997" i="19"/>
  <c r="AZ933" i="19"/>
  <c r="AZ869" i="19"/>
  <c r="AZ673" i="19"/>
  <c r="AZ828" i="19"/>
  <c r="AZ764" i="19"/>
  <c r="AZ700" i="19"/>
  <c r="AZ636" i="19"/>
  <c r="AZ508" i="19"/>
  <c r="AZ847" i="19"/>
  <c r="AZ783" i="19"/>
  <c r="AZ719" i="19"/>
  <c r="AZ655" i="19"/>
  <c r="AZ584" i="19"/>
  <c r="AZ291" i="19"/>
  <c r="AZ802" i="19"/>
  <c r="AZ738" i="19"/>
  <c r="AZ674" i="19"/>
  <c r="AZ610" i="19"/>
  <c r="AZ356" i="19"/>
  <c r="AZ531" i="19"/>
  <c r="AZ419" i="19"/>
  <c r="AZ143" i="19"/>
  <c r="AZ502" i="19"/>
  <c r="AZ374" i="19"/>
  <c r="AZ585" i="19"/>
  <c r="AZ457" i="19"/>
  <c r="AZ295" i="19"/>
  <c r="AZ290" i="19"/>
  <c r="AZ162" i="19"/>
  <c r="AZ34" i="19"/>
  <c r="AZ245" i="19"/>
  <c r="AZ117" i="19"/>
  <c r="AZ152" i="19"/>
  <c r="AZ75" i="19"/>
  <c r="AZ331" i="19"/>
  <c r="AZ402" i="19"/>
  <c r="AZ466" i="19"/>
  <c r="AZ530" i="19"/>
  <c r="AZ594" i="19"/>
  <c r="AZ255" i="19"/>
  <c r="AZ383" i="19"/>
  <c r="AZ447" i="19"/>
  <c r="AZ511" i="19"/>
  <c r="AZ575" i="19"/>
  <c r="AZ452" i="19"/>
  <c r="AZ48" i="19"/>
  <c r="AZ112" i="19"/>
  <c r="AZ176" i="19"/>
  <c r="AZ240" i="19"/>
  <c r="AZ304" i="19"/>
  <c r="AZ53" i="19"/>
  <c r="AZ397" i="19"/>
  <c r="AZ461" i="19"/>
  <c r="AZ525" i="19"/>
  <c r="AZ589" i="19"/>
  <c r="AZ235" i="19"/>
  <c r="AZ378" i="19"/>
  <c r="AZ442" i="19"/>
  <c r="AZ506" i="19"/>
  <c r="AZ570" i="19"/>
  <c r="AZ159" i="19"/>
  <c r="AZ359" i="19"/>
  <c r="AZ423" i="19"/>
  <c r="AZ487" i="19"/>
  <c r="AZ1144" i="19"/>
  <c r="AZ888" i="19"/>
  <c r="AZ1156" i="19"/>
  <c r="AZ900" i="19"/>
  <c r="AZ1152" i="19"/>
  <c r="AZ896" i="19"/>
  <c r="AZ1135" i="19"/>
  <c r="AZ1071" i="19"/>
  <c r="AZ1007" i="19"/>
  <c r="AZ943" i="19"/>
  <c r="AZ879" i="19"/>
  <c r="AZ713" i="19"/>
  <c r="AZ1150" i="19"/>
  <c r="AZ1086" i="19"/>
  <c r="AZ1022" i="19"/>
  <c r="AZ958" i="19"/>
  <c r="AZ894" i="19"/>
  <c r="AZ773" i="19"/>
  <c r="AZ131" i="19"/>
  <c r="AZ1101" i="19"/>
  <c r="AZ1037" i="19"/>
  <c r="AZ973" i="19"/>
  <c r="AZ909" i="19"/>
  <c r="AZ833" i="19"/>
  <c r="AZ528" i="19"/>
  <c r="AZ804" i="19"/>
  <c r="AZ740" i="19"/>
  <c r="AZ676" i="19"/>
  <c r="AZ612" i="19"/>
  <c r="AZ412" i="19"/>
  <c r="AZ823" i="19"/>
  <c r="AZ759" i="19"/>
  <c r="AZ695" i="19"/>
  <c r="AZ631" i="19"/>
  <c r="AZ488" i="19"/>
  <c r="AZ842" i="19"/>
  <c r="AZ778" i="19"/>
  <c r="AZ714" i="19"/>
  <c r="AZ650" i="19"/>
  <c r="AZ564" i="19"/>
  <c r="AZ583" i="19"/>
  <c r="AZ499" i="19"/>
  <c r="AZ371" i="19"/>
  <c r="AZ582" i="19"/>
  <c r="AZ454" i="19"/>
  <c r="AZ283" i="19"/>
  <c r="AZ537" i="19"/>
  <c r="AZ409" i="19"/>
  <c r="AZ103" i="19"/>
  <c r="AZ242" i="19"/>
  <c r="AZ114" i="19"/>
  <c r="AZ325" i="19"/>
  <c r="AZ197" i="19"/>
  <c r="AZ29" i="19"/>
  <c r="AZ120" i="19"/>
  <c r="AZ365" i="19"/>
  <c r="AZ183" i="19"/>
  <c r="AZ326" i="19"/>
  <c r="AZ262" i="19"/>
  <c r="AZ198" i="19"/>
  <c r="AZ134" i="19"/>
  <c r="AZ70" i="19"/>
  <c r="AZ281" i="19"/>
  <c r="AZ217" i="19"/>
  <c r="AZ153" i="19"/>
  <c r="AZ89" i="19"/>
  <c r="AZ25" i="19"/>
  <c r="AZ292" i="19"/>
  <c r="AZ228" i="19"/>
  <c r="AZ164" i="19"/>
  <c r="AZ100" i="19"/>
  <c r="AZ36" i="19"/>
  <c r="AZ701" i="19"/>
  <c r="AZ920" i="19"/>
  <c r="AZ512" i="19"/>
  <c r="AZ932" i="19"/>
  <c r="AZ637" i="19"/>
  <c r="AZ928" i="19"/>
  <c r="AZ1143" i="19"/>
  <c r="AZ1079" i="19"/>
  <c r="AZ1015" i="19"/>
  <c r="AZ951" i="19"/>
  <c r="AZ887" i="19"/>
  <c r="AZ745" i="19"/>
  <c r="AZ1158" i="19"/>
  <c r="AZ1094" i="19"/>
  <c r="AZ1030" i="19"/>
  <c r="AZ966" i="19"/>
  <c r="AZ902" i="19"/>
  <c r="AZ805" i="19"/>
  <c r="AZ416" i="19"/>
  <c r="AZ1109" i="19"/>
  <c r="AZ1045" i="19"/>
  <c r="AZ981" i="19"/>
  <c r="AZ917" i="19"/>
  <c r="AZ853" i="19"/>
  <c r="AZ609" i="19"/>
  <c r="AZ812" i="19"/>
  <c r="AZ748" i="19"/>
  <c r="AZ684" i="19"/>
  <c r="AZ620" i="19"/>
  <c r="AZ444" i="19"/>
  <c r="AZ831" i="19"/>
  <c r="AZ767" i="19"/>
  <c r="AZ703" i="19"/>
  <c r="AZ639" i="19"/>
  <c r="AZ520" i="19"/>
  <c r="AZ35" i="19"/>
  <c r="AZ786" i="19"/>
  <c r="AZ722" i="19"/>
  <c r="AZ658" i="19"/>
  <c r="AZ592" i="19"/>
  <c r="AZ83" i="19"/>
  <c r="AZ507" i="19"/>
  <c r="AZ387" i="19"/>
  <c r="AZ15" i="19"/>
  <c r="AZ470" i="19"/>
  <c r="AZ340" i="19"/>
  <c r="AZ553" i="19"/>
  <c r="AZ425" i="19"/>
  <c r="AZ167" i="19"/>
  <c r="AZ258" i="19"/>
  <c r="AZ130" i="19"/>
  <c r="AZ341" i="19"/>
  <c r="AZ213" i="19"/>
  <c r="AZ61" i="19"/>
  <c r="AZ88" i="19"/>
  <c r="AZ139" i="19"/>
  <c r="AZ354" i="19"/>
  <c r="AZ418" i="19"/>
  <c r="AZ482" i="19"/>
  <c r="AZ546" i="19"/>
  <c r="AZ63" i="19"/>
  <c r="AZ319" i="19"/>
  <c r="AZ399" i="19"/>
  <c r="AZ463" i="19"/>
  <c r="AZ527" i="19"/>
  <c r="AZ19" i="19"/>
  <c r="AZ516" i="19"/>
  <c r="AZ64" i="19"/>
  <c r="AZ128" i="19"/>
  <c r="AZ192" i="19"/>
  <c r="AZ256" i="19"/>
  <c r="AZ320" i="19"/>
  <c r="AZ69" i="19"/>
  <c r="AZ413" i="19"/>
  <c r="AZ477" i="19"/>
  <c r="AZ541" i="19"/>
  <c r="AZ43" i="19"/>
  <c r="AZ299" i="19"/>
  <c r="AZ394" i="19"/>
  <c r="AZ458" i="19"/>
  <c r="AZ522" i="19"/>
  <c r="AZ586" i="19"/>
  <c r="AZ223" i="19"/>
  <c r="AZ375" i="19"/>
  <c r="AZ439" i="19"/>
  <c r="AZ56" i="19"/>
  <c r="AZ82" i="19"/>
  <c r="AZ505" i="19"/>
  <c r="AZ335" i="19"/>
  <c r="AZ634" i="19"/>
  <c r="AZ424" i="19"/>
  <c r="AZ807" i="19"/>
  <c r="AZ724" i="19"/>
  <c r="AZ893" i="19"/>
  <c r="AZ1149" i="19"/>
  <c r="AZ1006" i="19"/>
  <c r="AZ863" i="19"/>
  <c r="AZ1119" i="19"/>
  <c r="AZ1092"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06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06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06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06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06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06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06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06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06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06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0600-00000B000000}">
      <text>
        <r>
          <rPr>
            <sz val="9"/>
            <color indexed="81"/>
            <rFont val="Tahoma"/>
            <family val="2"/>
          </rPr>
          <t>Pick the relevant field from the dropdown to descibe the delivery type</t>
        </r>
      </text>
    </comment>
    <comment ref="A44" authorId="2" shapeId="0" xr:uid="{00000000-0006-0000-06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06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0600-00000E000000}">
      <text>
        <r>
          <rPr>
            <b/>
            <sz val="9"/>
            <color indexed="81"/>
            <rFont val="Tahoma"/>
            <family val="2"/>
          </rPr>
          <t>mandatory</t>
        </r>
        <r>
          <rPr>
            <sz val="9"/>
            <color indexed="81"/>
            <rFont val="Tahoma"/>
            <family val="2"/>
          </rPr>
          <t xml:space="preserve">
</t>
        </r>
      </text>
    </comment>
    <comment ref="A91" authorId="2" shapeId="0" xr:uid="{00000000-0006-0000-0600-00000F000000}">
      <text>
        <r>
          <rPr>
            <b/>
            <sz val="9"/>
            <color indexed="81"/>
            <rFont val="Tahoma"/>
            <family val="2"/>
          </rPr>
          <t>mandatory</t>
        </r>
        <r>
          <rPr>
            <sz val="9"/>
            <color indexed="81"/>
            <rFont val="Tahoma"/>
            <family val="2"/>
          </rPr>
          <t xml:space="preserve">
</t>
        </r>
      </text>
    </comment>
    <comment ref="A92" authorId="2" shapeId="0" xr:uid="{00000000-0006-0000-0600-000010000000}">
      <text>
        <r>
          <rPr>
            <b/>
            <sz val="9"/>
            <color indexed="81"/>
            <rFont val="Tahoma"/>
            <family val="2"/>
          </rPr>
          <t>mandatory</t>
        </r>
        <r>
          <rPr>
            <sz val="9"/>
            <color indexed="81"/>
            <rFont val="Tahoma"/>
            <family val="2"/>
          </rPr>
          <t xml:space="preserve">
</t>
        </r>
      </text>
    </comment>
    <comment ref="A93" authorId="2" shapeId="0" xr:uid="{00000000-0006-0000-0600-000011000000}">
      <text>
        <r>
          <rPr>
            <b/>
            <sz val="9"/>
            <color indexed="81"/>
            <rFont val="Tahoma"/>
            <family val="2"/>
          </rPr>
          <t>mandatory</t>
        </r>
        <r>
          <rPr>
            <sz val="9"/>
            <color indexed="81"/>
            <rFont val="Tahoma"/>
            <family val="2"/>
          </rPr>
          <t xml:space="preserve">
</t>
        </r>
      </text>
    </comment>
    <comment ref="A94" authorId="2" shapeId="0" xr:uid="{00000000-0006-0000-0600-000012000000}">
      <text>
        <r>
          <rPr>
            <b/>
            <sz val="9"/>
            <color indexed="81"/>
            <rFont val="Tahoma"/>
            <family val="2"/>
          </rPr>
          <t>mandatory</t>
        </r>
      </text>
    </comment>
    <comment ref="A96" authorId="2" shapeId="0" xr:uid="{00000000-0006-0000-0600-000013000000}">
      <text>
        <r>
          <rPr>
            <b/>
            <sz val="9"/>
            <color indexed="81"/>
            <rFont val="Tahoma"/>
            <family val="2"/>
          </rPr>
          <t>mandatory</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Geurtsen, Berend (FXEJ 1) CWR</author>
  </authors>
  <commentList>
    <comment ref="D5" authorId="0" shapeId="0" xr:uid="{00000000-0006-0000-0700-000001000000}">
      <text>
        <r>
          <rPr>
            <sz val="9"/>
            <color indexed="81"/>
            <rFont val="Tahoma"/>
            <family val="2"/>
          </rPr>
          <t>Important to add the date that you have made changes to the DDA, provide your name, and the changes you've made
Note that the uplift team, the change is "Meta data uplift of the DDA"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Geurtsen, Berend (FXEJ 1) CWR</author>
    <author>Kley, Tobias (FXBC) CWR</author>
    <author>Kley, Tobias (FXSD) CWR</author>
  </authors>
  <commentList>
    <comment ref="A5" authorId="0" shapeId="0" xr:uid="{00000000-0006-0000-0800-000001000000}">
      <text>
        <r>
          <rPr>
            <sz val="9"/>
            <color indexed="81"/>
            <rFont val="Tahoma"/>
            <family val="2"/>
          </rPr>
          <t xml:space="preserve">Fill in the ICTO number of the source system using https://cati.csintra.net.
If not available enter "NULL".
Note that the source system is often broader than the data we source on the Foundry platform. Hence, we cannot copy the information 1:1. </t>
        </r>
      </text>
    </comment>
    <comment ref="M5" authorId="0" shapeId="0" xr:uid="{00000000-0006-0000-0800-000002000000}">
      <text>
        <r>
          <rPr>
            <sz val="9"/>
            <color indexed="81"/>
            <rFont val="Tahoma"/>
            <family val="2"/>
          </rPr>
          <t>Information is autmatically pulled from CATI. Only fill in if there is no ICTO available, or the value should be different than what we see in CATI</t>
        </r>
      </text>
    </comment>
    <comment ref="A6" authorId="0" shapeId="0" xr:uid="{00000000-0006-0000-0800-000003000000}">
      <text>
        <r>
          <rPr>
            <sz val="9"/>
            <color indexed="81"/>
            <rFont val="Tahoma"/>
            <family val="2"/>
          </rPr>
          <t>Information is autmatically pulled from CATI. Only fill in if there is no ICTO available, or the value should be different than what we see in CATI</t>
        </r>
      </text>
    </comment>
    <comment ref="M6" authorId="0" shapeId="0" xr:uid="{00000000-0006-0000-0800-000004000000}">
      <text>
        <r>
          <rPr>
            <sz val="9"/>
            <color indexed="81"/>
            <rFont val="Tahoma"/>
            <family val="2"/>
          </rPr>
          <t xml:space="preserve">Information is autmatically pulled from CATI. Only fill in if there is no ICTO available, or the value should be different than what we see in CATI
</t>
        </r>
      </text>
    </comment>
    <comment ref="A7" authorId="0" shapeId="0" xr:uid="{00000000-0006-0000-0800-000005000000}">
      <text>
        <r>
          <rPr>
            <sz val="9"/>
            <color indexed="81"/>
            <rFont val="Tahoma"/>
            <family val="2"/>
          </rPr>
          <t>Information is autmatically pulled from CATI. Only fill in if there is no ICTO available, or the value should be different than what we see in CATI</t>
        </r>
      </text>
    </comment>
    <comment ref="A8" authorId="0" shapeId="0" xr:uid="{00000000-0006-0000-0800-000006000000}">
      <text>
        <r>
          <rPr>
            <sz val="9"/>
            <color indexed="81"/>
            <rFont val="Tahoma"/>
            <family val="2"/>
          </rPr>
          <t>Information is autmatically pulled from CATI. Only fill in if there is no ICTO available, or the value should be different than what we see in CATI</t>
        </r>
      </text>
    </comment>
    <comment ref="M11" authorId="1" shapeId="0" xr:uid="{00000000-0006-0000-0800-000007000000}">
      <text>
        <r>
          <rPr>
            <b/>
            <sz val="9"/>
            <color indexed="81"/>
            <rFont val="Tahoma"/>
            <family val="2"/>
          </rPr>
          <t xml:space="preserve">Originating entity </t>
        </r>
        <r>
          <rPr>
            <sz val="9"/>
            <color indexed="81"/>
            <rFont val="Tahoma"/>
            <family val="2"/>
          </rPr>
          <t>- Please list all CS legal entities from where data originates. Originating entity is the entity from which the data derives, e.g.: for client data - the booking/relationship entity, for employee data – the employing entity. Please note that domicile of client/counterparty/employee is not relevant here
Probably the most difficult to fill in, but also the most important to have complete. We need to undestand what legal entities are covered by the data that has been provided. This list of options is based on a simplified view on CS Group Legal Structure: http://csintra.net/generalcounsel/en/corporatelegal/structure.html 
Filling this in requires a good understanding of the data, and can be obtained from the sourcing team, IT owner of the application, and partly from CATI</t>
        </r>
      </text>
    </comment>
    <comment ref="G12" authorId="0" shapeId="0" xr:uid="{00000000-0006-0000-0800-000008000000}">
      <text>
        <r>
          <rPr>
            <sz val="9"/>
            <color indexed="81"/>
            <rFont val="Tahoma"/>
            <family val="2"/>
          </rPr>
          <t xml:space="preserve">What divisions are covered by the data? 
Note this refers to the data sets that we source from the source system. Filling this in requires a good understanding of the data, and can be obtained from the sourcing team, IT owner of the application, and partly from CATI. </t>
        </r>
      </text>
    </comment>
    <comment ref="O12" authorId="0" shapeId="0" xr:uid="{00000000-0006-0000-0800-000009000000}">
      <text>
        <r>
          <rPr>
            <sz val="9"/>
            <color indexed="81"/>
            <rFont val="Tahoma"/>
            <family val="2"/>
          </rPr>
          <t>Automatically populated based on the legal entity. It will tell us which countries are in scope of the data.</t>
        </r>
      </text>
    </comment>
    <comment ref="A15" authorId="0" shapeId="0" xr:uid="{00000000-0006-0000-0800-00000A000000}">
      <text>
        <r>
          <rPr>
            <sz val="9"/>
            <color indexed="81"/>
            <rFont val="Tahoma"/>
            <family val="2"/>
          </rPr>
          <t>Enter the responsible team for sourcing the data onto the Foundry Platform. Usually the data delivery team, but CHS and Apollo have their own sourcing teams and procedures</t>
        </r>
      </text>
    </comment>
    <comment ref="D19" authorId="0" shapeId="0" xr:uid="{00000000-0006-0000-0800-00000B000000}">
      <text>
        <r>
          <rPr>
            <sz val="9"/>
            <color indexed="81"/>
            <rFont val="Tahoma"/>
            <family val="2"/>
          </rPr>
          <t>Field describes the "birth date" of the data in the data sets. How long back does the data capture go?
It will have to answer us questions such as "do we have accounts &amp; cards data from Brazil i</t>
        </r>
        <r>
          <rPr>
            <b/>
            <sz val="9"/>
            <color indexed="81"/>
            <rFont val="Tahoma"/>
            <family val="2"/>
          </rPr>
          <t>n 1996</t>
        </r>
        <r>
          <rPr>
            <sz val="9"/>
            <color indexed="81"/>
            <rFont val="Tahoma"/>
            <family val="2"/>
          </rPr>
          <t>?"</t>
        </r>
      </text>
    </comment>
    <comment ref="A29" authorId="0" shapeId="0" xr:uid="{00000000-0006-0000-0800-00000C000000}">
      <text>
        <r>
          <rPr>
            <sz val="9"/>
            <color indexed="81"/>
            <rFont val="Tahoma"/>
            <family val="2"/>
          </rPr>
          <t>Provide indication as to how and when data is transferred from the source system into Foundry. Choose from the available options</t>
        </r>
      </text>
    </comment>
    <comment ref="E29" authorId="1" shapeId="0" xr:uid="{00000000-0006-0000-0800-00000D000000}">
      <text>
        <r>
          <rPr>
            <b/>
            <sz val="9"/>
            <color indexed="81"/>
            <rFont val="Tahoma"/>
            <family val="2"/>
          </rPr>
          <t>for example:
Operational Risk
Non Financial Risk
Market Risk
Country Risk</t>
        </r>
      </text>
    </comment>
    <comment ref="A34" authorId="2" shapeId="0" xr:uid="{00000000-0006-0000-0800-00000E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59" authorId="1" shapeId="0" xr:uid="{00000000-0006-0000-0800-00000F000000}">
      <text>
        <r>
          <rPr>
            <b/>
            <sz val="9"/>
            <color indexed="81"/>
            <rFont val="Tahoma"/>
            <family val="2"/>
          </rPr>
          <t>only to be filled if the above source system has a different sourcing it with data</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Kley, Tobias (FXSD) CWR</author>
  </authors>
  <commentList>
    <comment ref="B5" authorId="0" shapeId="0" xr:uid="{00000000-0006-0000-0A00-000001000000}">
      <text>
        <r>
          <rPr>
            <sz val="9"/>
            <color indexed="81"/>
            <rFont val="Tahoma"/>
            <family val="2"/>
          </rPr>
          <t xml:space="preserve">Provide only the required contacts that are not provided in CATI already.
Focus on the following four groups, and avoid using details of individuals:
</t>
        </r>
        <r>
          <rPr>
            <b/>
            <sz val="9"/>
            <color indexed="81"/>
            <rFont val="Tahoma"/>
            <family val="2"/>
          </rPr>
          <t xml:space="preserve">SDP Support-L2:
</t>
        </r>
        <r>
          <rPr>
            <sz val="9"/>
            <color indexed="81"/>
            <rFont val="Tahoma"/>
            <family val="2"/>
          </rPr>
          <t>- IF SFI &gt; list.cstl2sdpch@credit-suisse.com - 
- IF pCLOUD &gt; list.cstl2sdpglobal@credit-suisse.com</t>
        </r>
        <r>
          <rPr>
            <b/>
            <sz val="9"/>
            <color indexed="81"/>
            <rFont val="Tahoma"/>
            <family val="2"/>
          </rPr>
          <t xml:space="preserve">
SDP Support-L3
</t>
        </r>
        <r>
          <rPr>
            <sz val="9"/>
            <color indexed="81"/>
            <rFont val="Tahoma"/>
            <family val="2"/>
          </rPr>
          <t xml:space="preserve">- Usually Ingestion Team: list.ccrodataingestion@credit-suisse.com
</t>
        </r>
        <r>
          <rPr>
            <b/>
            <sz val="9"/>
            <color indexed="81"/>
            <rFont val="Tahoma"/>
            <family val="2"/>
          </rPr>
          <t>Respective SNOW Queue:</t>
        </r>
        <r>
          <rPr>
            <sz val="9"/>
            <color indexed="81"/>
            <rFont val="Tahoma"/>
            <family val="2"/>
          </rPr>
          <t xml:space="preserve">
- https://cssnow.service-now.com/navpage.do
</t>
        </r>
        <r>
          <rPr>
            <b/>
            <sz val="9"/>
            <color indexed="81"/>
            <rFont val="Tahoma"/>
            <family val="2"/>
          </rPr>
          <t>Source IT contact group (if different than CATI)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Geurtsen, Berend (FXEJ 1) CWR</author>
    <author>Menon, Maya (FXUA)</author>
  </authors>
  <commentList>
    <comment ref="E5" authorId="0" shapeId="0" xr:uid="{00000000-0006-0000-0B00-000001000000}">
      <text>
        <r>
          <rPr>
            <sz val="9"/>
            <color indexed="81"/>
            <rFont val="Tahoma"/>
            <family val="2"/>
          </rPr>
          <t xml:space="preserve">Based on the interface type the relevant fields will be revealed. Please complete all that are not grey.
For the uplift team: If this information is incomplete, reach out to the appointed business analyst, or to the ingestion team. It should be known for all existing feeds in Foundry.
</t>
        </r>
      </text>
    </comment>
    <comment ref="C46" authorId="1" shapeId="0" xr:uid="{00000000-0006-0000-0B00-000002000000}">
      <text>
        <r>
          <rPr>
            <b/>
            <sz val="9"/>
            <color indexed="81"/>
            <rFont val="Tahoma"/>
            <family val="2"/>
          </rPr>
          <t>Menon, Maya (FXUA):</t>
        </r>
        <r>
          <rPr>
            <sz val="9"/>
            <color indexed="81"/>
            <rFont val="Tahoma"/>
            <family val="2"/>
          </rPr>
          <t xml:space="preserve">
The data selected should be reproducible for a given date if a redelivery is requested. Maintaining data history)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0D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0D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0D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0D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0D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0D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0D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0D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0D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0D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0D00-00000B000000}">
      <text>
        <r>
          <rPr>
            <sz val="9"/>
            <color indexed="81"/>
            <rFont val="Tahoma"/>
            <family val="2"/>
          </rPr>
          <t>Pick the relevant field from the dropdown to descibe the delivery type</t>
        </r>
      </text>
    </comment>
    <comment ref="A44" authorId="2" shapeId="0" xr:uid="{00000000-0006-0000-0D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0D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0D00-00000E000000}">
      <text>
        <r>
          <rPr>
            <b/>
            <sz val="9"/>
            <color indexed="81"/>
            <rFont val="Tahoma"/>
            <family val="2"/>
          </rPr>
          <t>mandatory</t>
        </r>
        <r>
          <rPr>
            <sz val="9"/>
            <color indexed="81"/>
            <rFont val="Tahoma"/>
            <family val="2"/>
          </rPr>
          <t xml:space="preserve">
</t>
        </r>
      </text>
    </comment>
    <comment ref="A91" authorId="2" shapeId="0" xr:uid="{00000000-0006-0000-0D00-00000F000000}">
      <text>
        <r>
          <rPr>
            <b/>
            <sz val="9"/>
            <color indexed="81"/>
            <rFont val="Tahoma"/>
            <family val="2"/>
          </rPr>
          <t>mandatory</t>
        </r>
        <r>
          <rPr>
            <sz val="9"/>
            <color indexed="81"/>
            <rFont val="Tahoma"/>
            <family val="2"/>
          </rPr>
          <t xml:space="preserve">
</t>
        </r>
      </text>
    </comment>
    <comment ref="A92" authorId="2" shapeId="0" xr:uid="{00000000-0006-0000-0D00-000010000000}">
      <text>
        <r>
          <rPr>
            <b/>
            <sz val="9"/>
            <color indexed="81"/>
            <rFont val="Tahoma"/>
            <family val="2"/>
          </rPr>
          <t>mandatory</t>
        </r>
        <r>
          <rPr>
            <sz val="9"/>
            <color indexed="81"/>
            <rFont val="Tahoma"/>
            <family val="2"/>
          </rPr>
          <t xml:space="preserve">
</t>
        </r>
      </text>
    </comment>
    <comment ref="A93" authorId="2" shapeId="0" xr:uid="{00000000-0006-0000-0D00-000011000000}">
      <text>
        <r>
          <rPr>
            <b/>
            <sz val="9"/>
            <color indexed="81"/>
            <rFont val="Tahoma"/>
            <family val="2"/>
          </rPr>
          <t>mandatory</t>
        </r>
        <r>
          <rPr>
            <sz val="9"/>
            <color indexed="81"/>
            <rFont val="Tahoma"/>
            <family val="2"/>
          </rPr>
          <t xml:space="preserve">
</t>
        </r>
      </text>
    </comment>
    <comment ref="A94" authorId="2" shapeId="0" xr:uid="{00000000-0006-0000-0D00-000012000000}">
      <text>
        <r>
          <rPr>
            <b/>
            <sz val="9"/>
            <color indexed="81"/>
            <rFont val="Tahoma"/>
            <family val="2"/>
          </rPr>
          <t>mandatory</t>
        </r>
      </text>
    </comment>
    <comment ref="A96" authorId="2" shapeId="0" xr:uid="{00000000-0006-0000-0D00-000013000000}">
      <text>
        <r>
          <rPr>
            <b/>
            <sz val="9"/>
            <color indexed="81"/>
            <rFont val="Tahoma"/>
            <family val="2"/>
          </rPr>
          <t>mandatory</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0E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0E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0E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0E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0E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0E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0E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0E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0E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0E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0E00-00000B000000}">
      <text>
        <r>
          <rPr>
            <sz val="9"/>
            <color indexed="81"/>
            <rFont val="Tahoma"/>
            <family val="2"/>
          </rPr>
          <t>Pick the relevant field from the dropdown to descibe the delivery type</t>
        </r>
      </text>
    </comment>
    <comment ref="A44" authorId="2" shapeId="0" xr:uid="{00000000-0006-0000-0E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0E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0E00-00000E000000}">
      <text>
        <r>
          <rPr>
            <b/>
            <sz val="9"/>
            <color indexed="81"/>
            <rFont val="Tahoma"/>
            <family val="2"/>
          </rPr>
          <t>mandatory</t>
        </r>
        <r>
          <rPr>
            <sz val="9"/>
            <color indexed="81"/>
            <rFont val="Tahoma"/>
            <family val="2"/>
          </rPr>
          <t xml:space="preserve">
</t>
        </r>
      </text>
    </comment>
    <comment ref="A91" authorId="2" shapeId="0" xr:uid="{00000000-0006-0000-0E00-00000F000000}">
      <text>
        <r>
          <rPr>
            <b/>
            <sz val="9"/>
            <color indexed="81"/>
            <rFont val="Tahoma"/>
            <family val="2"/>
          </rPr>
          <t>mandatory</t>
        </r>
        <r>
          <rPr>
            <sz val="9"/>
            <color indexed="81"/>
            <rFont val="Tahoma"/>
            <family val="2"/>
          </rPr>
          <t xml:space="preserve">
</t>
        </r>
      </text>
    </comment>
    <comment ref="A92" authorId="2" shapeId="0" xr:uid="{00000000-0006-0000-0E00-000010000000}">
      <text>
        <r>
          <rPr>
            <b/>
            <sz val="9"/>
            <color indexed="81"/>
            <rFont val="Tahoma"/>
            <family val="2"/>
          </rPr>
          <t>mandatory</t>
        </r>
        <r>
          <rPr>
            <sz val="9"/>
            <color indexed="81"/>
            <rFont val="Tahoma"/>
            <family val="2"/>
          </rPr>
          <t xml:space="preserve">
</t>
        </r>
      </text>
    </comment>
    <comment ref="A93" authorId="2" shapeId="0" xr:uid="{00000000-0006-0000-0E00-000011000000}">
      <text>
        <r>
          <rPr>
            <b/>
            <sz val="9"/>
            <color indexed="81"/>
            <rFont val="Tahoma"/>
            <family val="2"/>
          </rPr>
          <t>mandatory</t>
        </r>
        <r>
          <rPr>
            <sz val="9"/>
            <color indexed="81"/>
            <rFont val="Tahoma"/>
            <family val="2"/>
          </rPr>
          <t xml:space="preserve">
</t>
        </r>
      </text>
    </comment>
    <comment ref="A94" authorId="2" shapeId="0" xr:uid="{00000000-0006-0000-0E00-000012000000}">
      <text>
        <r>
          <rPr>
            <b/>
            <sz val="9"/>
            <color indexed="81"/>
            <rFont val="Tahoma"/>
            <family val="2"/>
          </rPr>
          <t>mandatory</t>
        </r>
      </text>
    </comment>
    <comment ref="A96" authorId="2" shapeId="0" xr:uid="{00000000-0006-0000-0E00-000013000000}">
      <text>
        <r>
          <rPr>
            <b/>
            <sz val="9"/>
            <color indexed="81"/>
            <rFont val="Tahoma"/>
            <family val="2"/>
          </rPr>
          <t>mandatory</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0F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0F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0F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0F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0F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0F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0F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0F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0F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0F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0F00-00000B000000}">
      <text>
        <r>
          <rPr>
            <sz val="9"/>
            <color indexed="81"/>
            <rFont val="Tahoma"/>
            <family val="2"/>
          </rPr>
          <t>Pick the relevant field from the dropdown to descibe the delivery type</t>
        </r>
      </text>
    </comment>
    <comment ref="A44" authorId="2" shapeId="0" xr:uid="{00000000-0006-0000-0F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0F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0F00-00000E000000}">
      <text>
        <r>
          <rPr>
            <b/>
            <sz val="9"/>
            <color indexed="81"/>
            <rFont val="Tahoma"/>
            <family val="2"/>
          </rPr>
          <t>mandatory</t>
        </r>
        <r>
          <rPr>
            <sz val="9"/>
            <color indexed="81"/>
            <rFont val="Tahoma"/>
            <family val="2"/>
          </rPr>
          <t xml:space="preserve">
</t>
        </r>
      </text>
    </comment>
    <comment ref="A91" authorId="2" shapeId="0" xr:uid="{00000000-0006-0000-0F00-00000F000000}">
      <text>
        <r>
          <rPr>
            <b/>
            <sz val="9"/>
            <color indexed="81"/>
            <rFont val="Tahoma"/>
            <family val="2"/>
          </rPr>
          <t>mandatory</t>
        </r>
        <r>
          <rPr>
            <sz val="9"/>
            <color indexed="81"/>
            <rFont val="Tahoma"/>
            <family val="2"/>
          </rPr>
          <t xml:space="preserve">
</t>
        </r>
      </text>
    </comment>
    <comment ref="A92" authorId="2" shapeId="0" xr:uid="{00000000-0006-0000-0F00-000010000000}">
      <text>
        <r>
          <rPr>
            <b/>
            <sz val="9"/>
            <color indexed="81"/>
            <rFont val="Tahoma"/>
            <family val="2"/>
          </rPr>
          <t>mandatory</t>
        </r>
        <r>
          <rPr>
            <sz val="9"/>
            <color indexed="81"/>
            <rFont val="Tahoma"/>
            <family val="2"/>
          </rPr>
          <t xml:space="preserve">
</t>
        </r>
      </text>
    </comment>
    <comment ref="A93" authorId="2" shapeId="0" xr:uid="{00000000-0006-0000-0F00-000011000000}">
      <text>
        <r>
          <rPr>
            <b/>
            <sz val="9"/>
            <color indexed="81"/>
            <rFont val="Tahoma"/>
            <family val="2"/>
          </rPr>
          <t>mandatory</t>
        </r>
        <r>
          <rPr>
            <sz val="9"/>
            <color indexed="81"/>
            <rFont val="Tahoma"/>
            <family val="2"/>
          </rPr>
          <t xml:space="preserve">
</t>
        </r>
      </text>
    </comment>
    <comment ref="A94" authorId="2" shapeId="0" xr:uid="{00000000-0006-0000-0F00-000012000000}">
      <text>
        <r>
          <rPr>
            <b/>
            <sz val="9"/>
            <color indexed="81"/>
            <rFont val="Tahoma"/>
            <family val="2"/>
          </rPr>
          <t>mandatory</t>
        </r>
      </text>
    </comment>
    <comment ref="A96" authorId="2" shapeId="0" xr:uid="{00000000-0006-0000-0F00-000013000000}">
      <text>
        <r>
          <rPr>
            <b/>
            <sz val="9"/>
            <color indexed="81"/>
            <rFont val="Tahoma"/>
            <family val="2"/>
          </rPr>
          <t>mandatory</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0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0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0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0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0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0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0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0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0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0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000-00000B000000}">
      <text>
        <r>
          <rPr>
            <sz val="9"/>
            <color indexed="81"/>
            <rFont val="Tahoma"/>
            <family val="2"/>
          </rPr>
          <t>Pick the relevant field from the dropdown to descibe the delivery type</t>
        </r>
      </text>
    </comment>
    <comment ref="A44" authorId="2" shapeId="0" xr:uid="{00000000-0006-0000-10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0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000-00000E000000}">
      <text>
        <r>
          <rPr>
            <b/>
            <sz val="9"/>
            <color indexed="81"/>
            <rFont val="Tahoma"/>
            <family val="2"/>
          </rPr>
          <t>mandatory</t>
        </r>
        <r>
          <rPr>
            <sz val="9"/>
            <color indexed="81"/>
            <rFont val="Tahoma"/>
            <family val="2"/>
          </rPr>
          <t xml:space="preserve">
</t>
        </r>
      </text>
    </comment>
    <comment ref="A91" authorId="2" shapeId="0" xr:uid="{00000000-0006-0000-1000-00000F000000}">
      <text>
        <r>
          <rPr>
            <b/>
            <sz val="9"/>
            <color indexed="81"/>
            <rFont val="Tahoma"/>
            <family val="2"/>
          </rPr>
          <t>mandatory</t>
        </r>
        <r>
          <rPr>
            <sz val="9"/>
            <color indexed="81"/>
            <rFont val="Tahoma"/>
            <family val="2"/>
          </rPr>
          <t xml:space="preserve">
</t>
        </r>
      </text>
    </comment>
    <comment ref="A92" authorId="2" shapeId="0" xr:uid="{00000000-0006-0000-1000-000010000000}">
      <text>
        <r>
          <rPr>
            <b/>
            <sz val="9"/>
            <color indexed="81"/>
            <rFont val="Tahoma"/>
            <family val="2"/>
          </rPr>
          <t>mandatory</t>
        </r>
        <r>
          <rPr>
            <sz val="9"/>
            <color indexed="81"/>
            <rFont val="Tahoma"/>
            <family val="2"/>
          </rPr>
          <t xml:space="preserve">
</t>
        </r>
      </text>
    </comment>
    <comment ref="A93" authorId="2" shapeId="0" xr:uid="{00000000-0006-0000-1000-000011000000}">
      <text>
        <r>
          <rPr>
            <b/>
            <sz val="9"/>
            <color indexed="81"/>
            <rFont val="Tahoma"/>
            <family val="2"/>
          </rPr>
          <t>mandatory</t>
        </r>
        <r>
          <rPr>
            <sz val="9"/>
            <color indexed="81"/>
            <rFont val="Tahoma"/>
            <family val="2"/>
          </rPr>
          <t xml:space="preserve">
</t>
        </r>
      </text>
    </comment>
    <comment ref="A94" authorId="2" shapeId="0" xr:uid="{00000000-0006-0000-1000-000012000000}">
      <text>
        <r>
          <rPr>
            <b/>
            <sz val="9"/>
            <color indexed="81"/>
            <rFont val="Tahoma"/>
            <family val="2"/>
          </rPr>
          <t>mandatory</t>
        </r>
      </text>
    </comment>
    <comment ref="A96" authorId="2" shapeId="0" xr:uid="{00000000-0006-0000-1000-000013000000}">
      <text>
        <r>
          <rPr>
            <b/>
            <sz val="9"/>
            <color indexed="81"/>
            <rFont val="Tahoma"/>
            <family val="2"/>
          </rPr>
          <t>mandatory</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1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1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1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1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1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1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1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1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1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1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100-00000B000000}">
      <text>
        <r>
          <rPr>
            <sz val="9"/>
            <color indexed="81"/>
            <rFont val="Tahoma"/>
            <family val="2"/>
          </rPr>
          <t>Pick the relevant field from the dropdown to descibe the delivery type</t>
        </r>
      </text>
    </comment>
    <comment ref="A44" authorId="2" shapeId="0" xr:uid="{00000000-0006-0000-11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1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100-00000E000000}">
      <text>
        <r>
          <rPr>
            <b/>
            <sz val="9"/>
            <color indexed="81"/>
            <rFont val="Tahoma"/>
            <family val="2"/>
          </rPr>
          <t>mandatory</t>
        </r>
        <r>
          <rPr>
            <sz val="9"/>
            <color indexed="81"/>
            <rFont val="Tahoma"/>
            <family val="2"/>
          </rPr>
          <t xml:space="preserve">
</t>
        </r>
      </text>
    </comment>
    <comment ref="A91" authorId="2" shapeId="0" xr:uid="{00000000-0006-0000-1100-00000F000000}">
      <text>
        <r>
          <rPr>
            <b/>
            <sz val="9"/>
            <color indexed="81"/>
            <rFont val="Tahoma"/>
            <family val="2"/>
          </rPr>
          <t>mandatory</t>
        </r>
        <r>
          <rPr>
            <sz val="9"/>
            <color indexed="81"/>
            <rFont val="Tahoma"/>
            <family val="2"/>
          </rPr>
          <t xml:space="preserve">
</t>
        </r>
      </text>
    </comment>
    <comment ref="A92" authorId="2" shapeId="0" xr:uid="{00000000-0006-0000-1100-000010000000}">
      <text>
        <r>
          <rPr>
            <b/>
            <sz val="9"/>
            <color indexed="81"/>
            <rFont val="Tahoma"/>
            <family val="2"/>
          </rPr>
          <t>mandatory</t>
        </r>
        <r>
          <rPr>
            <sz val="9"/>
            <color indexed="81"/>
            <rFont val="Tahoma"/>
            <family val="2"/>
          </rPr>
          <t xml:space="preserve">
</t>
        </r>
      </text>
    </comment>
    <comment ref="A93" authorId="2" shapeId="0" xr:uid="{00000000-0006-0000-1100-000011000000}">
      <text>
        <r>
          <rPr>
            <b/>
            <sz val="9"/>
            <color indexed="81"/>
            <rFont val="Tahoma"/>
            <family val="2"/>
          </rPr>
          <t>mandatory</t>
        </r>
        <r>
          <rPr>
            <sz val="9"/>
            <color indexed="81"/>
            <rFont val="Tahoma"/>
            <family val="2"/>
          </rPr>
          <t xml:space="preserve">
</t>
        </r>
      </text>
    </comment>
    <comment ref="A94" authorId="2" shapeId="0" xr:uid="{00000000-0006-0000-1100-000012000000}">
      <text>
        <r>
          <rPr>
            <b/>
            <sz val="9"/>
            <color indexed="81"/>
            <rFont val="Tahoma"/>
            <family val="2"/>
          </rPr>
          <t>mandatory</t>
        </r>
      </text>
    </comment>
    <comment ref="A96" authorId="2" shapeId="0" xr:uid="{00000000-0006-0000-1100-000013000000}">
      <text>
        <r>
          <rPr>
            <b/>
            <sz val="9"/>
            <color indexed="81"/>
            <rFont val="Tahoma"/>
            <family val="2"/>
          </rPr>
          <t>mandatory</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2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2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2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2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2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2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2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2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2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2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200-00000B000000}">
      <text>
        <r>
          <rPr>
            <sz val="9"/>
            <color indexed="81"/>
            <rFont val="Tahoma"/>
            <family val="2"/>
          </rPr>
          <t>Pick the relevant field from the dropdown to descibe the delivery type</t>
        </r>
      </text>
    </comment>
    <comment ref="A44" authorId="2" shapeId="0" xr:uid="{00000000-0006-0000-12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2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200-00000E000000}">
      <text>
        <r>
          <rPr>
            <b/>
            <sz val="9"/>
            <color indexed="81"/>
            <rFont val="Tahoma"/>
            <family val="2"/>
          </rPr>
          <t>mandatory</t>
        </r>
        <r>
          <rPr>
            <sz val="9"/>
            <color indexed="81"/>
            <rFont val="Tahoma"/>
            <family val="2"/>
          </rPr>
          <t xml:space="preserve">
</t>
        </r>
      </text>
    </comment>
    <comment ref="A91" authorId="2" shapeId="0" xr:uid="{00000000-0006-0000-1200-00000F000000}">
      <text>
        <r>
          <rPr>
            <b/>
            <sz val="9"/>
            <color indexed="81"/>
            <rFont val="Tahoma"/>
            <family val="2"/>
          </rPr>
          <t>mandatory</t>
        </r>
        <r>
          <rPr>
            <sz val="9"/>
            <color indexed="81"/>
            <rFont val="Tahoma"/>
            <family val="2"/>
          </rPr>
          <t xml:space="preserve">
</t>
        </r>
      </text>
    </comment>
    <comment ref="A92" authorId="2" shapeId="0" xr:uid="{00000000-0006-0000-1200-000010000000}">
      <text>
        <r>
          <rPr>
            <b/>
            <sz val="9"/>
            <color indexed="81"/>
            <rFont val="Tahoma"/>
            <family val="2"/>
          </rPr>
          <t>mandatory</t>
        </r>
        <r>
          <rPr>
            <sz val="9"/>
            <color indexed="81"/>
            <rFont val="Tahoma"/>
            <family val="2"/>
          </rPr>
          <t xml:space="preserve">
</t>
        </r>
      </text>
    </comment>
    <comment ref="A93" authorId="2" shapeId="0" xr:uid="{00000000-0006-0000-1200-000011000000}">
      <text>
        <r>
          <rPr>
            <b/>
            <sz val="9"/>
            <color indexed="81"/>
            <rFont val="Tahoma"/>
            <family val="2"/>
          </rPr>
          <t>mandatory</t>
        </r>
        <r>
          <rPr>
            <sz val="9"/>
            <color indexed="81"/>
            <rFont val="Tahoma"/>
            <family val="2"/>
          </rPr>
          <t xml:space="preserve">
</t>
        </r>
      </text>
    </comment>
    <comment ref="A94" authorId="2" shapeId="0" xr:uid="{00000000-0006-0000-1200-000012000000}">
      <text>
        <r>
          <rPr>
            <b/>
            <sz val="9"/>
            <color indexed="81"/>
            <rFont val="Tahoma"/>
            <family val="2"/>
          </rPr>
          <t>mandatory</t>
        </r>
      </text>
    </comment>
    <comment ref="A96" authorId="2" shapeId="0" xr:uid="{00000000-0006-0000-1200-000013000000}">
      <text>
        <r>
          <rPr>
            <b/>
            <sz val="9"/>
            <color indexed="81"/>
            <rFont val="Tahoma"/>
            <family val="2"/>
          </rPr>
          <t>mandatory</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3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3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3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3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3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3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3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3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3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3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300-00000B000000}">
      <text>
        <r>
          <rPr>
            <sz val="9"/>
            <color indexed="81"/>
            <rFont val="Tahoma"/>
            <family val="2"/>
          </rPr>
          <t>Pick the relevant field from the dropdown to descibe the delivery type</t>
        </r>
      </text>
    </comment>
    <comment ref="A44" authorId="2" shapeId="0" xr:uid="{00000000-0006-0000-13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3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300-00000E000000}">
      <text>
        <r>
          <rPr>
            <b/>
            <sz val="9"/>
            <color indexed="81"/>
            <rFont val="Tahoma"/>
            <family val="2"/>
          </rPr>
          <t>mandatory</t>
        </r>
        <r>
          <rPr>
            <sz val="9"/>
            <color indexed="81"/>
            <rFont val="Tahoma"/>
            <family val="2"/>
          </rPr>
          <t xml:space="preserve">
</t>
        </r>
      </text>
    </comment>
    <comment ref="A91" authorId="2" shapeId="0" xr:uid="{00000000-0006-0000-1300-00000F000000}">
      <text>
        <r>
          <rPr>
            <b/>
            <sz val="9"/>
            <color indexed="81"/>
            <rFont val="Tahoma"/>
            <family val="2"/>
          </rPr>
          <t>mandatory</t>
        </r>
        <r>
          <rPr>
            <sz val="9"/>
            <color indexed="81"/>
            <rFont val="Tahoma"/>
            <family val="2"/>
          </rPr>
          <t xml:space="preserve">
</t>
        </r>
      </text>
    </comment>
    <comment ref="A92" authorId="2" shapeId="0" xr:uid="{00000000-0006-0000-1300-000010000000}">
      <text>
        <r>
          <rPr>
            <b/>
            <sz val="9"/>
            <color indexed="81"/>
            <rFont val="Tahoma"/>
            <family val="2"/>
          </rPr>
          <t>mandatory</t>
        </r>
        <r>
          <rPr>
            <sz val="9"/>
            <color indexed="81"/>
            <rFont val="Tahoma"/>
            <family val="2"/>
          </rPr>
          <t xml:space="preserve">
</t>
        </r>
      </text>
    </comment>
    <comment ref="A93" authorId="2" shapeId="0" xr:uid="{00000000-0006-0000-1300-000011000000}">
      <text>
        <r>
          <rPr>
            <b/>
            <sz val="9"/>
            <color indexed="81"/>
            <rFont val="Tahoma"/>
            <family val="2"/>
          </rPr>
          <t>mandatory</t>
        </r>
        <r>
          <rPr>
            <sz val="9"/>
            <color indexed="81"/>
            <rFont val="Tahoma"/>
            <family val="2"/>
          </rPr>
          <t xml:space="preserve">
</t>
        </r>
      </text>
    </comment>
    <comment ref="A94" authorId="2" shapeId="0" xr:uid="{00000000-0006-0000-1300-000012000000}">
      <text>
        <r>
          <rPr>
            <b/>
            <sz val="9"/>
            <color indexed="81"/>
            <rFont val="Tahoma"/>
            <family val="2"/>
          </rPr>
          <t>mandatory</t>
        </r>
      </text>
    </comment>
    <comment ref="A96" authorId="2" shapeId="0" xr:uid="{00000000-0006-0000-1300-000013000000}">
      <text>
        <r>
          <rPr>
            <b/>
            <sz val="9"/>
            <color indexed="81"/>
            <rFont val="Tahoma"/>
            <family val="2"/>
          </rPr>
          <t>mandatory</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4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4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4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4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4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4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4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4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4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4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400-00000B000000}">
      <text>
        <r>
          <rPr>
            <sz val="9"/>
            <color indexed="81"/>
            <rFont val="Tahoma"/>
            <family val="2"/>
          </rPr>
          <t>Pick the relevant field from the dropdown to descibe the delivery type</t>
        </r>
      </text>
    </comment>
    <comment ref="A44" authorId="2" shapeId="0" xr:uid="{00000000-0006-0000-14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4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400-00000E000000}">
      <text>
        <r>
          <rPr>
            <b/>
            <sz val="9"/>
            <color indexed="81"/>
            <rFont val="Tahoma"/>
            <family val="2"/>
          </rPr>
          <t>mandatory</t>
        </r>
        <r>
          <rPr>
            <sz val="9"/>
            <color indexed="81"/>
            <rFont val="Tahoma"/>
            <family val="2"/>
          </rPr>
          <t xml:space="preserve">
</t>
        </r>
      </text>
    </comment>
    <comment ref="A91" authorId="2" shapeId="0" xr:uid="{00000000-0006-0000-1400-00000F000000}">
      <text>
        <r>
          <rPr>
            <b/>
            <sz val="9"/>
            <color indexed="81"/>
            <rFont val="Tahoma"/>
            <family val="2"/>
          </rPr>
          <t>mandatory</t>
        </r>
        <r>
          <rPr>
            <sz val="9"/>
            <color indexed="81"/>
            <rFont val="Tahoma"/>
            <family val="2"/>
          </rPr>
          <t xml:space="preserve">
</t>
        </r>
      </text>
    </comment>
    <comment ref="A92" authorId="2" shapeId="0" xr:uid="{00000000-0006-0000-1400-000010000000}">
      <text>
        <r>
          <rPr>
            <b/>
            <sz val="9"/>
            <color indexed="81"/>
            <rFont val="Tahoma"/>
            <family val="2"/>
          </rPr>
          <t>mandatory</t>
        </r>
        <r>
          <rPr>
            <sz val="9"/>
            <color indexed="81"/>
            <rFont val="Tahoma"/>
            <family val="2"/>
          </rPr>
          <t xml:space="preserve">
</t>
        </r>
      </text>
    </comment>
    <comment ref="A93" authorId="2" shapeId="0" xr:uid="{00000000-0006-0000-1400-000011000000}">
      <text>
        <r>
          <rPr>
            <b/>
            <sz val="9"/>
            <color indexed="81"/>
            <rFont val="Tahoma"/>
            <family val="2"/>
          </rPr>
          <t>mandatory</t>
        </r>
        <r>
          <rPr>
            <sz val="9"/>
            <color indexed="81"/>
            <rFont val="Tahoma"/>
            <family val="2"/>
          </rPr>
          <t xml:space="preserve">
</t>
        </r>
      </text>
    </comment>
    <comment ref="A94" authorId="2" shapeId="0" xr:uid="{00000000-0006-0000-1400-000012000000}">
      <text>
        <r>
          <rPr>
            <b/>
            <sz val="9"/>
            <color indexed="81"/>
            <rFont val="Tahoma"/>
            <family val="2"/>
          </rPr>
          <t>mandatory</t>
        </r>
      </text>
    </comment>
    <comment ref="A96" authorId="2" shapeId="0" xr:uid="{00000000-0006-0000-1400-000013000000}">
      <text>
        <r>
          <rPr>
            <b/>
            <sz val="9"/>
            <color indexed="81"/>
            <rFont val="Tahoma"/>
            <family val="2"/>
          </rPr>
          <t>mandatory</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5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5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5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5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5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5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5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5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5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5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500-00000B000000}">
      <text>
        <r>
          <rPr>
            <sz val="9"/>
            <color indexed="81"/>
            <rFont val="Tahoma"/>
            <family val="2"/>
          </rPr>
          <t>Pick the relevant field from the dropdown to descibe the delivery type</t>
        </r>
      </text>
    </comment>
    <comment ref="A44" authorId="2" shapeId="0" xr:uid="{00000000-0006-0000-15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5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500-00000E000000}">
      <text>
        <r>
          <rPr>
            <b/>
            <sz val="9"/>
            <color indexed="81"/>
            <rFont val="Tahoma"/>
            <family val="2"/>
          </rPr>
          <t>mandatory</t>
        </r>
        <r>
          <rPr>
            <sz val="9"/>
            <color indexed="81"/>
            <rFont val="Tahoma"/>
            <family val="2"/>
          </rPr>
          <t xml:space="preserve">
</t>
        </r>
      </text>
    </comment>
    <comment ref="A91" authorId="2" shapeId="0" xr:uid="{00000000-0006-0000-1500-00000F000000}">
      <text>
        <r>
          <rPr>
            <b/>
            <sz val="9"/>
            <color indexed="81"/>
            <rFont val="Tahoma"/>
            <family val="2"/>
          </rPr>
          <t>mandatory</t>
        </r>
        <r>
          <rPr>
            <sz val="9"/>
            <color indexed="81"/>
            <rFont val="Tahoma"/>
            <family val="2"/>
          </rPr>
          <t xml:space="preserve">
</t>
        </r>
      </text>
    </comment>
    <comment ref="A92" authorId="2" shapeId="0" xr:uid="{00000000-0006-0000-1500-000010000000}">
      <text>
        <r>
          <rPr>
            <b/>
            <sz val="9"/>
            <color indexed="81"/>
            <rFont val="Tahoma"/>
            <family val="2"/>
          </rPr>
          <t>mandatory</t>
        </r>
        <r>
          <rPr>
            <sz val="9"/>
            <color indexed="81"/>
            <rFont val="Tahoma"/>
            <family val="2"/>
          </rPr>
          <t xml:space="preserve">
</t>
        </r>
      </text>
    </comment>
    <comment ref="A93" authorId="2" shapeId="0" xr:uid="{00000000-0006-0000-1500-000011000000}">
      <text>
        <r>
          <rPr>
            <b/>
            <sz val="9"/>
            <color indexed="81"/>
            <rFont val="Tahoma"/>
            <family val="2"/>
          </rPr>
          <t>mandatory</t>
        </r>
        <r>
          <rPr>
            <sz val="9"/>
            <color indexed="81"/>
            <rFont val="Tahoma"/>
            <family val="2"/>
          </rPr>
          <t xml:space="preserve">
</t>
        </r>
      </text>
    </comment>
    <comment ref="A94" authorId="2" shapeId="0" xr:uid="{00000000-0006-0000-1500-000012000000}">
      <text>
        <r>
          <rPr>
            <b/>
            <sz val="9"/>
            <color indexed="81"/>
            <rFont val="Tahoma"/>
            <family val="2"/>
          </rPr>
          <t>mandatory</t>
        </r>
      </text>
    </comment>
    <comment ref="A96" authorId="2" shapeId="0" xr:uid="{00000000-0006-0000-1500-000013000000}">
      <text>
        <r>
          <rPr>
            <b/>
            <sz val="9"/>
            <color indexed="81"/>
            <rFont val="Tahoma"/>
            <family val="2"/>
          </rPr>
          <t>mandatory</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6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6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6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6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6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6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6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6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6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6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600-00000B000000}">
      <text>
        <r>
          <rPr>
            <sz val="9"/>
            <color indexed="81"/>
            <rFont val="Tahoma"/>
            <family val="2"/>
          </rPr>
          <t>Pick the relevant field from the dropdown to descibe the delivery type</t>
        </r>
      </text>
    </comment>
    <comment ref="A44" authorId="2" shapeId="0" xr:uid="{00000000-0006-0000-16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6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600-00000E000000}">
      <text>
        <r>
          <rPr>
            <b/>
            <sz val="9"/>
            <color indexed="81"/>
            <rFont val="Tahoma"/>
            <family val="2"/>
          </rPr>
          <t>mandatory</t>
        </r>
        <r>
          <rPr>
            <sz val="9"/>
            <color indexed="81"/>
            <rFont val="Tahoma"/>
            <family val="2"/>
          </rPr>
          <t xml:space="preserve">
</t>
        </r>
      </text>
    </comment>
    <comment ref="A91" authorId="2" shapeId="0" xr:uid="{00000000-0006-0000-1600-00000F000000}">
      <text>
        <r>
          <rPr>
            <b/>
            <sz val="9"/>
            <color indexed="81"/>
            <rFont val="Tahoma"/>
            <family val="2"/>
          </rPr>
          <t>mandatory</t>
        </r>
        <r>
          <rPr>
            <sz val="9"/>
            <color indexed="81"/>
            <rFont val="Tahoma"/>
            <family val="2"/>
          </rPr>
          <t xml:space="preserve">
</t>
        </r>
      </text>
    </comment>
    <comment ref="A92" authorId="2" shapeId="0" xr:uid="{00000000-0006-0000-1600-000010000000}">
      <text>
        <r>
          <rPr>
            <b/>
            <sz val="9"/>
            <color indexed="81"/>
            <rFont val="Tahoma"/>
            <family val="2"/>
          </rPr>
          <t>mandatory</t>
        </r>
        <r>
          <rPr>
            <sz val="9"/>
            <color indexed="81"/>
            <rFont val="Tahoma"/>
            <family val="2"/>
          </rPr>
          <t xml:space="preserve">
</t>
        </r>
      </text>
    </comment>
    <comment ref="A93" authorId="2" shapeId="0" xr:uid="{00000000-0006-0000-1600-000011000000}">
      <text>
        <r>
          <rPr>
            <b/>
            <sz val="9"/>
            <color indexed="81"/>
            <rFont val="Tahoma"/>
            <family val="2"/>
          </rPr>
          <t>mandatory</t>
        </r>
        <r>
          <rPr>
            <sz val="9"/>
            <color indexed="81"/>
            <rFont val="Tahoma"/>
            <family val="2"/>
          </rPr>
          <t xml:space="preserve">
</t>
        </r>
      </text>
    </comment>
    <comment ref="A94" authorId="2" shapeId="0" xr:uid="{00000000-0006-0000-1600-000012000000}">
      <text>
        <r>
          <rPr>
            <b/>
            <sz val="9"/>
            <color indexed="81"/>
            <rFont val="Tahoma"/>
            <family val="2"/>
          </rPr>
          <t>mandatory</t>
        </r>
      </text>
    </comment>
    <comment ref="A96" authorId="2" shapeId="0" xr:uid="{00000000-0006-0000-1600-000013000000}">
      <text>
        <r>
          <rPr>
            <b/>
            <sz val="9"/>
            <color indexed="81"/>
            <rFont val="Tahoma"/>
            <family val="2"/>
          </rPr>
          <t>mandatory</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7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7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7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7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7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7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7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7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7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7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700-00000B000000}">
      <text>
        <r>
          <rPr>
            <sz val="9"/>
            <color indexed="81"/>
            <rFont val="Tahoma"/>
            <family val="2"/>
          </rPr>
          <t>Pick the relevant field from the dropdown to descibe the delivery type</t>
        </r>
      </text>
    </comment>
    <comment ref="A44" authorId="2" shapeId="0" xr:uid="{00000000-0006-0000-17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7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700-00000E000000}">
      <text>
        <r>
          <rPr>
            <b/>
            <sz val="9"/>
            <color indexed="81"/>
            <rFont val="Tahoma"/>
            <family val="2"/>
          </rPr>
          <t>mandatory</t>
        </r>
        <r>
          <rPr>
            <sz val="9"/>
            <color indexed="81"/>
            <rFont val="Tahoma"/>
            <family val="2"/>
          </rPr>
          <t xml:space="preserve">
</t>
        </r>
      </text>
    </comment>
    <comment ref="A91" authorId="2" shapeId="0" xr:uid="{00000000-0006-0000-1700-00000F000000}">
      <text>
        <r>
          <rPr>
            <b/>
            <sz val="9"/>
            <color indexed="81"/>
            <rFont val="Tahoma"/>
            <family val="2"/>
          </rPr>
          <t>mandatory</t>
        </r>
        <r>
          <rPr>
            <sz val="9"/>
            <color indexed="81"/>
            <rFont val="Tahoma"/>
            <family val="2"/>
          </rPr>
          <t xml:space="preserve">
</t>
        </r>
      </text>
    </comment>
    <comment ref="A92" authorId="2" shapeId="0" xr:uid="{00000000-0006-0000-1700-000010000000}">
      <text>
        <r>
          <rPr>
            <b/>
            <sz val="9"/>
            <color indexed="81"/>
            <rFont val="Tahoma"/>
            <family val="2"/>
          </rPr>
          <t>mandatory</t>
        </r>
        <r>
          <rPr>
            <sz val="9"/>
            <color indexed="81"/>
            <rFont val="Tahoma"/>
            <family val="2"/>
          </rPr>
          <t xml:space="preserve">
</t>
        </r>
      </text>
    </comment>
    <comment ref="A93" authorId="2" shapeId="0" xr:uid="{00000000-0006-0000-1700-000011000000}">
      <text>
        <r>
          <rPr>
            <b/>
            <sz val="9"/>
            <color indexed="81"/>
            <rFont val="Tahoma"/>
            <family val="2"/>
          </rPr>
          <t>mandatory</t>
        </r>
        <r>
          <rPr>
            <sz val="9"/>
            <color indexed="81"/>
            <rFont val="Tahoma"/>
            <family val="2"/>
          </rPr>
          <t xml:space="preserve">
</t>
        </r>
      </text>
    </comment>
    <comment ref="A94" authorId="2" shapeId="0" xr:uid="{00000000-0006-0000-1700-000012000000}">
      <text>
        <r>
          <rPr>
            <b/>
            <sz val="9"/>
            <color indexed="81"/>
            <rFont val="Tahoma"/>
            <family val="2"/>
          </rPr>
          <t>mandatory</t>
        </r>
      </text>
    </comment>
    <comment ref="A96" authorId="2" shapeId="0" xr:uid="{00000000-0006-0000-1700-000013000000}">
      <text>
        <r>
          <rPr>
            <b/>
            <sz val="9"/>
            <color indexed="81"/>
            <rFont val="Tahoma"/>
            <family val="2"/>
          </rPr>
          <t>mandatory</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8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8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8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8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8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8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8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8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8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8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800-00000B000000}">
      <text>
        <r>
          <rPr>
            <sz val="9"/>
            <color indexed="81"/>
            <rFont val="Tahoma"/>
            <family val="2"/>
          </rPr>
          <t>Pick the relevant field from the dropdown to descibe the delivery type</t>
        </r>
      </text>
    </comment>
    <comment ref="A44" authorId="2" shapeId="0" xr:uid="{00000000-0006-0000-18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8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800-00000E000000}">
      <text>
        <r>
          <rPr>
            <b/>
            <sz val="9"/>
            <color indexed="81"/>
            <rFont val="Tahoma"/>
            <family val="2"/>
          </rPr>
          <t>mandatory</t>
        </r>
        <r>
          <rPr>
            <sz val="9"/>
            <color indexed="81"/>
            <rFont val="Tahoma"/>
            <family val="2"/>
          </rPr>
          <t xml:space="preserve">
</t>
        </r>
      </text>
    </comment>
    <comment ref="A91" authorId="2" shapeId="0" xr:uid="{00000000-0006-0000-1800-00000F000000}">
      <text>
        <r>
          <rPr>
            <b/>
            <sz val="9"/>
            <color indexed="81"/>
            <rFont val="Tahoma"/>
            <family val="2"/>
          </rPr>
          <t>mandatory</t>
        </r>
        <r>
          <rPr>
            <sz val="9"/>
            <color indexed="81"/>
            <rFont val="Tahoma"/>
            <family val="2"/>
          </rPr>
          <t xml:space="preserve">
</t>
        </r>
      </text>
    </comment>
    <comment ref="A92" authorId="2" shapeId="0" xr:uid="{00000000-0006-0000-1800-000010000000}">
      <text>
        <r>
          <rPr>
            <b/>
            <sz val="9"/>
            <color indexed="81"/>
            <rFont val="Tahoma"/>
            <family val="2"/>
          </rPr>
          <t>mandatory</t>
        </r>
        <r>
          <rPr>
            <sz val="9"/>
            <color indexed="81"/>
            <rFont val="Tahoma"/>
            <family val="2"/>
          </rPr>
          <t xml:space="preserve">
</t>
        </r>
      </text>
    </comment>
    <comment ref="A93" authorId="2" shapeId="0" xr:uid="{00000000-0006-0000-1800-000011000000}">
      <text>
        <r>
          <rPr>
            <b/>
            <sz val="9"/>
            <color indexed="81"/>
            <rFont val="Tahoma"/>
            <family val="2"/>
          </rPr>
          <t>mandatory</t>
        </r>
        <r>
          <rPr>
            <sz val="9"/>
            <color indexed="81"/>
            <rFont val="Tahoma"/>
            <family val="2"/>
          </rPr>
          <t xml:space="preserve">
</t>
        </r>
      </text>
    </comment>
    <comment ref="A94" authorId="2" shapeId="0" xr:uid="{00000000-0006-0000-1800-000012000000}">
      <text>
        <r>
          <rPr>
            <b/>
            <sz val="9"/>
            <color indexed="81"/>
            <rFont val="Tahoma"/>
            <family val="2"/>
          </rPr>
          <t>mandatory</t>
        </r>
      </text>
    </comment>
    <comment ref="A96" authorId="2" shapeId="0" xr:uid="{00000000-0006-0000-1800-000013000000}">
      <text>
        <r>
          <rPr>
            <b/>
            <sz val="9"/>
            <color indexed="81"/>
            <rFont val="Tahoma"/>
            <family val="2"/>
          </rPr>
          <t>mandatory</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9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9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9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9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9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9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9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9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9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9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900-00000B000000}">
      <text>
        <r>
          <rPr>
            <sz val="9"/>
            <color indexed="81"/>
            <rFont val="Tahoma"/>
            <family val="2"/>
          </rPr>
          <t>Pick the relevant field from the dropdown to descibe the delivery type</t>
        </r>
      </text>
    </comment>
    <comment ref="A44" authorId="2" shapeId="0" xr:uid="{00000000-0006-0000-19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9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900-00000E000000}">
      <text>
        <r>
          <rPr>
            <b/>
            <sz val="9"/>
            <color indexed="81"/>
            <rFont val="Tahoma"/>
            <family val="2"/>
          </rPr>
          <t>mandatory</t>
        </r>
        <r>
          <rPr>
            <sz val="9"/>
            <color indexed="81"/>
            <rFont val="Tahoma"/>
            <family val="2"/>
          </rPr>
          <t xml:space="preserve">
</t>
        </r>
      </text>
    </comment>
    <comment ref="A91" authorId="2" shapeId="0" xr:uid="{00000000-0006-0000-1900-00000F000000}">
      <text>
        <r>
          <rPr>
            <b/>
            <sz val="9"/>
            <color indexed="81"/>
            <rFont val="Tahoma"/>
            <family val="2"/>
          </rPr>
          <t>mandatory</t>
        </r>
        <r>
          <rPr>
            <sz val="9"/>
            <color indexed="81"/>
            <rFont val="Tahoma"/>
            <family val="2"/>
          </rPr>
          <t xml:space="preserve">
</t>
        </r>
      </text>
    </comment>
    <comment ref="A92" authorId="2" shapeId="0" xr:uid="{00000000-0006-0000-1900-000010000000}">
      <text>
        <r>
          <rPr>
            <b/>
            <sz val="9"/>
            <color indexed="81"/>
            <rFont val="Tahoma"/>
            <family val="2"/>
          </rPr>
          <t>mandatory</t>
        </r>
        <r>
          <rPr>
            <sz val="9"/>
            <color indexed="81"/>
            <rFont val="Tahoma"/>
            <family val="2"/>
          </rPr>
          <t xml:space="preserve">
</t>
        </r>
      </text>
    </comment>
    <comment ref="A93" authorId="2" shapeId="0" xr:uid="{00000000-0006-0000-1900-000011000000}">
      <text>
        <r>
          <rPr>
            <b/>
            <sz val="9"/>
            <color indexed="81"/>
            <rFont val="Tahoma"/>
            <family val="2"/>
          </rPr>
          <t>mandatory</t>
        </r>
        <r>
          <rPr>
            <sz val="9"/>
            <color indexed="81"/>
            <rFont val="Tahoma"/>
            <family val="2"/>
          </rPr>
          <t xml:space="preserve">
</t>
        </r>
      </text>
    </comment>
    <comment ref="A94" authorId="2" shapeId="0" xr:uid="{00000000-0006-0000-1900-000012000000}">
      <text>
        <r>
          <rPr>
            <b/>
            <sz val="9"/>
            <color indexed="81"/>
            <rFont val="Tahoma"/>
            <family val="2"/>
          </rPr>
          <t>mandatory</t>
        </r>
      </text>
    </comment>
    <comment ref="A96" authorId="2" shapeId="0" xr:uid="{00000000-0006-0000-1900-000013000000}">
      <text>
        <r>
          <rPr>
            <b/>
            <sz val="9"/>
            <color indexed="81"/>
            <rFont val="Tahoma"/>
            <family val="2"/>
          </rPr>
          <t>mandatory</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A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A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A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A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A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A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A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A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A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A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A00-00000B000000}">
      <text>
        <r>
          <rPr>
            <sz val="9"/>
            <color indexed="81"/>
            <rFont val="Tahoma"/>
            <family val="2"/>
          </rPr>
          <t>Pick the relevant field from the dropdown to descibe the delivery type</t>
        </r>
      </text>
    </comment>
    <comment ref="A44" authorId="2" shapeId="0" xr:uid="{00000000-0006-0000-1A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A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A00-00000E000000}">
      <text>
        <r>
          <rPr>
            <b/>
            <sz val="9"/>
            <color indexed="81"/>
            <rFont val="Tahoma"/>
            <family val="2"/>
          </rPr>
          <t>mandatory</t>
        </r>
        <r>
          <rPr>
            <sz val="9"/>
            <color indexed="81"/>
            <rFont val="Tahoma"/>
            <family val="2"/>
          </rPr>
          <t xml:space="preserve">
</t>
        </r>
      </text>
    </comment>
    <comment ref="A91" authorId="2" shapeId="0" xr:uid="{00000000-0006-0000-1A00-00000F000000}">
      <text>
        <r>
          <rPr>
            <b/>
            <sz val="9"/>
            <color indexed="81"/>
            <rFont val="Tahoma"/>
            <family val="2"/>
          </rPr>
          <t>mandatory</t>
        </r>
        <r>
          <rPr>
            <sz val="9"/>
            <color indexed="81"/>
            <rFont val="Tahoma"/>
            <family val="2"/>
          </rPr>
          <t xml:space="preserve">
</t>
        </r>
      </text>
    </comment>
    <comment ref="A92" authorId="2" shapeId="0" xr:uid="{00000000-0006-0000-1A00-000010000000}">
      <text>
        <r>
          <rPr>
            <b/>
            <sz val="9"/>
            <color indexed="81"/>
            <rFont val="Tahoma"/>
            <family val="2"/>
          </rPr>
          <t>mandatory</t>
        </r>
        <r>
          <rPr>
            <sz val="9"/>
            <color indexed="81"/>
            <rFont val="Tahoma"/>
            <family val="2"/>
          </rPr>
          <t xml:space="preserve">
</t>
        </r>
      </text>
    </comment>
    <comment ref="A93" authorId="2" shapeId="0" xr:uid="{00000000-0006-0000-1A00-000011000000}">
      <text>
        <r>
          <rPr>
            <b/>
            <sz val="9"/>
            <color indexed="81"/>
            <rFont val="Tahoma"/>
            <family val="2"/>
          </rPr>
          <t>mandatory</t>
        </r>
        <r>
          <rPr>
            <sz val="9"/>
            <color indexed="81"/>
            <rFont val="Tahoma"/>
            <family val="2"/>
          </rPr>
          <t xml:space="preserve">
</t>
        </r>
      </text>
    </comment>
    <comment ref="A94" authorId="2" shapeId="0" xr:uid="{00000000-0006-0000-1A00-000012000000}">
      <text>
        <r>
          <rPr>
            <b/>
            <sz val="9"/>
            <color indexed="81"/>
            <rFont val="Tahoma"/>
            <family val="2"/>
          </rPr>
          <t>mandatory</t>
        </r>
      </text>
    </comment>
    <comment ref="A96" authorId="2" shapeId="0" xr:uid="{00000000-0006-0000-1A00-000013000000}">
      <text>
        <r>
          <rPr>
            <b/>
            <sz val="9"/>
            <color indexed="81"/>
            <rFont val="Tahoma"/>
            <family val="2"/>
          </rPr>
          <t>mandatory</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B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B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B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B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B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B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B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B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B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B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B00-00000B000000}">
      <text>
        <r>
          <rPr>
            <sz val="9"/>
            <color indexed="81"/>
            <rFont val="Tahoma"/>
            <family val="2"/>
          </rPr>
          <t>Pick the relevant field from the dropdown to descibe the delivery type</t>
        </r>
      </text>
    </comment>
    <comment ref="A44" authorId="2" shapeId="0" xr:uid="{00000000-0006-0000-1B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B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B00-00000E000000}">
      <text>
        <r>
          <rPr>
            <b/>
            <sz val="9"/>
            <color indexed="81"/>
            <rFont val="Tahoma"/>
            <family val="2"/>
          </rPr>
          <t>mandatory</t>
        </r>
        <r>
          <rPr>
            <sz val="9"/>
            <color indexed="81"/>
            <rFont val="Tahoma"/>
            <family val="2"/>
          </rPr>
          <t xml:space="preserve">
</t>
        </r>
      </text>
    </comment>
    <comment ref="A91" authorId="2" shapeId="0" xr:uid="{00000000-0006-0000-1B00-00000F000000}">
      <text>
        <r>
          <rPr>
            <b/>
            <sz val="9"/>
            <color indexed="81"/>
            <rFont val="Tahoma"/>
            <family val="2"/>
          </rPr>
          <t>mandatory</t>
        </r>
        <r>
          <rPr>
            <sz val="9"/>
            <color indexed="81"/>
            <rFont val="Tahoma"/>
            <family val="2"/>
          </rPr>
          <t xml:space="preserve">
</t>
        </r>
      </text>
    </comment>
    <comment ref="A92" authorId="2" shapeId="0" xr:uid="{00000000-0006-0000-1B00-000010000000}">
      <text>
        <r>
          <rPr>
            <b/>
            <sz val="9"/>
            <color indexed="81"/>
            <rFont val="Tahoma"/>
            <family val="2"/>
          </rPr>
          <t>mandatory</t>
        </r>
        <r>
          <rPr>
            <sz val="9"/>
            <color indexed="81"/>
            <rFont val="Tahoma"/>
            <family val="2"/>
          </rPr>
          <t xml:space="preserve">
</t>
        </r>
      </text>
    </comment>
    <comment ref="A93" authorId="2" shapeId="0" xr:uid="{00000000-0006-0000-1B00-000011000000}">
      <text>
        <r>
          <rPr>
            <b/>
            <sz val="9"/>
            <color indexed="81"/>
            <rFont val="Tahoma"/>
            <family val="2"/>
          </rPr>
          <t>mandatory</t>
        </r>
        <r>
          <rPr>
            <sz val="9"/>
            <color indexed="81"/>
            <rFont val="Tahoma"/>
            <family val="2"/>
          </rPr>
          <t xml:space="preserve">
</t>
        </r>
      </text>
    </comment>
    <comment ref="A94" authorId="2" shapeId="0" xr:uid="{00000000-0006-0000-1B00-000012000000}">
      <text>
        <r>
          <rPr>
            <b/>
            <sz val="9"/>
            <color indexed="81"/>
            <rFont val="Tahoma"/>
            <family val="2"/>
          </rPr>
          <t>mandatory</t>
        </r>
      </text>
    </comment>
    <comment ref="A96" authorId="2" shapeId="0" xr:uid="{00000000-0006-0000-1B00-000013000000}">
      <text>
        <r>
          <rPr>
            <b/>
            <sz val="9"/>
            <color indexed="81"/>
            <rFont val="Tahoma"/>
            <family val="2"/>
          </rPr>
          <t>mandatory</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C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C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C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C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C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C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C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C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C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C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C00-00000B000000}">
      <text>
        <r>
          <rPr>
            <sz val="9"/>
            <color indexed="81"/>
            <rFont val="Tahoma"/>
            <family val="2"/>
          </rPr>
          <t>Pick the relevant field from the dropdown to descibe the delivery type</t>
        </r>
      </text>
    </comment>
    <comment ref="A44" authorId="2" shapeId="0" xr:uid="{00000000-0006-0000-1C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C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C00-00000E000000}">
      <text>
        <r>
          <rPr>
            <b/>
            <sz val="9"/>
            <color indexed="81"/>
            <rFont val="Tahoma"/>
            <family val="2"/>
          </rPr>
          <t>mandatory</t>
        </r>
        <r>
          <rPr>
            <sz val="9"/>
            <color indexed="81"/>
            <rFont val="Tahoma"/>
            <family val="2"/>
          </rPr>
          <t xml:space="preserve">
</t>
        </r>
      </text>
    </comment>
    <comment ref="A91" authorId="2" shapeId="0" xr:uid="{00000000-0006-0000-1C00-00000F000000}">
      <text>
        <r>
          <rPr>
            <b/>
            <sz val="9"/>
            <color indexed="81"/>
            <rFont val="Tahoma"/>
            <family val="2"/>
          </rPr>
          <t>mandatory</t>
        </r>
        <r>
          <rPr>
            <sz val="9"/>
            <color indexed="81"/>
            <rFont val="Tahoma"/>
            <family val="2"/>
          </rPr>
          <t xml:space="preserve">
</t>
        </r>
      </text>
    </comment>
    <comment ref="A92" authorId="2" shapeId="0" xr:uid="{00000000-0006-0000-1C00-000010000000}">
      <text>
        <r>
          <rPr>
            <b/>
            <sz val="9"/>
            <color indexed="81"/>
            <rFont val="Tahoma"/>
            <family val="2"/>
          </rPr>
          <t>mandatory</t>
        </r>
        <r>
          <rPr>
            <sz val="9"/>
            <color indexed="81"/>
            <rFont val="Tahoma"/>
            <family val="2"/>
          </rPr>
          <t xml:space="preserve">
</t>
        </r>
      </text>
    </comment>
    <comment ref="A93" authorId="2" shapeId="0" xr:uid="{00000000-0006-0000-1C00-000011000000}">
      <text>
        <r>
          <rPr>
            <b/>
            <sz val="9"/>
            <color indexed="81"/>
            <rFont val="Tahoma"/>
            <family val="2"/>
          </rPr>
          <t>mandatory</t>
        </r>
        <r>
          <rPr>
            <sz val="9"/>
            <color indexed="81"/>
            <rFont val="Tahoma"/>
            <family val="2"/>
          </rPr>
          <t xml:space="preserve">
</t>
        </r>
      </text>
    </comment>
    <comment ref="A94" authorId="2" shapeId="0" xr:uid="{00000000-0006-0000-1C00-000012000000}">
      <text>
        <r>
          <rPr>
            <b/>
            <sz val="9"/>
            <color indexed="81"/>
            <rFont val="Tahoma"/>
            <family val="2"/>
          </rPr>
          <t>mandatory</t>
        </r>
      </text>
    </comment>
    <comment ref="A96" authorId="2" shapeId="0" xr:uid="{00000000-0006-0000-1C00-000013000000}">
      <text>
        <r>
          <rPr>
            <b/>
            <sz val="9"/>
            <color indexed="81"/>
            <rFont val="Tahoma"/>
            <family val="2"/>
          </rPr>
          <t>mandatory</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D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D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D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D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D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D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D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D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D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D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D00-00000B000000}">
      <text>
        <r>
          <rPr>
            <sz val="9"/>
            <color indexed="81"/>
            <rFont val="Tahoma"/>
            <family val="2"/>
          </rPr>
          <t>Pick the relevant field from the dropdown to descibe the delivery type</t>
        </r>
      </text>
    </comment>
    <comment ref="A44" authorId="2" shapeId="0" xr:uid="{00000000-0006-0000-1D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D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D00-00000E000000}">
      <text>
        <r>
          <rPr>
            <b/>
            <sz val="9"/>
            <color indexed="81"/>
            <rFont val="Tahoma"/>
            <family val="2"/>
          </rPr>
          <t>mandatory</t>
        </r>
        <r>
          <rPr>
            <sz val="9"/>
            <color indexed="81"/>
            <rFont val="Tahoma"/>
            <family val="2"/>
          </rPr>
          <t xml:space="preserve">
</t>
        </r>
      </text>
    </comment>
    <comment ref="A91" authorId="2" shapeId="0" xr:uid="{00000000-0006-0000-1D00-00000F000000}">
      <text>
        <r>
          <rPr>
            <b/>
            <sz val="9"/>
            <color indexed="81"/>
            <rFont val="Tahoma"/>
            <family val="2"/>
          </rPr>
          <t>mandatory</t>
        </r>
        <r>
          <rPr>
            <sz val="9"/>
            <color indexed="81"/>
            <rFont val="Tahoma"/>
            <family val="2"/>
          </rPr>
          <t xml:space="preserve">
</t>
        </r>
      </text>
    </comment>
    <comment ref="A92" authorId="2" shapeId="0" xr:uid="{00000000-0006-0000-1D00-000010000000}">
      <text>
        <r>
          <rPr>
            <b/>
            <sz val="9"/>
            <color indexed="81"/>
            <rFont val="Tahoma"/>
            <family val="2"/>
          </rPr>
          <t>mandatory</t>
        </r>
        <r>
          <rPr>
            <sz val="9"/>
            <color indexed="81"/>
            <rFont val="Tahoma"/>
            <family val="2"/>
          </rPr>
          <t xml:space="preserve">
</t>
        </r>
      </text>
    </comment>
    <comment ref="A93" authorId="2" shapeId="0" xr:uid="{00000000-0006-0000-1D00-000011000000}">
      <text>
        <r>
          <rPr>
            <b/>
            <sz val="9"/>
            <color indexed="81"/>
            <rFont val="Tahoma"/>
            <family val="2"/>
          </rPr>
          <t>mandatory</t>
        </r>
        <r>
          <rPr>
            <sz val="9"/>
            <color indexed="81"/>
            <rFont val="Tahoma"/>
            <family val="2"/>
          </rPr>
          <t xml:space="preserve">
</t>
        </r>
      </text>
    </comment>
    <comment ref="A94" authorId="2" shapeId="0" xr:uid="{00000000-0006-0000-1D00-000012000000}">
      <text>
        <r>
          <rPr>
            <b/>
            <sz val="9"/>
            <color indexed="81"/>
            <rFont val="Tahoma"/>
            <family val="2"/>
          </rPr>
          <t>mandatory</t>
        </r>
      </text>
    </comment>
    <comment ref="A96" authorId="2" shapeId="0" xr:uid="{00000000-0006-0000-1D00-000013000000}">
      <text>
        <r>
          <rPr>
            <b/>
            <sz val="9"/>
            <color indexed="81"/>
            <rFont val="Tahoma"/>
            <family val="2"/>
          </rPr>
          <t>mandatory</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1F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1F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1F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1F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1F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1F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1F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1F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1F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1F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1F00-00000B000000}">
      <text>
        <r>
          <rPr>
            <sz val="9"/>
            <color indexed="81"/>
            <rFont val="Tahoma"/>
            <family val="2"/>
          </rPr>
          <t>Pick the relevant field from the dropdown to descibe the delivery type</t>
        </r>
      </text>
    </comment>
    <comment ref="A44" authorId="2" shapeId="0" xr:uid="{00000000-0006-0000-1F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1F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1F00-00000E000000}">
      <text>
        <r>
          <rPr>
            <b/>
            <sz val="9"/>
            <color indexed="81"/>
            <rFont val="Tahoma"/>
            <family val="2"/>
          </rPr>
          <t>mandatory</t>
        </r>
        <r>
          <rPr>
            <sz val="9"/>
            <color indexed="81"/>
            <rFont val="Tahoma"/>
            <family val="2"/>
          </rPr>
          <t xml:space="preserve">
</t>
        </r>
      </text>
    </comment>
    <comment ref="A91" authorId="2" shapeId="0" xr:uid="{00000000-0006-0000-1F00-00000F000000}">
      <text>
        <r>
          <rPr>
            <b/>
            <sz val="9"/>
            <color indexed="81"/>
            <rFont val="Tahoma"/>
            <family val="2"/>
          </rPr>
          <t>mandatory</t>
        </r>
        <r>
          <rPr>
            <sz val="9"/>
            <color indexed="81"/>
            <rFont val="Tahoma"/>
            <family val="2"/>
          </rPr>
          <t xml:space="preserve">
</t>
        </r>
      </text>
    </comment>
    <comment ref="A92" authorId="2" shapeId="0" xr:uid="{00000000-0006-0000-1F00-000010000000}">
      <text>
        <r>
          <rPr>
            <b/>
            <sz val="9"/>
            <color indexed="81"/>
            <rFont val="Tahoma"/>
            <family val="2"/>
          </rPr>
          <t>mandatory</t>
        </r>
        <r>
          <rPr>
            <sz val="9"/>
            <color indexed="81"/>
            <rFont val="Tahoma"/>
            <family val="2"/>
          </rPr>
          <t xml:space="preserve">
</t>
        </r>
      </text>
    </comment>
    <comment ref="A93" authorId="2" shapeId="0" xr:uid="{00000000-0006-0000-1F00-000011000000}">
      <text>
        <r>
          <rPr>
            <b/>
            <sz val="9"/>
            <color indexed="81"/>
            <rFont val="Tahoma"/>
            <family val="2"/>
          </rPr>
          <t>mandatory</t>
        </r>
        <r>
          <rPr>
            <sz val="9"/>
            <color indexed="81"/>
            <rFont val="Tahoma"/>
            <family val="2"/>
          </rPr>
          <t xml:space="preserve">
</t>
        </r>
      </text>
    </comment>
    <comment ref="A94" authorId="2" shapeId="0" xr:uid="{00000000-0006-0000-1F00-000012000000}">
      <text>
        <r>
          <rPr>
            <b/>
            <sz val="9"/>
            <color indexed="81"/>
            <rFont val="Tahoma"/>
            <family val="2"/>
          </rPr>
          <t>mandatory</t>
        </r>
      </text>
    </comment>
    <comment ref="A96" authorId="2" shapeId="0" xr:uid="{00000000-0006-0000-1F00-000013000000}">
      <text>
        <r>
          <rPr>
            <b/>
            <sz val="9"/>
            <color indexed="81"/>
            <rFont val="Tahoma"/>
            <family val="2"/>
          </rPr>
          <t>mandatory</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20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20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20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20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20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20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20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20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20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20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2000-00000B000000}">
      <text>
        <r>
          <rPr>
            <sz val="9"/>
            <color indexed="81"/>
            <rFont val="Tahoma"/>
            <family val="2"/>
          </rPr>
          <t>Pick the relevant field from the dropdown to descibe the delivery type</t>
        </r>
      </text>
    </comment>
    <comment ref="A44" authorId="2" shapeId="0" xr:uid="{00000000-0006-0000-20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20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2000-00000E000000}">
      <text>
        <r>
          <rPr>
            <b/>
            <sz val="9"/>
            <color indexed="81"/>
            <rFont val="Tahoma"/>
            <family val="2"/>
          </rPr>
          <t>mandatory</t>
        </r>
        <r>
          <rPr>
            <sz val="9"/>
            <color indexed="81"/>
            <rFont val="Tahoma"/>
            <family val="2"/>
          </rPr>
          <t xml:space="preserve">
</t>
        </r>
      </text>
    </comment>
    <comment ref="A91" authorId="2" shapeId="0" xr:uid="{00000000-0006-0000-2000-00000F000000}">
      <text>
        <r>
          <rPr>
            <b/>
            <sz val="9"/>
            <color indexed="81"/>
            <rFont val="Tahoma"/>
            <family val="2"/>
          </rPr>
          <t>mandatory</t>
        </r>
        <r>
          <rPr>
            <sz val="9"/>
            <color indexed="81"/>
            <rFont val="Tahoma"/>
            <family val="2"/>
          </rPr>
          <t xml:space="preserve">
</t>
        </r>
      </text>
    </comment>
    <comment ref="A92" authorId="2" shapeId="0" xr:uid="{00000000-0006-0000-2000-000010000000}">
      <text>
        <r>
          <rPr>
            <b/>
            <sz val="9"/>
            <color indexed="81"/>
            <rFont val="Tahoma"/>
            <family val="2"/>
          </rPr>
          <t>mandatory</t>
        </r>
        <r>
          <rPr>
            <sz val="9"/>
            <color indexed="81"/>
            <rFont val="Tahoma"/>
            <family val="2"/>
          </rPr>
          <t xml:space="preserve">
</t>
        </r>
      </text>
    </comment>
    <comment ref="A93" authorId="2" shapeId="0" xr:uid="{00000000-0006-0000-2000-000011000000}">
      <text>
        <r>
          <rPr>
            <b/>
            <sz val="9"/>
            <color indexed="81"/>
            <rFont val="Tahoma"/>
            <family val="2"/>
          </rPr>
          <t>mandatory</t>
        </r>
        <r>
          <rPr>
            <sz val="9"/>
            <color indexed="81"/>
            <rFont val="Tahoma"/>
            <family val="2"/>
          </rPr>
          <t xml:space="preserve">
</t>
        </r>
      </text>
    </comment>
    <comment ref="A94" authorId="2" shapeId="0" xr:uid="{00000000-0006-0000-2000-000012000000}">
      <text>
        <r>
          <rPr>
            <b/>
            <sz val="9"/>
            <color indexed="81"/>
            <rFont val="Tahoma"/>
            <family val="2"/>
          </rPr>
          <t>mandatory</t>
        </r>
      </text>
    </comment>
    <comment ref="A96" authorId="2" shapeId="0" xr:uid="{00000000-0006-0000-2000-000013000000}">
      <text>
        <r>
          <rPr>
            <b/>
            <sz val="9"/>
            <color indexed="81"/>
            <rFont val="Tahoma"/>
            <family val="2"/>
          </rPr>
          <t>mandatory</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21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21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21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21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21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21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21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21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21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21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2100-00000B000000}">
      <text>
        <r>
          <rPr>
            <sz val="9"/>
            <color indexed="81"/>
            <rFont val="Tahoma"/>
            <family val="2"/>
          </rPr>
          <t>Pick the relevant field from the dropdown to descibe the delivery type</t>
        </r>
      </text>
    </comment>
    <comment ref="A44" authorId="2" shapeId="0" xr:uid="{00000000-0006-0000-21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21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2100-00000E000000}">
      <text>
        <r>
          <rPr>
            <b/>
            <sz val="9"/>
            <color indexed="81"/>
            <rFont val="Tahoma"/>
            <family val="2"/>
          </rPr>
          <t>mandatory</t>
        </r>
        <r>
          <rPr>
            <sz val="9"/>
            <color indexed="81"/>
            <rFont val="Tahoma"/>
            <family val="2"/>
          </rPr>
          <t xml:space="preserve">
</t>
        </r>
      </text>
    </comment>
    <comment ref="A91" authorId="2" shapeId="0" xr:uid="{00000000-0006-0000-2100-00000F000000}">
      <text>
        <r>
          <rPr>
            <b/>
            <sz val="9"/>
            <color indexed="81"/>
            <rFont val="Tahoma"/>
            <family val="2"/>
          </rPr>
          <t>mandatory</t>
        </r>
        <r>
          <rPr>
            <sz val="9"/>
            <color indexed="81"/>
            <rFont val="Tahoma"/>
            <family val="2"/>
          </rPr>
          <t xml:space="preserve">
</t>
        </r>
      </text>
    </comment>
    <comment ref="A92" authorId="2" shapeId="0" xr:uid="{00000000-0006-0000-2100-000010000000}">
      <text>
        <r>
          <rPr>
            <b/>
            <sz val="9"/>
            <color indexed="81"/>
            <rFont val="Tahoma"/>
            <family val="2"/>
          </rPr>
          <t>mandatory</t>
        </r>
        <r>
          <rPr>
            <sz val="9"/>
            <color indexed="81"/>
            <rFont val="Tahoma"/>
            <family val="2"/>
          </rPr>
          <t xml:space="preserve">
</t>
        </r>
      </text>
    </comment>
    <comment ref="A93" authorId="2" shapeId="0" xr:uid="{00000000-0006-0000-2100-000011000000}">
      <text>
        <r>
          <rPr>
            <b/>
            <sz val="9"/>
            <color indexed="81"/>
            <rFont val="Tahoma"/>
            <family val="2"/>
          </rPr>
          <t>mandatory</t>
        </r>
        <r>
          <rPr>
            <sz val="9"/>
            <color indexed="81"/>
            <rFont val="Tahoma"/>
            <family val="2"/>
          </rPr>
          <t xml:space="preserve">
</t>
        </r>
      </text>
    </comment>
    <comment ref="A94" authorId="2" shapeId="0" xr:uid="{00000000-0006-0000-2100-000012000000}">
      <text>
        <r>
          <rPr>
            <b/>
            <sz val="9"/>
            <color indexed="81"/>
            <rFont val="Tahoma"/>
            <family val="2"/>
          </rPr>
          <t>mandatory</t>
        </r>
      </text>
    </comment>
    <comment ref="A96" authorId="2" shapeId="0" xr:uid="{00000000-0006-0000-2100-000013000000}">
      <text>
        <r>
          <rPr>
            <b/>
            <sz val="9"/>
            <color indexed="81"/>
            <rFont val="Tahoma"/>
            <family val="2"/>
          </rPr>
          <t>mandatory</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22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22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22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22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22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22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22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22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22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22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2200-00000B000000}">
      <text>
        <r>
          <rPr>
            <sz val="9"/>
            <color indexed="81"/>
            <rFont val="Tahoma"/>
            <family val="2"/>
          </rPr>
          <t>Pick the relevant field from the dropdown to descibe the delivery type</t>
        </r>
      </text>
    </comment>
    <comment ref="A44" authorId="2" shapeId="0" xr:uid="{00000000-0006-0000-22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22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2200-00000E000000}">
      <text>
        <r>
          <rPr>
            <b/>
            <sz val="9"/>
            <color indexed="81"/>
            <rFont val="Tahoma"/>
            <family val="2"/>
          </rPr>
          <t>mandatory</t>
        </r>
        <r>
          <rPr>
            <sz val="9"/>
            <color indexed="81"/>
            <rFont val="Tahoma"/>
            <family val="2"/>
          </rPr>
          <t xml:space="preserve">
</t>
        </r>
      </text>
    </comment>
    <comment ref="A91" authorId="2" shapeId="0" xr:uid="{00000000-0006-0000-2200-00000F000000}">
      <text>
        <r>
          <rPr>
            <b/>
            <sz val="9"/>
            <color indexed="81"/>
            <rFont val="Tahoma"/>
            <family val="2"/>
          </rPr>
          <t>mandatory</t>
        </r>
        <r>
          <rPr>
            <sz val="9"/>
            <color indexed="81"/>
            <rFont val="Tahoma"/>
            <family val="2"/>
          </rPr>
          <t xml:space="preserve">
</t>
        </r>
      </text>
    </comment>
    <comment ref="A92" authorId="2" shapeId="0" xr:uid="{00000000-0006-0000-2200-000010000000}">
      <text>
        <r>
          <rPr>
            <b/>
            <sz val="9"/>
            <color indexed="81"/>
            <rFont val="Tahoma"/>
            <family val="2"/>
          </rPr>
          <t>mandatory</t>
        </r>
        <r>
          <rPr>
            <sz val="9"/>
            <color indexed="81"/>
            <rFont val="Tahoma"/>
            <family val="2"/>
          </rPr>
          <t xml:space="preserve">
</t>
        </r>
      </text>
    </comment>
    <comment ref="A93" authorId="2" shapeId="0" xr:uid="{00000000-0006-0000-2200-000011000000}">
      <text>
        <r>
          <rPr>
            <b/>
            <sz val="9"/>
            <color indexed="81"/>
            <rFont val="Tahoma"/>
            <family val="2"/>
          </rPr>
          <t>mandatory</t>
        </r>
        <r>
          <rPr>
            <sz val="9"/>
            <color indexed="81"/>
            <rFont val="Tahoma"/>
            <family val="2"/>
          </rPr>
          <t xml:space="preserve">
</t>
        </r>
      </text>
    </comment>
    <comment ref="A94" authorId="2" shapeId="0" xr:uid="{00000000-0006-0000-2200-000012000000}">
      <text>
        <r>
          <rPr>
            <b/>
            <sz val="9"/>
            <color indexed="81"/>
            <rFont val="Tahoma"/>
            <family val="2"/>
          </rPr>
          <t>mandatory</t>
        </r>
      </text>
    </comment>
    <comment ref="A96" authorId="2" shapeId="0" xr:uid="{00000000-0006-0000-2200-000013000000}">
      <text>
        <r>
          <rPr>
            <b/>
            <sz val="9"/>
            <color indexed="81"/>
            <rFont val="Tahoma"/>
            <family val="2"/>
          </rPr>
          <t>mandatory</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23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23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23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23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23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23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23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23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23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23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2300-00000B000000}">
      <text>
        <r>
          <rPr>
            <sz val="9"/>
            <color indexed="81"/>
            <rFont val="Tahoma"/>
            <family val="2"/>
          </rPr>
          <t>Pick the relevant field from the dropdown to descibe the delivery type</t>
        </r>
      </text>
    </comment>
    <comment ref="A44" authorId="2" shapeId="0" xr:uid="{00000000-0006-0000-23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23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2300-00000E000000}">
      <text>
        <r>
          <rPr>
            <b/>
            <sz val="9"/>
            <color indexed="81"/>
            <rFont val="Tahoma"/>
            <family val="2"/>
          </rPr>
          <t>mandatory</t>
        </r>
        <r>
          <rPr>
            <sz val="9"/>
            <color indexed="81"/>
            <rFont val="Tahoma"/>
            <family val="2"/>
          </rPr>
          <t xml:space="preserve">
</t>
        </r>
      </text>
    </comment>
    <comment ref="A91" authorId="2" shapeId="0" xr:uid="{00000000-0006-0000-2300-00000F000000}">
      <text>
        <r>
          <rPr>
            <b/>
            <sz val="9"/>
            <color indexed="81"/>
            <rFont val="Tahoma"/>
            <family val="2"/>
          </rPr>
          <t>mandatory</t>
        </r>
        <r>
          <rPr>
            <sz val="9"/>
            <color indexed="81"/>
            <rFont val="Tahoma"/>
            <family val="2"/>
          </rPr>
          <t xml:space="preserve">
</t>
        </r>
      </text>
    </comment>
    <comment ref="A92" authorId="2" shapeId="0" xr:uid="{00000000-0006-0000-2300-000010000000}">
      <text>
        <r>
          <rPr>
            <b/>
            <sz val="9"/>
            <color indexed="81"/>
            <rFont val="Tahoma"/>
            <family val="2"/>
          </rPr>
          <t>mandatory</t>
        </r>
        <r>
          <rPr>
            <sz val="9"/>
            <color indexed="81"/>
            <rFont val="Tahoma"/>
            <family val="2"/>
          </rPr>
          <t xml:space="preserve">
</t>
        </r>
      </text>
    </comment>
    <comment ref="A93" authorId="2" shapeId="0" xr:uid="{00000000-0006-0000-2300-000011000000}">
      <text>
        <r>
          <rPr>
            <b/>
            <sz val="9"/>
            <color indexed="81"/>
            <rFont val="Tahoma"/>
            <family val="2"/>
          </rPr>
          <t>mandatory</t>
        </r>
        <r>
          <rPr>
            <sz val="9"/>
            <color indexed="81"/>
            <rFont val="Tahoma"/>
            <family val="2"/>
          </rPr>
          <t xml:space="preserve">
</t>
        </r>
      </text>
    </comment>
    <comment ref="A94" authorId="2" shapeId="0" xr:uid="{00000000-0006-0000-2300-000012000000}">
      <text>
        <r>
          <rPr>
            <b/>
            <sz val="9"/>
            <color indexed="81"/>
            <rFont val="Tahoma"/>
            <family val="2"/>
          </rPr>
          <t>mandatory</t>
        </r>
      </text>
    </comment>
    <comment ref="A96" authorId="2" shapeId="0" xr:uid="{00000000-0006-0000-2300-000013000000}">
      <text>
        <r>
          <rPr>
            <b/>
            <sz val="9"/>
            <color indexed="81"/>
            <rFont val="Tahoma"/>
            <family val="2"/>
          </rPr>
          <t>mandatory</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Maslevskiy, Vitaly (MICZ 521)</author>
    <author>Geurtsen, Berend (FXEJ 1) CWR</author>
    <author>Kley, Tobias (FXSD) CWR</author>
  </authors>
  <commentList>
    <comment ref="B4" authorId="0" shapeId="0" xr:uid="{00000000-0006-0000-2400-000001000000}">
      <text>
        <r>
          <rPr>
            <sz val="9"/>
            <color indexed="81"/>
            <rFont val="Tahoma"/>
            <family val="2"/>
          </rPr>
          <t xml:space="preserve">Data source ID to identify in metadata repository. 
Must not contain any spaces or special characters, 
only low case letters and underscores allowed. 
ID must be unique. 
</t>
        </r>
      </text>
    </comment>
    <comment ref="A5" authorId="1" shapeId="0" xr:uid="{00000000-0006-0000-2400-000002000000}">
      <text>
        <r>
          <rPr>
            <sz val="9"/>
            <color indexed="81"/>
            <rFont val="Tahoma"/>
            <family val="2"/>
          </rPr>
          <t>Provide a description of the data set. Either based on information provided, or create on based on your understanding of the data. It might be helpful to first complete all the other fields and then complete the data set description. Please use full sentences since this will be used by users to understand the content of the data set.
Examples: 
"This data set contains the account positions at a certain date and includes the account’s currency."
"This data set contains non-identifiable client master data from the MBIS system, such as relationship start date, behavior, segmentation, and birth date, linked to the organization (OE codes) and relationship mangers (RMs)."</t>
        </r>
      </text>
    </comment>
    <comment ref="E9" authorId="1" shapeId="0" xr:uid="{00000000-0006-0000-2400-000003000000}">
      <text>
        <r>
          <rPr>
            <sz val="9"/>
            <color indexed="81"/>
            <rFont val="Tahoma"/>
            <family val="2"/>
          </rPr>
          <t>Provide the name of the attribute as provided in Foundry. Naming conventions for attributes should be  lowercase, underscore instead of space, no special symbols like %.</t>
        </r>
      </text>
    </comment>
    <comment ref="K9" authorId="1" shapeId="0" xr:uid="{00000000-0006-0000-2400-000004000000}">
      <text>
        <r>
          <rPr>
            <b/>
            <sz val="9"/>
            <color indexed="81"/>
            <rFont val="Tahoma"/>
            <family val="2"/>
          </rPr>
          <t xml:space="preserve">Use the following description:
- </t>
        </r>
        <r>
          <rPr>
            <sz val="9"/>
            <color indexed="81"/>
            <rFont val="Tahoma"/>
            <family val="2"/>
          </rPr>
          <t xml:space="preserve">Descriptions provided by the data sourcing team in earlier discussions with IT Owners of the source system.
- Use Collibra or IFMS to search for field-level descriptions
- Use data element descriptions where possible, but only if there is no description available yet. 
- If not available, reach out directly to the IT Owner of the source system. Note that stakeholders outside DTPL have no context of sourcing process or meta data uplift. </t>
        </r>
      </text>
    </comment>
    <comment ref="L9" authorId="1" shapeId="0" xr:uid="{00000000-0006-0000-2400-000005000000}">
      <text>
        <r>
          <rPr>
            <sz val="9"/>
            <color indexed="81"/>
            <rFont val="Tahoma"/>
            <family val="2"/>
          </rPr>
          <t>Map the attribute to a data element based on your own interpretation of the field. It is important to pick field that matches closest with the attribute and its description. You can use the data element look-up to search for the date element.
It is not mandatory, but must be completed on a best effort basis.</t>
        </r>
      </text>
    </comment>
    <comment ref="S9" authorId="1" shapeId="0" xr:uid="{00000000-0006-0000-2400-000006000000}">
      <text>
        <r>
          <rPr>
            <sz val="9"/>
            <color indexed="81"/>
            <rFont val="Tahoma"/>
            <family val="2"/>
          </rPr>
          <t>Use the following categorization to determine the CID value for each of the attributes.</t>
        </r>
        <r>
          <rPr>
            <b/>
            <sz val="9"/>
            <color indexed="81"/>
            <rFont val="Tahoma"/>
            <family val="2"/>
          </rPr>
          <t xml:space="preserve">
Client data categorization (CH): </t>
        </r>
        <r>
          <rPr>
            <sz val="9"/>
            <color indexed="81"/>
            <rFont val="Tahoma"/>
            <family val="2"/>
          </rPr>
          <t xml:space="preserve">
http://csintra.net/generalcounsel/doc/corporatelegal/switzerland/data_protection/gc_client_data_categorization.pdf
</t>
        </r>
        <r>
          <rPr>
            <b/>
            <sz val="9"/>
            <color indexed="81"/>
            <rFont val="Tahoma"/>
            <family val="2"/>
          </rPr>
          <t>Client data categorization (RoW):</t>
        </r>
        <r>
          <rPr>
            <sz val="9"/>
            <color indexed="81"/>
            <rFont val="Tahoma"/>
            <family val="2"/>
          </rPr>
          <t xml:space="preserve">
http://csintra.net/generalcounsel/doc/corporatelegal/switzerland/data_protection/client_information_categorisation_chart.pdf 
For the uplift, try to get this from the available documentation. If not available we can either try to reach out to the Business Analyst, IT Owner, but it might be easiest to make our own mapping based on the links above. Please complete this for all attributes and leave the non-sensitive fields marked as D.</t>
        </r>
      </text>
    </comment>
    <comment ref="A11" authorId="1" shapeId="0" xr:uid="{00000000-0006-0000-2400-000007000000}">
      <text>
        <r>
          <rPr>
            <sz val="9"/>
            <color indexed="81"/>
            <rFont val="Tahoma"/>
            <family val="2"/>
          </rPr>
          <t>Provide the name as it appears in Foundry
According to naming convention dataset name should be always lowercase, underscore instead of space, no special symbols like %.</t>
        </r>
      </text>
    </comment>
    <comment ref="A16" authorId="1" shapeId="0" xr:uid="{00000000-0006-0000-2400-000008000000}">
      <text>
        <r>
          <rPr>
            <sz val="9"/>
            <color indexed="81"/>
            <rFont val="Tahoma"/>
            <family val="2"/>
          </rPr>
          <t>These business objects, defined by the CDO team, give the data meaning and are very valuable for data discovery. 
Use the hierarchy to drill down to a LVL2 business object. There are 98 business objects so we can easily get familiar with them. You can search on the description in the reference table and determine the business object that best fits the data.
This needs to be completed based on your understanding of the data. For example if we see a lot of data on accounts, the business object is likely "accounts &amp; cards".</t>
        </r>
      </text>
    </comment>
    <comment ref="A21" authorId="1" shapeId="0" xr:uid="{00000000-0006-0000-2400-000009000000}">
      <text>
        <r>
          <rPr>
            <sz val="9"/>
            <color indexed="81"/>
            <rFont val="Tahoma"/>
            <family val="2"/>
          </rPr>
          <t>Indicate whether this data includes one of the following:
- Institutional Clients (companies)
- Individual Clients (natural persons)
- Employees or Candidates
- Third party data
- Or others which may be relevant from a legal perspective (please use free text field to complete)</t>
        </r>
      </text>
    </comment>
    <comment ref="A30" authorId="1" shapeId="0" xr:uid="{00000000-0006-0000-2400-00000A000000}">
      <text>
        <r>
          <rPr>
            <sz val="9"/>
            <color indexed="81"/>
            <rFont val="Tahoma"/>
            <family val="2"/>
          </rPr>
          <t>CID Classification is based on the data in the data sets. What is the highest CID value of the attributes?</t>
        </r>
        <r>
          <rPr>
            <b/>
            <sz val="9"/>
            <color indexed="81"/>
            <rFont val="Tahoma"/>
            <family val="2"/>
          </rPr>
          <t xml:space="preserve">
</t>
        </r>
      </text>
    </comment>
    <comment ref="A33" authorId="1" shapeId="0" xr:uid="{00000000-0006-0000-2400-00000B000000}">
      <text>
        <r>
          <rPr>
            <sz val="9"/>
            <color indexed="81"/>
            <rFont val="Tahoma"/>
            <family val="2"/>
          </rPr>
          <t>Pick the relevant field from the dropdown to descibe the delivery type</t>
        </r>
      </text>
    </comment>
    <comment ref="A44" authorId="2" shapeId="0" xr:uid="{00000000-0006-0000-2400-00000C000000}">
      <text>
        <r>
          <rPr>
            <sz val="9"/>
            <color indexed="81"/>
            <rFont val="Tahoma"/>
            <family val="2"/>
          </rPr>
          <t>Describe the agreement of the source system with Foundry. How often is the data delivered? In what timezone? 
This data is used by the ingestion team to determine the ingestion schedule of the feeds
This might be the same for each data set, but will have to then have to be copied to each individual data set tab</t>
        </r>
        <r>
          <rPr>
            <b/>
            <sz val="9"/>
            <color indexed="81"/>
            <rFont val="Tahoma"/>
            <family val="2"/>
          </rPr>
          <t xml:space="preserve">
</t>
        </r>
        <r>
          <rPr>
            <sz val="9"/>
            <color indexed="81"/>
            <rFont val="Tahoma"/>
            <family val="2"/>
          </rPr>
          <t xml:space="preserve">
</t>
        </r>
      </text>
    </comment>
    <comment ref="A63" authorId="2" shapeId="0" xr:uid="{00000000-0006-0000-2400-00000D000000}">
      <text>
        <r>
          <rPr>
            <b/>
            <sz val="9"/>
            <color indexed="81"/>
            <rFont val="Tahoma"/>
            <family val="2"/>
          </rPr>
          <t>Delivery of the files will be measured by SLA’s mentioned in section 
Deliveries after this time will be considered as a breach of data delivery agreement (late).</t>
        </r>
        <r>
          <rPr>
            <sz val="9"/>
            <color indexed="81"/>
            <rFont val="Tahoma"/>
            <family val="2"/>
          </rPr>
          <t xml:space="preserve">
</t>
        </r>
      </text>
    </comment>
    <comment ref="A90" authorId="2" shapeId="0" xr:uid="{00000000-0006-0000-2400-00000E000000}">
      <text>
        <r>
          <rPr>
            <b/>
            <sz val="9"/>
            <color indexed="81"/>
            <rFont val="Tahoma"/>
            <family val="2"/>
          </rPr>
          <t>mandatory</t>
        </r>
        <r>
          <rPr>
            <sz val="9"/>
            <color indexed="81"/>
            <rFont val="Tahoma"/>
            <family val="2"/>
          </rPr>
          <t xml:space="preserve">
</t>
        </r>
      </text>
    </comment>
    <comment ref="A91" authorId="2" shapeId="0" xr:uid="{00000000-0006-0000-2400-00000F000000}">
      <text>
        <r>
          <rPr>
            <b/>
            <sz val="9"/>
            <color indexed="81"/>
            <rFont val="Tahoma"/>
            <family val="2"/>
          </rPr>
          <t>mandatory</t>
        </r>
        <r>
          <rPr>
            <sz val="9"/>
            <color indexed="81"/>
            <rFont val="Tahoma"/>
            <family val="2"/>
          </rPr>
          <t xml:space="preserve">
</t>
        </r>
      </text>
    </comment>
    <comment ref="A92" authorId="2" shapeId="0" xr:uid="{00000000-0006-0000-2400-000010000000}">
      <text>
        <r>
          <rPr>
            <b/>
            <sz val="9"/>
            <color indexed="81"/>
            <rFont val="Tahoma"/>
            <family val="2"/>
          </rPr>
          <t>mandatory</t>
        </r>
        <r>
          <rPr>
            <sz val="9"/>
            <color indexed="81"/>
            <rFont val="Tahoma"/>
            <family val="2"/>
          </rPr>
          <t xml:space="preserve">
</t>
        </r>
      </text>
    </comment>
    <comment ref="A93" authorId="2" shapeId="0" xr:uid="{00000000-0006-0000-2400-000011000000}">
      <text>
        <r>
          <rPr>
            <b/>
            <sz val="9"/>
            <color indexed="81"/>
            <rFont val="Tahoma"/>
            <family val="2"/>
          </rPr>
          <t>mandatory</t>
        </r>
        <r>
          <rPr>
            <sz val="9"/>
            <color indexed="81"/>
            <rFont val="Tahoma"/>
            <family val="2"/>
          </rPr>
          <t xml:space="preserve">
</t>
        </r>
      </text>
    </comment>
    <comment ref="A94" authorId="2" shapeId="0" xr:uid="{00000000-0006-0000-2400-000012000000}">
      <text>
        <r>
          <rPr>
            <b/>
            <sz val="9"/>
            <color indexed="81"/>
            <rFont val="Tahoma"/>
            <family val="2"/>
          </rPr>
          <t>mandatory</t>
        </r>
      </text>
    </comment>
    <comment ref="A96" authorId="2" shapeId="0" xr:uid="{00000000-0006-0000-2400-000013000000}">
      <text>
        <r>
          <rPr>
            <b/>
            <sz val="9"/>
            <color indexed="81"/>
            <rFont val="Tahoma"/>
            <family val="2"/>
          </rPr>
          <t>mandatory</t>
        </r>
        <r>
          <rPr>
            <sz val="9"/>
            <color indexed="81"/>
            <rFont val="Tahoma"/>
            <family val="2"/>
          </rPr>
          <t xml:space="preserve">
</t>
        </r>
      </text>
    </comment>
  </commentList>
</comments>
</file>

<file path=xl/sharedStrings.xml><?xml version="1.0" encoding="utf-8"?>
<sst xmlns="http://schemas.openxmlformats.org/spreadsheetml/2006/main" count="8777" uniqueCount="4190">
  <si>
    <t>ID</t>
  </si>
  <si>
    <t>Task</t>
  </si>
  <si>
    <t>Analyze requieremnt</t>
  </si>
  <si>
    <t>Initial analysis</t>
  </si>
  <si>
    <t>Find source</t>
  </si>
  <si>
    <t>Establuish connection</t>
  </si>
  <si>
    <t>Fix feed</t>
  </si>
  <si>
    <t>ADDRESS</t>
  </si>
  <si>
    <t>SUBSTITUTION</t>
  </si>
  <si>
    <t>CREDIT_CARD</t>
  </si>
  <si>
    <t>DATE</t>
  </si>
  <si>
    <t>KEY</t>
  </si>
  <si>
    <t>IDENTIFICATION</t>
  </si>
  <si>
    <t>RANDOM</t>
  </si>
  <si>
    <t>DERIVED</t>
  </si>
  <si>
    <t>BLOB</t>
  </si>
  <si>
    <t>SHUFFLE</t>
  </si>
  <si>
    <t>CS_COMPANY</t>
  </si>
  <si>
    <t>CUS_RAPPORT</t>
  </si>
  <si>
    <t>EMAIL</t>
  </si>
  <si>
    <t>CUSTOM_LICENSE</t>
  </si>
  <si>
    <t>INTL_ADDRESS</t>
  </si>
  <si>
    <t>DTD_ALGOS</t>
  </si>
  <si>
    <t>CRO_ALGOS</t>
  </si>
  <si>
    <t>PRISM</t>
  </si>
  <si>
    <t>CDUAlgo</t>
  </si>
  <si>
    <t>LOAN_IQ_ALGOCLASS</t>
  </si>
  <si>
    <t>NEMO_ALGOCLASS</t>
  </si>
  <si>
    <t>REGEX_ALGO_CLASS</t>
  </si>
  <si>
    <t>DVSZ_SYNTHETIC_DATA</t>
  </si>
  <si>
    <t>DVSZ_IBAN_NOS</t>
  </si>
  <si>
    <t>DVSZ_CREDIT_CARD</t>
  </si>
  <si>
    <t>XML_ALGO_CLASS</t>
  </si>
  <si>
    <t>ADDRESS STATE</t>
  </si>
  <si>
    <t>MASK</t>
  </si>
  <si>
    <t>CREDITCARD</t>
  </si>
  <si>
    <t>SAME_MONTH_YEAR</t>
  </si>
  <si>
    <t>DYNAMIC KEY</t>
  </si>
  <si>
    <t>MIDDLE NAME</t>
  </si>
  <si>
    <t>NUMBER RANGE OF PERCENTAGE</t>
  </si>
  <si>
    <t>DERIVATIVE</t>
  </si>
  <si>
    <t>DummyBlob</t>
  </si>
  <si>
    <t>SECURE SHUFFLE</t>
  </si>
  <si>
    <t>CUST COMPANY</t>
  </si>
  <si>
    <t>CUS_PERSON_NAME</t>
  </si>
  <si>
    <t>SECURE LICENSE</t>
  </si>
  <si>
    <t>INTL ADDRESS LINE-1</t>
  </si>
  <si>
    <t>DTD CUSTOM 01</t>
  </si>
  <si>
    <t>CROMaskAfterBR</t>
  </si>
  <si>
    <t>PRISM COMPANY</t>
  </si>
  <si>
    <t>CUS_DYNAMIC_KEY_XMLXpath</t>
  </si>
  <si>
    <t>XMLCLOB_NEMO_APPLICATION</t>
  </si>
  <si>
    <t>REGEX_NUMERIC_27408_SINGLEREPO</t>
  </si>
  <si>
    <t>CIF/ ACCOUNT NO</t>
  </si>
  <si>
    <t>IBAN</t>
  </si>
  <si>
    <t>BRAND</t>
  </si>
  <si>
    <t>XML CLOB NEMO APP 5</t>
  </si>
  <si>
    <t>COUNTRY</t>
  </si>
  <si>
    <t>FixedOutput</t>
  </si>
  <si>
    <t>OFFSET DATE</t>
  </si>
  <si>
    <t>CIFAccountNumber</t>
  </si>
  <si>
    <t>FULL NAME</t>
  </si>
  <si>
    <t>NUMBER RANGE</t>
  </si>
  <si>
    <t>CUS_COMPANY</t>
  </si>
  <si>
    <t>CS_EMAIL</t>
  </si>
  <si>
    <t>Custom_License</t>
  </si>
  <si>
    <t>INTL ADDRESS LINE-2</t>
  </si>
  <si>
    <t>DTD CUSTOM 02</t>
  </si>
  <si>
    <t>CROMaskAfterLG</t>
  </si>
  <si>
    <t>LOANIQ_XMLXPATH_ALGO</t>
  </si>
  <si>
    <t>REGEX_ODS_FIX</t>
  </si>
  <si>
    <t>ACCOUNT NUMBER</t>
  </si>
  <si>
    <t>IBAN COUNTRY</t>
  </si>
  <si>
    <t>BANK</t>
  </si>
  <si>
    <t>XML CLOB NEMO APP 3</t>
  </si>
  <si>
    <t>ADDRESS LINE-1</t>
  </si>
  <si>
    <t>SET_VALUE_NULL</t>
  </si>
  <si>
    <t>UNIVERSAL DATE</t>
  </si>
  <si>
    <t>Prime_Pattern</t>
  </si>
  <si>
    <t>SSN</t>
  </si>
  <si>
    <t>RANDOMIZER</t>
  </si>
  <si>
    <t>CUS_DYN_KEY</t>
  </si>
  <si>
    <t>CS CUSTOM EMAIL</t>
  </si>
  <si>
    <t>INTL ADDRESS LINE-3</t>
  </si>
  <si>
    <t>DTD CUSTOM 03</t>
  </si>
  <si>
    <t>CROStatic11</t>
  </si>
  <si>
    <t>9726_SENTRY_EMAIL</t>
  </si>
  <si>
    <t>AREA CODE</t>
  </si>
  <si>
    <t>BIC</t>
  </si>
  <si>
    <t>CARDCATEGORY</t>
  </si>
  <si>
    <t>XML CLOB NEMO APP 4</t>
  </si>
  <si>
    <t>ADDRESS LINE-2</t>
  </si>
  <si>
    <t>MINOR DATE</t>
  </si>
  <si>
    <t>FIRST NAME</t>
  </si>
  <si>
    <t>NUMBER VARIANCE</t>
  </si>
  <si>
    <t>INTL ADDRESS LINE-4</t>
  </si>
  <si>
    <t>CROStatic7</t>
  </si>
  <si>
    <t>DYNAMIC_KEY_CHAR_SUBSTITUTE</t>
  </si>
  <si>
    <t>CODE</t>
  </si>
  <si>
    <t>BANKLEITZAHL_BLZ</t>
  </si>
  <si>
    <t>PRODUCTNAME</t>
  </si>
  <si>
    <t>XML CLOB NEMO APP 2</t>
  </si>
  <si>
    <t>ADDRESS LINE-3</t>
  </si>
  <si>
    <t>MARITAL DATE</t>
  </si>
  <si>
    <t>LAST NAME</t>
  </si>
  <si>
    <t>PROPERTY DETAIL</t>
  </si>
  <si>
    <t>INTL CITY</t>
  </si>
  <si>
    <t>APEX_CODE</t>
  </si>
  <si>
    <t>COMPANY NAME</t>
  </si>
  <si>
    <t>ACC_NUMBER_BBAN</t>
  </si>
  <si>
    <t>MII</t>
  </si>
  <si>
    <t>XML CLOB NEMO APP</t>
  </si>
  <si>
    <t>STATE</t>
  </si>
  <si>
    <t>DRIVING LICENSE</t>
  </si>
  <si>
    <t>VARIANCE</t>
  </si>
  <si>
    <t>INTL COUNTRY</t>
  </si>
  <si>
    <t>COUNTRY CODE</t>
  </si>
  <si>
    <t>BENEFICIARY</t>
  </si>
  <si>
    <t>BIN_IIN</t>
  </si>
  <si>
    <t>XML CLOB MASKING 12K Records</t>
  </si>
  <si>
    <t>ZIP</t>
  </si>
  <si>
    <t>INTL STATE</t>
  </si>
  <si>
    <t>DOMICILE</t>
  </si>
  <si>
    <t>BANK_FIN_INSTITUTION_NAME</t>
  </si>
  <si>
    <t>CSTYPEID</t>
  </si>
  <si>
    <t>CITY</t>
  </si>
  <si>
    <t>INTL ZIP CODE</t>
  </si>
  <si>
    <t>DVSZ CITY</t>
  </si>
  <si>
    <t>BANK_FIN_INSTITUTION_ADDR</t>
  </si>
  <si>
    <t>IAN</t>
  </si>
  <si>
    <t>EMAIL ADDRESS</t>
  </si>
  <si>
    <t>IBAN CITY</t>
  </si>
  <si>
    <t>CD NO</t>
  </si>
  <si>
    <t>PHONE</t>
  </si>
  <si>
    <t>FIRSTNAME</t>
  </si>
  <si>
    <t>POST_CODE</t>
  </si>
  <si>
    <t>CREDIT CARD NUM</t>
  </si>
  <si>
    <t>CS PHONE</t>
  </si>
  <si>
    <t>SURNAME</t>
  </si>
  <si>
    <t>CURRENCY</t>
  </si>
  <si>
    <t>EXPDATE</t>
  </si>
  <si>
    <t>ABANUMBER</t>
  </si>
  <si>
    <t>TEL EXPLANATION</t>
  </si>
  <si>
    <t>CVV</t>
  </si>
  <si>
    <t>Company Ext</t>
  </si>
  <si>
    <t>HOUSE</t>
  </si>
  <si>
    <t>NOTES</t>
  </si>
  <si>
    <t>INTL TEL NO</t>
  </si>
  <si>
    <t>LOCAL TEL NO</t>
  </si>
  <si>
    <t>POSTBOX</t>
  </si>
  <si>
    <t>STREET</t>
  </si>
  <si>
    <t>2 CHAR COUNTRY CODE</t>
  </si>
  <si>
    <t>DOMIZIL</t>
  </si>
  <si>
    <t>Name</t>
  </si>
  <si>
    <t>Key</t>
  </si>
  <si>
    <t>FTPS:Rcv</t>
  </si>
  <si>
    <t>FTPS:Pull</t>
  </si>
  <si>
    <t>DB:Oracle</t>
  </si>
  <si>
    <t>DB:DB2</t>
  </si>
  <si>
    <t>DB:MSSQL</t>
  </si>
  <si>
    <t>Sharepoint:Library</t>
  </si>
  <si>
    <t>Sharepoint:List</t>
  </si>
  <si>
    <t>Filebroker</t>
  </si>
  <si>
    <t>HTTP:Static URL</t>
  </si>
  <si>
    <t>WebService:SOAP</t>
  </si>
  <si>
    <t>WebService:REST</t>
  </si>
  <si>
    <t>Message:MQ Series</t>
  </si>
  <si>
    <t>Email</t>
  </si>
  <si>
    <t>WebUI</t>
  </si>
  <si>
    <t>Common</t>
  </si>
  <si>
    <t>cmn</t>
  </si>
  <si>
    <t>X</t>
  </si>
  <si>
    <t>Landing path</t>
  </si>
  <si>
    <t>cmn:landing-path</t>
  </si>
  <si>
    <t>Source</t>
  </si>
  <si>
    <t>src</t>
  </si>
  <si>
    <t>SPID</t>
  </si>
  <si>
    <t>src:spid</t>
  </si>
  <si>
    <t>Authentication</t>
  </si>
  <si>
    <t>auth</t>
  </si>
  <si>
    <t>Auth type</t>
  </si>
  <si>
    <t>auth:type</t>
  </si>
  <si>
    <t>Username</t>
  </si>
  <si>
    <t>auth:user</t>
  </si>
  <si>
    <t>Password</t>
  </si>
  <si>
    <t>auth:password</t>
  </si>
  <si>
    <t>HTTP</t>
  </si>
  <si>
    <t>http</t>
  </si>
  <si>
    <t>BaseUrl</t>
  </si>
  <si>
    <t>http:url</t>
  </si>
  <si>
    <t>ftps:pull</t>
  </si>
  <si>
    <t>Server</t>
  </si>
  <si>
    <t>ftps:pull:server</t>
  </si>
  <si>
    <t>Port</t>
  </si>
  <si>
    <t>ftps:pull:port</t>
  </si>
  <si>
    <t>Directory</t>
  </si>
  <si>
    <t>ftps:pull:dir</t>
  </si>
  <si>
    <t>db:ora</t>
  </si>
  <si>
    <t>Service Name</t>
  </si>
  <si>
    <t>db:ora:service</t>
  </si>
  <si>
    <t>Sharepoint:Lib</t>
  </si>
  <si>
    <t>sp:lib</t>
  </si>
  <si>
    <t>Library GUID</t>
  </si>
  <si>
    <t>sp:lib:guid</t>
  </si>
  <si>
    <t>Library Name</t>
  </si>
  <si>
    <t>dp:lib:name</t>
  </si>
  <si>
    <t>fb</t>
  </si>
  <si>
    <t>RefID</t>
  </si>
  <si>
    <t>fb:refid</t>
  </si>
  <si>
    <t>System</t>
  </si>
  <si>
    <t>fb:sys</t>
  </si>
  <si>
    <t>Web UI</t>
  </si>
  <si>
    <t>webui</t>
  </si>
  <si>
    <t>Topic</t>
  </si>
  <si>
    <t>webui:topic</t>
  </si>
  <si>
    <t>email</t>
  </si>
  <si>
    <t>Mailbox</t>
  </si>
  <si>
    <t>email:box</t>
  </si>
  <si>
    <t>Impala</t>
  </si>
  <si>
    <t>db:impala</t>
  </si>
  <si>
    <t>db:impala:service</t>
  </si>
  <si>
    <t>LProjects</t>
  </si>
  <si>
    <t>LYesNo</t>
  </si>
  <si>
    <t>LDistributions</t>
  </si>
  <si>
    <t>LPeriods</t>
  </si>
  <si>
    <t>LDivisions</t>
  </si>
  <si>
    <t>LDSRoles</t>
  </si>
  <si>
    <t>LContactGroups</t>
  </si>
  <si>
    <t>LAttType</t>
  </si>
  <si>
    <t>LPorcessing Time</t>
  </si>
  <si>
    <t>LCDO Category</t>
  </si>
  <si>
    <t>Sorucing Team</t>
  </si>
  <si>
    <t>Delivery Type</t>
  </si>
  <si>
    <t>File Formats</t>
  </si>
  <si>
    <t>Ingestion Type</t>
  </si>
  <si>
    <t>DB Auth Type</t>
  </si>
  <si>
    <t>BO L1</t>
  </si>
  <si>
    <t>BO L2</t>
  </si>
  <si>
    <t>Description</t>
  </si>
  <si>
    <t>Data Element</t>
  </si>
  <si>
    <t>Countries</t>
  </si>
  <si>
    <t xml:space="preserve">Region </t>
  </si>
  <si>
    <t>Country Risk</t>
  </si>
  <si>
    <t>Legal Entities</t>
  </si>
  <si>
    <t>Division</t>
  </si>
  <si>
    <t>Country of Jurisdiction</t>
  </si>
  <si>
    <t>DATA Element supporting drop down</t>
  </si>
  <si>
    <t xml:space="preserve">Reference </t>
  </si>
  <si>
    <t>ftps_rcv</t>
  </si>
  <si>
    <t>CSV</t>
  </si>
  <si>
    <t>all_files</t>
  </si>
  <si>
    <t>credentials</t>
  </si>
  <si>
    <t>SCV</t>
  </si>
  <si>
    <t>YES</t>
  </si>
  <si>
    <t>FTPS</t>
  </si>
  <si>
    <t>Daily</t>
  </si>
  <si>
    <t>Investment Bank</t>
  </si>
  <si>
    <t>BA</t>
  </si>
  <si>
    <t>IT</t>
  </si>
  <si>
    <t>STRING</t>
  </si>
  <si>
    <t>Transaction</t>
  </si>
  <si>
    <t>DTPL Data Delivery</t>
  </si>
  <si>
    <t>ftps_pull</t>
  </si>
  <si>
    <t>Parquet</t>
  </si>
  <si>
    <t>latest_file</t>
  </si>
  <si>
    <t>kerberos</t>
  </si>
  <si>
    <t>Agreement</t>
  </si>
  <si>
    <t>Collateral Agreement</t>
  </si>
  <si>
    <t>Collateral agreement represents information regarding a potential or actual agreement relating to the receipt and/or posting of collateral or other types of risk mitigation which typically take the form of a Credit Support Annex.</t>
  </si>
  <si>
    <t>ABRParameters</t>
  </si>
  <si>
    <t>The ABRParameters describe the Hull-White interest rate process parameters</t>
  </si>
  <si>
    <t>Afghanistan</t>
  </si>
  <si>
    <t>South Asia</t>
  </si>
  <si>
    <t>Credit Suisse International [CSi]</t>
  </si>
  <si>
    <t>England and Wales, United Kingdom</t>
  </si>
  <si>
    <t>SCI</t>
  </si>
  <si>
    <t>NO</t>
  </si>
  <si>
    <t>DB</t>
  </si>
  <si>
    <t>Weekly</t>
  </si>
  <si>
    <t>Asia Pacific - PB</t>
  </si>
  <si>
    <t>Ingestion</t>
  </si>
  <si>
    <t>Business</t>
  </si>
  <si>
    <t>CHS</t>
  </si>
  <si>
    <t>database</t>
  </si>
  <si>
    <t>Excel</t>
  </si>
  <si>
    <t>Banking Product</t>
  </si>
  <si>
    <t>Netting Agreement</t>
  </si>
  <si>
    <t>Netting agreement represents legal agreement between a Credit Suisse legal entity and an external counterparty to net transactions to reduce the credit exposure . Generally, netting agreements are used for two main purposes: settlement netting and close out netting.</t>
  </si>
  <si>
    <t>accountBalanceAmount</t>
  </si>
  <si>
    <t>Monetary amount of an asset or liability within the balance sheet at a specific point in time as per US GAAP.</t>
  </si>
  <si>
    <t>Albania</t>
  </si>
  <si>
    <t>Southern Europe</t>
  </si>
  <si>
    <t>Credit Suisse Securities (Europe) Ltd.</t>
  </si>
  <si>
    <t>Asia Pacific</t>
  </si>
  <si>
    <t>ER</t>
  </si>
  <si>
    <t>Sharepoint</t>
  </si>
  <si>
    <t>Monthly</t>
  </si>
  <si>
    <t>Asia Pacific - IB</t>
  </si>
  <si>
    <t>3rd party</t>
  </si>
  <si>
    <t>TIMESTAMP</t>
  </si>
  <si>
    <t>Apollo</t>
  </si>
  <si>
    <t>sharepoint-lib</t>
  </si>
  <si>
    <t>txt</t>
  </si>
  <si>
    <t>Business Transactions</t>
  </si>
  <si>
    <t>Wealth Management Client Agreement</t>
  </si>
  <si>
    <t>Represent the general T&amp;amp;Cs a Private Banking Client signs when on-boarded to Credit Suisse or when they commit to banking product transactions</t>
  </si>
  <si>
    <t>accountCurrency</t>
  </si>
  <si>
    <t>The currency code associated with a given account type.</t>
  </si>
  <si>
    <t>Algeria</t>
  </si>
  <si>
    <t>North Africa</t>
  </si>
  <si>
    <t>Credit Suisse (Deutschland) AG</t>
  </si>
  <si>
    <t>Germany</t>
  </si>
  <si>
    <t>International Wealth Management</t>
  </si>
  <si>
    <t>RMS</t>
  </si>
  <si>
    <t>LCIDs</t>
  </si>
  <si>
    <t>Quarterly</t>
  </si>
  <si>
    <t>Data Owner</t>
  </si>
  <si>
    <t>json</t>
  </si>
  <si>
    <t>Calendar &amp; Time</t>
  </si>
  <si>
    <t>Account and Card</t>
  </si>
  <si>
    <t>Reference Data related to Account and Card - Account is an arrangement by which the bank accepts a customer's financial assets and holds them on behalf of the customer at their discretion. Bank-issued card that allows people to use banking products and/or services that are could also be linked to accounts</t>
  </si>
  <si>
    <t>accountingMethod</t>
  </si>
  <si>
    <t>Defines the accounting methodology for the positions held in the book and is applicable for trading or banking books. _x000D_
Value defaults to 'MTM' for trading books._x000D_
Banking books will require requester to select from the three valid values: ACC (Accrual), LOC (Lower of Cost or Market Value), MTM (Mark to Market).</t>
  </si>
  <si>
    <t>American Samoa</t>
  </si>
  <si>
    <t>Polynesia</t>
  </si>
  <si>
    <t>JSC “Bank Credit Suisse (Moscow)”</t>
  </si>
  <si>
    <t>Russian Federation</t>
  </si>
  <si>
    <t>Swiss Universal Bank</t>
  </si>
  <si>
    <t>GlobalMI</t>
  </si>
  <si>
    <t>WebService</t>
  </si>
  <si>
    <t>Annually</t>
  </si>
  <si>
    <t>Other</t>
  </si>
  <si>
    <t>fwf</t>
  </si>
  <si>
    <t>Capital Measures</t>
  </si>
  <si>
    <t>Advisory Mandates</t>
  </si>
  <si>
    <t>Reference Data related to Advisory Mandates where CS provides solutions, execution tailored to client's requirement &amp;amp; risk-return profile and the investment decisions remain with the client .</t>
  </si>
  <si>
    <t>accountTypeCode</t>
  </si>
  <si>
    <t>The code that defines the type of account.</t>
  </si>
  <si>
    <t>Andorra</t>
  </si>
  <si>
    <t>Banco de Investimentos Credit Suisse (Brasil) S.A.</t>
  </si>
  <si>
    <t>Brazil</t>
  </si>
  <si>
    <t>Chief Operating Officer Function</t>
  </si>
  <si>
    <t>MI CCU</t>
  </si>
  <si>
    <t>A</t>
  </si>
  <si>
    <t xml:space="preserve">Message </t>
  </si>
  <si>
    <t>Real-time</t>
  </si>
  <si>
    <t>Corporate Functions</t>
  </si>
  <si>
    <t>L1 Support</t>
  </si>
  <si>
    <t>Delta</t>
  </si>
  <si>
    <t>Corporate / Other Transactions</t>
  </si>
  <si>
    <t>Credit and Lending Facility</t>
  </si>
  <si>
    <t>A type of loan made that could include revolving credit, term loans, committed facilities, letters of credit, and retail credit accounts</t>
  </si>
  <si>
    <t>accrualAmount</t>
  </si>
  <si>
    <t>The amount of interest and or fees accrued since the principal investment (or reinvestment) since the last payment date.</t>
  </si>
  <si>
    <t>Angola</t>
  </si>
  <si>
    <t>Middle Africa</t>
  </si>
  <si>
    <t>Credit Suisse Securities, Sociedad de Valores, S.A.</t>
  </si>
  <si>
    <t>Spain</t>
  </si>
  <si>
    <t>Credit Suisse AG Branches</t>
  </si>
  <si>
    <t>REMIT</t>
  </si>
  <si>
    <t>B</t>
  </si>
  <si>
    <t>LSenCategory</t>
  </si>
  <si>
    <t>L2 Support</t>
  </si>
  <si>
    <t>Snapshot historical</t>
  </si>
  <si>
    <t>Credit Risk</t>
  </si>
  <si>
    <t>Discretionary Mandates</t>
  </si>
  <si>
    <t>Reference Data related to Discretionary Mandates where portfolio management is performed by dedicated portfolio managers who conduct specific risk monitoring and rebalancing and investment decision is delegated.</t>
  </si>
  <si>
    <t>accrualAmountCurrency</t>
  </si>
  <si>
    <t>ISO currency code attributable to accrual amount. This is usually though not always the same as the trade currency.</t>
  </si>
  <si>
    <t>Anguilla</t>
  </si>
  <si>
    <t>Caribbean</t>
  </si>
  <si>
    <t>Credit Suisse Securities (USA) LLC</t>
  </si>
  <si>
    <t>Delaware, USA</t>
  </si>
  <si>
    <t>Credit Suisse Services AG</t>
  </si>
  <si>
    <t xml:space="preserve">MI IWM IL </t>
  </si>
  <si>
    <t>C</t>
  </si>
  <si>
    <t>L3 Support</t>
  </si>
  <si>
    <t>Snapshot current</t>
  </si>
  <si>
    <t>CS Corporate Data</t>
  </si>
  <si>
    <t>Pension Product</t>
  </si>
  <si>
    <t>Used for retirement planning plan where regular or single contributions are made by the product holder who will then receive regular payments from a certain age e.g retirement age</t>
  </si>
  <si>
    <t>accrualDayCountCode</t>
  </si>
  <si>
    <t>Day Count Convention, sample values are 30/360, Actual/actual, Actual/365 etc.</t>
  </si>
  <si>
    <t>Antarctica</t>
  </si>
  <si>
    <t>Credit Suisse Capital LLC1</t>
  </si>
  <si>
    <t>Credit Suisse Trust AG</t>
  </si>
  <si>
    <t>MI CSH</t>
  </si>
  <si>
    <t>D</t>
  </si>
  <si>
    <t>LCals</t>
  </si>
  <si>
    <t>Not sensitive</t>
  </si>
  <si>
    <t>Data Sourcing</t>
  </si>
  <si>
    <t>Disclosures</t>
  </si>
  <si>
    <t>Safekeeping</t>
  </si>
  <si>
    <t>Reference Data related to Safekeeping of Physical assets (  Bank provided where clients can store physical assets ) as well as Securities Safekeeping</t>
  </si>
  <si>
    <t>accruedPremium</t>
  </si>
  <si>
    <t>Accrued premium on CDS contracts.</t>
  </si>
  <si>
    <t>Antigua and Barbuda</t>
  </si>
  <si>
    <t>Credit Suisse Management LLC</t>
  </si>
  <si>
    <t>THS</t>
  </si>
  <si>
    <t>LInterfaceTypes</t>
  </si>
  <si>
    <t>Client:Name</t>
  </si>
  <si>
    <t>Enterprise Risk</t>
  </si>
  <si>
    <t>Credit Transactions</t>
  </si>
  <si>
    <t>Personal loans, Commercial loans, Mortgages, Leasing transactions including corresponding interest</t>
  </si>
  <si>
    <t>ACMparameters</t>
  </si>
  <si>
    <t>Static parameters related to multi-factor asset correlation model that determines defaults and migration correlation levels used in IRC calculation.</t>
  </si>
  <si>
    <t>Argentina</t>
  </si>
  <si>
    <t>South America</t>
  </si>
  <si>
    <t>ALL</t>
  </si>
  <si>
    <t>THS CH</t>
  </si>
  <si>
    <t>LApprovalStatus</t>
  </si>
  <si>
    <t>CH</t>
  </si>
  <si>
    <t>LRegions</t>
  </si>
  <si>
    <t>Client:Address</t>
  </si>
  <si>
    <t>Analytics Team</t>
  </si>
  <si>
    <t>Project</t>
  </si>
  <si>
    <t>Financial Instrument</t>
  </si>
  <si>
    <t>Custody Transactions</t>
  </si>
  <si>
    <t>Transactions on a CIF relating to Asset servicing, Asset transfers, Securities Lending &amp;amp; Borrowing, Custody Transfers including corresponding cash movements</t>
  </si>
  <si>
    <t>ACPValue</t>
  </si>
  <si>
    <t>It reflects the average expected credit loss within one year. The ACP in monetary terms calculation consists of three components: i. The probability of default (PD) by the borrower, ii. The expected exposure at default (EAD), and iii. The loss given default based on the collateralization of the transaction (LGD).</t>
  </si>
  <si>
    <t>Armenia</t>
  </si>
  <si>
    <t>West Asia</t>
  </si>
  <si>
    <t>OTHER</t>
  </si>
  <si>
    <t>Tax Compliance</t>
  </si>
  <si>
    <t>UK</t>
  </si>
  <si>
    <t>Client:Details</t>
  </si>
  <si>
    <t>Legal</t>
  </si>
  <si>
    <t>CDAT</t>
  </si>
  <si>
    <t>Datatypes</t>
  </si>
  <si>
    <t>Geographical</t>
  </si>
  <si>
    <t>Derivative Transactions</t>
  </si>
  <si>
    <t>OTC or centrally cleared derivatives transactions eg. Options, Forwards, Futures, Swaps, Warrants, Convertible bonds</t>
  </si>
  <si>
    <t>activesLeavingPercent</t>
  </si>
  <si>
    <t>Percentage of employees currently in employment (not retired) leaving the fund under gone concern scenario.</t>
  </si>
  <si>
    <t>Aruba</t>
  </si>
  <si>
    <t>Credit Suisse Securities (Japan) Ltd</t>
  </si>
  <si>
    <t>Japan</t>
  </si>
  <si>
    <t>CRF</t>
  </si>
  <si>
    <t>Requested</t>
  </si>
  <si>
    <t>USA</t>
  </si>
  <si>
    <t>Americas</t>
  </si>
  <si>
    <t>Client:Other</t>
  </si>
  <si>
    <t xml:space="preserve">Security </t>
  </si>
  <si>
    <t>Industry Sector Classification</t>
  </si>
  <si>
    <t>Discretionary Mandate Transactions</t>
  </si>
  <si>
    <t>Discretionary investment management is a form of investment management in which buy and sell decisions are made by a portfolio manager or investment counselor for the client's account. The term "discretionary" refers to the fact that investment decisions are made at the portfolio manager's discretion. This means that the client must have the utmost trust in the investment manager's capabilities.</t>
  </si>
  <si>
    <t>ACVARWAValue</t>
  </si>
  <si>
    <t>ACVARWAValue refers to the bank's assets or off-balance-sheet exposures weighted according to Advanced CVA (ACVA).</t>
  </si>
  <si>
    <t>Australia</t>
  </si>
  <si>
    <t>Australia and New Zealand</t>
  </si>
  <si>
    <t>Credit Suisse (Hong Kong) Ltd.</t>
  </si>
  <si>
    <t>Hong Kong</t>
  </si>
  <si>
    <t>NFRM</t>
  </si>
  <si>
    <t>In Progress</t>
  </si>
  <si>
    <t>SGP</t>
  </si>
  <si>
    <t>APAC</t>
  </si>
  <si>
    <t>Client:CIF</t>
  </si>
  <si>
    <t>SDP Support</t>
  </si>
  <si>
    <t>L1</t>
  </si>
  <si>
    <t>INTEGER</t>
  </si>
  <si>
    <t>Mappings and Configurations</t>
  </si>
  <si>
    <t>Equity Transactions</t>
  </si>
  <si>
    <t>Secondary market trading of common stocks, preferred stocks (centrally or bilaterally cleared)</t>
  </si>
  <si>
    <t>ADACPosResAcc</t>
  </si>
  <si>
    <t>ADAC booking position on which Reserve Account is booked</t>
  </si>
  <si>
    <t>Austria</t>
  </si>
  <si>
    <t>Western Europe</t>
  </si>
  <si>
    <t>Credit Suisse (Singapore) Ltd</t>
  </si>
  <si>
    <t>Singapore</t>
  </si>
  <si>
    <t>Approved</t>
  </si>
  <si>
    <t>HKG</t>
  </si>
  <si>
    <t>EMEA</t>
  </si>
  <si>
    <t>Employee:Name</t>
  </si>
  <si>
    <t>L2</t>
  </si>
  <si>
    <t>LONG</t>
  </si>
  <si>
    <t>Market Data</t>
  </si>
  <si>
    <t>Fee Transactions</t>
  </si>
  <si>
    <t>Contractual fees such as management fees, account fees, advisory fees, etc.</t>
  </si>
  <si>
    <t>ADACPosResInt</t>
  </si>
  <si>
    <t>ADAC booking position on which Spread (Residual Interest) is booked</t>
  </si>
  <si>
    <t>Azerbaijan</t>
  </si>
  <si>
    <t>Credit Suisse Securities (Singapore) Pte. Ltd.</t>
  </si>
  <si>
    <t>SPAIN</t>
  </si>
  <si>
    <t>Switzerland</t>
  </si>
  <si>
    <t>Employee:Address</t>
  </si>
  <si>
    <t>L3</t>
  </si>
  <si>
    <t>DOUBLE</t>
  </si>
  <si>
    <t>Market Risk</t>
  </si>
  <si>
    <t>Fixed Income Transactions</t>
  </si>
  <si>
    <t>Corporate and government debts (centrally or bilaterally cleared)</t>
  </si>
  <si>
    <t>ADACPosServFee</t>
  </si>
  <si>
    <t>ADAC booking position on which Servicing Fee is booked</t>
  </si>
  <si>
    <t>Bahamas</t>
  </si>
  <si>
    <t>Credit Suisse Equities (Australia) Ltd.</t>
  </si>
  <si>
    <t>Victoria, Australia</t>
  </si>
  <si>
    <t>GIBS</t>
  </si>
  <si>
    <t>INDIA</t>
  </si>
  <si>
    <t>Employee:Details</t>
  </si>
  <si>
    <t>Interface</t>
  </si>
  <si>
    <t>Owner</t>
  </si>
  <si>
    <t>Operational Risk</t>
  </si>
  <si>
    <t>Fund Transactions</t>
  </si>
  <si>
    <t>Mutual Fund, ETF, hedge funds, private equities</t>
  </si>
  <si>
    <t>ADACPosSsh</t>
  </si>
  <si>
    <t>ADAC booking position on which Seller Share is booked</t>
  </si>
  <si>
    <t>Bahrain</t>
  </si>
  <si>
    <t>CISO HRM</t>
  </si>
  <si>
    <t>LApprovalTypes</t>
  </si>
  <si>
    <t>MEXICO</t>
  </si>
  <si>
    <t>Employee:Other</t>
  </si>
  <si>
    <t>Contact</t>
  </si>
  <si>
    <t>Party</t>
  </si>
  <si>
    <t>FX Transactions</t>
  </si>
  <si>
    <t>Conversion of one currency into another currency</t>
  </si>
  <si>
    <t>additionalFundingRatio</t>
  </si>
  <si>
    <t>Additional Funding ratio depicts the Expected Funding level in a Stressed scenario.</t>
  </si>
  <si>
    <t>Bangladesh</t>
  </si>
  <si>
    <t>CDO</t>
  </si>
  <si>
    <t>BAHAMAS</t>
  </si>
  <si>
    <t>Other:Name</t>
  </si>
  <si>
    <t>SNOW</t>
  </si>
  <si>
    <t>Positions</t>
  </si>
  <si>
    <t>Money Market Transactions</t>
  </si>
  <si>
    <t>Financial instruments with high liquidity and short-term maturities such as such as treasury bills, commercial papers. and certificates of deposit</t>
  </si>
  <si>
    <t>adjustedExpiryDate</t>
  </si>
  <si>
    <t>The date that is the last business date of the expiry month of the corresponding energy future contract, and is different from the expiry date of the future contract itself (e.g., on particular historical dates when there is no available price for certain contacts, the next month contract will be used with adjustment). A futures contract is a legal agreement, generally made on the trading floor of a futures exchange, to buy or sell a particular commodity or financial instrument at a predetermined price at a specified time in the future.</t>
  </si>
  <si>
    <t>Barbados</t>
  </si>
  <si>
    <t>Credit Suisse (Luxembourg) S.A</t>
  </si>
  <si>
    <t>Luxembourg</t>
  </si>
  <si>
    <t>LDPR</t>
  </si>
  <si>
    <t>Other:Address</t>
  </si>
  <si>
    <t>Rating and Watchlist</t>
  </si>
  <si>
    <t>Payment Transactions</t>
  </si>
  <si>
    <t>Payment transactions including: Cash (Cash movements on CIF due to cash orders on teller/ATM), Client Payments (Cash movements from one CIF to another CIF due to  payments orders, CS internal or from/to another bank), Standing Orders (Cash movements from one CIF to another CIF due to  standing orders), etc.</t>
  </si>
  <si>
    <t>adjustedNotional</t>
  </si>
  <si>
    <t>Notional value after adjustment of SupervisoryDuration but prior to MaturityFactor and Delta adjustments in terms of SACCR methodology</t>
  </si>
  <si>
    <t>Belarus</t>
  </si>
  <si>
    <t>Eastern Europe</t>
  </si>
  <si>
    <t>Credit Suisse (Luxembourg) S.A. Zweigniederlassung Österreich</t>
  </si>
  <si>
    <t>Provider Contact</t>
  </si>
  <si>
    <t>Regulatory &amp; Tax</t>
  </si>
  <si>
    <t>Repo Transactions</t>
  </si>
  <si>
    <t>Short-term borrowing usually in government securities on an overnight basis, and buys them back the following day. This arrangement can be both billateral or tri-party.</t>
  </si>
  <si>
    <t>affiliateCode</t>
  </si>
  <si>
    <t>Affiliate Code is used to identify inter and intra company counterparties. It is a unique identifier for a Business Unit defined in PeopleSoft Global General Ledger.</t>
  </si>
  <si>
    <t>Belgium</t>
  </si>
  <si>
    <t>Credit Suisse (Qatar) LLC</t>
  </si>
  <si>
    <t>Qatar</t>
  </si>
  <si>
    <t>Peer Review</t>
  </si>
  <si>
    <t>LRACI</t>
  </si>
  <si>
    <t>Consumer Contact</t>
  </si>
  <si>
    <t>Research and Recommendation</t>
  </si>
  <si>
    <t>Securities Lending and Borrowing Transaction</t>
  </si>
  <si>
    <t>Securities lending and borrowing from one party to another based on an agreed fee and time</t>
  </si>
  <si>
    <t>affiliateDealerFlag</t>
  </si>
  <si>
    <t>A flag to indicate if a debt issuance is issued via affiliate dealer.</t>
  </si>
  <si>
    <t>Belize</t>
  </si>
  <si>
    <t>Central America</t>
  </si>
  <si>
    <t>Credit Suisse (Italy) S.p.A.</t>
  </si>
  <si>
    <t>Italy</t>
  </si>
  <si>
    <t>CISO</t>
  </si>
  <si>
    <t>Escalation Contact</t>
  </si>
  <si>
    <t>Risk &amp; Trading Limits</t>
  </si>
  <si>
    <t>Holiday Calendar</t>
  </si>
  <si>
    <t>Holiday calendar contains information of the public holidays in the year for a location worldwide</t>
  </si>
  <si>
    <t>agencyCMBSERCValue</t>
  </si>
  <si>
    <t>This is the Economic Risk Capital (ERC) value for Agency Commercial Mortgage Backed Securities (CMBS) calculated during times of stress. It captures the worst case change in fair value of assets over a one year horizon associated with a change in the required yield of the assets.</t>
  </si>
  <si>
    <t>Benin</t>
  </si>
  <si>
    <t>West Africa</t>
  </si>
  <si>
    <t>Credit Suisse (UK) Ltd.</t>
  </si>
  <si>
    <t>Ingestion Review</t>
  </si>
  <si>
    <t>Responsible</t>
  </si>
  <si>
    <t>IT Application Owner (Source IT)</t>
  </si>
  <si>
    <t>Support Transactions</t>
  </si>
  <si>
    <t>Credit Risk Risk-Weighted Assets</t>
  </si>
  <si>
    <t>Risk weighted assets based solely on credit risk exposure,  the possibility of a loss being incurred as the result of a borrower or counterparty failing to meet its financial obligations.</t>
  </si>
  <si>
    <t>agencyRMBSERCValue</t>
  </si>
  <si>
    <t>This is the Economic Risk Capital (ERC) value for Agency Residential Mortgage Backed Securities (RMBS) calculated during times of stress. It captures the worst case change in fair value of assets over a one year horizon associated with a change in the required yield of the assets.</t>
  </si>
  <si>
    <t>Bermuda</t>
  </si>
  <si>
    <t>North America</t>
  </si>
  <si>
    <t>Banco Credit Suisse (Mexico), S.A.</t>
  </si>
  <si>
    <t>Mexico</t>
  </si>
  <si>
    <t>Business Analyst Review</t>
  </si>
  <si>
    <t>Accountable</t>
  </si>
  <si>
    <t>LSenClass</t>
  </si>
  <si>
    <t>Valuation and Risk Models</t>
  </si>
  <si>
    <t>Market Risk Risk-Weighted Assets</t>
  </si>
  <si>
    <t>Market risk is defined as the risk of losses in on and off-balance-sheet positions arising from movements in market prices. The risks subject to this requirement are: (1) The risks pertaining to interest rate related instruments and equities in the trading book; (2) Foreign exchange risk and commodities risk throughout the bank.</t>
  </si>
  <si>
    <t>agreedMarginAmount</t>
  </si>
  <si>
    <t>The amount of margin call agreed between counterparties.</t>
  </si>
  <si>
    <t>Bhutan</t>
  </si>
  <si>
    <t>Credit Suisse Saudi Arabia</t>
  </si>
  <si>
    <t>Saudi Arabia</t>
  </si>
  <si>
    <t>Consulted</t>
  </si>
  <si>
    <t>Valuations and P&amp;L</t>
  </si>
  <si>
    <t>T&amp;E Transactions</t>
  </si>
  <si>
    <t>Travel and expenses related transactions.</t>
  </si>
  <si>
    <t>agreementLifecycleStatus</t>
  </si>
  <si>
    <t>Status of the contract ( e.g. draft, signed).</t>
  </si>
  <si>
    <t>Bolivia</t>
  </si>
  <si>
    <t>Credit Suisse Asset Management, LLC1</t>
  </si>
  <si>
    <t>Informed</t>
  </si>
  <si>
    <t>Account ID(Non-CS ID)</t>
  </si>
  <si>
    <t>Load Details</t>
  </si>
  <si>
    <t>Annual Credit Provision</t>
  </si>
  <si>
    <t>It reflects the average expected credit loss within one year. The ACP calculation consists of three components: 
i. The probability of default (PD) by the borrower, 
ii. The expected exposure at default (EAD), and 
iii. The loss given default based on the collateralization of the transaction (LGD).</t>
  </si>
  <si>
    <t>AIRBRiskWeightValue</t>
  </si>
  <si>
    <t>Refers to the value of risk weight derived using multiple attributes including but not limited to PD, LGD, M, EAD, and asset classes required for RWA calculation.</t>
  </si>
  <si>
    <t>Bonaire, Saint Eustatius and Saba</t>
  </si>
  <si>
    <t>Credit Suisse Asset Management Ltd.</t>
  </si>
  <si>
    <t>Company Name</t>
  </si>
  <si>
    <t>Full Load</t>
  </si>
  <si>
    <t>Current Exposure</t>
  </si>
  <si>
    <t>The combined exposure of a portfolio is the positive mark to market exposure of all the trades in the portfolio taking any netting agreements into consideration and provides the required risk information if a counterparty would default today assuming no price change during close-out of position. Total exposure is consist of 3 part based on the product coverage, 1) MTM Exposure, 2) Loan and commitment and 3) Money market exposure.
Calculation of the credit exposure depends on the loan type:
For committed loans, the exposure is equal to the committed amount, plus any overdrawn amount (i.e. amount exceeding the committed facility).
For uncommitted loans, the exposure is equal to the usage amount (also called utilization or, in German, “Benützung”).</t>
  </si>
  <si>
    <t>allocatedCoverValue</t>
  </si>
  <si>
    <t>The amount of cover value allocated for the collateral type. The cover value is referring to recoverable value of the collateral provided.</t>
  </si>
  <si>
    <t>Bosnia Herzegovina</t>
  </si>
  <si>
    <t>Credit Suisse Asset Mgmt. Investments Ltd.</t>
  </si>
  <si>
    <t>Zurich, Switzerland</t>
  </si>
  <si>
    <t>LAutomations</t>
  </si>
  <si>
    <t>Division Name</t>
  </si>
  <si>
    <t>Position ERC Credit</t>
  </si>
  <si>
    <t>The level of unexpected loss in economic value on our portfolio of positions over a one-year horizon which is exceeded with a given, small probability (1% for risk management purposes; 0.03% for capital management purposes)</t>
  </si>
  <si>
    <t>allocatedQuotaValue</t>
  </si>
  <si>
    <t>This is the portion of the collateral that could be assigned to a specific limit.</t>
  </si>
  <si>
    <t>Botswana</t>
  </si>
  <si>
    <t>Southern Africa</t>
  </si>
  <si>
    <t>Credit Suisse Fund Management S.A.</t>
  </si>
  <si>
    <t>First Name</t>
  </si>
  <si>
    <t>Business Hierarchy</t>
  </si>
  <si>
    <t>Represents the different granularity of Line of Business reporting that ultimately rollups to Divisions. e.g Cluster, Sub Cluster, Product Line,</t>
  </si>
  <si>
    <t>allowedProductsUnderLimit</t>
  </si>
  <si>
    <t>This refers to the allowed products under one Global Collateral Limit (GCL).</t>
  </si>
  <si>
    <t>Bouvet Island</t>
  </si>
  <si>
    <t>Credit Suisse Life &amp; Pensions AG</t>
  </si>
  <si>
    <t>Liechtenstein, Liechtenstein</t>
  </si>
  <si>
    <t>Sample</t>
  </si>
  <si>
    <t>Middle Name</t>
  </si>
  <si>
    <t>Employee and Worker</t>
  </si>
  <si>
    <t>Employee &amp;amp; Worker represent information regarding personnel , payroll , leave tracking internally referred as "HR Data"</t>
  </si>
  <si>
    <t>alpha</t>
  </si>
  <si>
    <t>Alpha is considered as active return on an investment, gauges the performance of an investment against a market index or benchmark which is considered to represent the market's movement as a whole. The excess return of an investment relative to the return of a benchmark index is the investment's alpha.</t>
  </si>
  <si>
    <t>One-off</t>
  </si>
  <si>
    <t>Last Name</t>
  </si>
  <si>
    <t>Checklist</t>
  </si>
  <si>
    <t>General Ledger Account</t>
  </si>
  <si>
    <t>Represents information used to sort, store and summarize the company's financial transactions. These accounts hold information that is needed to prepare financial statements, and include accounts for assets, liabilities, owners' equity, revenues and expenses. This is inclusive of the aggregation of accounts to higher level of line of ADAC reporting.</t>
  </si>
  <si>
    <t>amortizationAmount</t>
  </si>
  <si>
    <t>Amortization Amount is a function of the scheduled borrower item amount where the item amount is a scheduled change in global borrower commitment balance.</t>
  </si>
  <si>
    <t>British Indian Ocean Territory</t>
  </si>
  <si>
    <t>Manual feed</t>
  </si>
  <si>
    <t>Full Name</t>
  </si>
  <si>
    <t>Yes</t>
  </si>
  <si>
    <t>IT Security and Access Management</t>
  </si>
  <si>
    <t>IT Security and Access Management contains information related to IT Security, Identity Management and Access Controls .</t>
  </si>
  <si>
    <t>amortizationSchedule</t>
  </si>
  <si>
    <t>This is the schedule of the repayment of the Credit of the exposure, used for EAD calculation</t>
  </si>
  <si>
    <t>British Virgin Islands</t>
  </si>
  <si>
    <t>Credit Suisse (Schweiz) AG</t>
  </si>
  <si>
    <t>Automated feed</t>
  </si>
  <si>
    <t>Comments</t>
  </si>
  <si>
    <t>No</t>
  </si>
  <si>
    <t>Legal Entity</t>
  </si>
  <si>
    <t>Legal Entity represents information on ownership , jurisdiction , regulatory and tax information regarding an organizational part of Credit Suisse that is either a legal entity in its own right, or that can enter into legally binding obligations of Credit Suisse by virtue of permits, agreements or other contractually defined rights within a particular jurisdiction (for example, by virtue of a local banking license)</t>
  </si>
  <si>
    <t>amortizedNotional</t>
  </si>
  <si>
    <t>Amortized (factored down) notional amount - provided both for trade &amp; settlement date basis. Notional principal is amortized or decreased based on the movement of an underlying reference rate such as LIBOR or days left to maturity.</t>
  </si>
  <si>
    <t>Brunei Darussalam</t>
  </si>
  <si>
    <t>Southeast Asia</t>
  </si>
  <si>
    <t>Bank-now AG</t>
  </si>
  <si>
    <t>Email Address</t>
  </si>
  <si>
    <t>Legal Matter</t>
  </si>
  <si>
    <t>To document legal matters such aslitgation, legal hold and general advisory that are owned by general counsel</t>
  </si>
  <si>
    <t>amountOutstanding</t>
  </si>
  <si>
    <t>The value of the amount of equity, debt, and entitlement outstanding in a company. For equity, this is the amount of stocks owned by the company that is currently held by all shareholders, including share blocks held by institutional investors and restricted shares owned by the company's officers and insiders. For debt, this is the amount of unredeemed debt. For Entitlement: This attribute refers to the amount of warrants that are still outstanding.</t>
  </si>
  <si>
    <t>Bulgaria</t>
  </si>
  <si>
    <t>Fides Treasury Services AG</t>
  </si>
  <si>
    <t>LRegs</t>
  </si>
  <si>
    <t>Organizational Hierarchy</t>
  </si>
  <si>
    <t>Organizational Hierarchy represents information regarding the internal Organizational Hierarchy structure internally referred as "OE Code"</t>
  </si>
  <si>
    <t>amtAddRiskRprtngCcy</t>
  </si>
  <si>
    <t>If there is an additional risk to a client transaction  the amount of additional risk that is covered in another RWA Calculation method is shown here.</t>
  </si>
  <si>
    <t>Burkina Faso</t>
  </si>
  <si>
    <t>Swisscard AECS GmbH (66.67%)</t>
  </si>
  <si>
    <t>Planned Production</t>
  </si>
  <si>
    <t>Phone</t>
  </si>
  <si>
    <t>LSensitivity EDO</t>
  </si>
  <si>
    <t>Risk Incident Inventory</t>
  </si>
  <si>
    <t>Reference Data related to Risk related incidents such as Operational Risk</t>
  </si>
  <si>
    <t>analyticDelta</t>
  </si>
  <si>
    <t>Delta is a measure for showing an option’s sensitivity to a change in price of the underlying asset. Analytic delta depicts the change of an option’s value as a result from a change in price of the underlying asset in relation to the strike price of the option. Depending on the asset class of the underlying this can be calibrated within the pricing model for movements relevant to the quotation price of the underlying, for example $1, 1% or 1 basis point. For FX Options this will represent option impact for change in underlying FX Rate.</t>
  </si>
  <si>
    <t>Burundi</t>
  </si>
  <si>
    <t>East Africa</t>
  </si>
  <si>
    <t>Credit Suisse Entrepreneur Capital AG</t>
  </si>
  <si>
    <t>Irregular</t>
  </si>
  <si>
    <t>Fax</t>
  </si>
  <si>
    <t>Local Regulatory Disclosures</t>
  </si>
  <si>
    <t>Statistical, Prudential &amp;amp; Pillar III Regulatory Reports prepared at legal entity level &amp;amp; filed with regulator of the respective region such as PRA, Bank of England, Monetary of Authority etc.</t>
  </si>
  <si>
    <t>annualizationFactor</t>
  </si>
  <si>
    <t>The factor used to convert risk value for a particular holding period into the equivalent risk value for a one-year holding period.</t>
  </si>
  <si>
    <t>Cambodia</t>
  </si>
  <si>
    <t>In Production</t>
  </si>
  <si>
    <t>Once</t>
  </si>
  <si>
    <t>ER Flight to Quality Lite</t>
  </si>
  <si>
    <t>Flight to quality refers to the measurement of PTI shortfall as a result of FTQ scenario shocks across market, credit, operational and business risk.</t>
  </si>
  <si>
    <t>APACClientIndustryCode</t>
  </si>
  <si>
    <t>Indicates the industry the client belongs to. This industry classification code is applicable and maintained for the APAC region.</t>
  </si>
  <si>
    <t>Cameroon</t>
  </si>
  <si>
    <t>Refactoring</t>
  </si>
  <si>
    <t>Regular</t>
  </si>
  <si>
    <t>City</t>
  </si>
  <si>
    <t>ER Scenario Loss Potential Analysis</t>
  </si>
  <si>
    <t>LPA Stressed CET1 Ratio: CET1 (Common Equity Tier1) ratio is the main measure to see whether the bank has enough capital. It is computed as the ratio of the CET1 capital and RWA. LPA CET1 ratio denotes the value of the CET1 ratio after experiencing the impact of a hypothetical FINMA specified LPA (Loss Potential Analysis) Scenario. LPA is computed twice annually and submitted to FINMA.
LPA Stressed Pre Tax Income (PTI) Loss : refers to the measurement of aggregated potential losses resulting from the application of FINMA LPA scenarios with regards to position risk and non-position risk.
LPA Stressed RWA: Loss Potential Analysis (LPA) Stressed RWA refers to the RWA under stress scenarios when the RWA is expected to increase due to an increase in market volatility and rating downgrades.
LPA Stressed Leverage Ratio: Leverage ratio is a measure that looks at how much capital comes in the form of debt. It is computed as the ratio of CET1 capital and Leverage Exposure. LPA stressed leverage ratio denotes the value of the leverage ratio after experiencing the impact of a hypothetical FINMA specified LPA (Loss Potential Analysis) Scenario. LPA is computed twice annually and submitted to FINMA.</t>
  </si>
  <si>
    <t>appliedFundRiskWeight</t>
  </si>
  <si>
    <t>Reflect applied RW% on a given fund</t>
  </si>
  <si>
    <t>Canada</t>
  </si>
  <si>
    <t>Adjustments in Dataset</t>
  </si>
  <si>
    <t>On-Schedule</t>
  </si>
  <si>
    <t>State</t>
  </si>
  <si>
    <t>ER Scenario Loss Potential Analysis Parent</t>
  </si>
  <si>
    <t>LPA measures aggregated losses (position and non position) as a result of application of LPA scenario shocks across market, credit, operational and business risk.</t>
  </si>
  <si>
    <t>appliedModelName</t>
  </si>
  <si>
    <t>It is the identifier for a rating model in IRMA.</t>
  </si>
  <si>
    <t>Cape Verde</t>
  </si>
  <si>
    <t>New Dataset</t>
  </si>
  <si>
    <t>Country</t>
  </si>
  <si>
    <t>ER Severe Flight to Quality</t>
  </si>
  <si>
    <t>Severe Flight to Quality Position Loss refers to the measurement of aggregated position losses resulting from the application of Severe Flight To Quality (SFTQ) scenarios on position risks (i.e. credit risk and market risk scenarios).</t>
  </si>
  <si>
    <t>assetBackedSecuritiesERCValue</t>
  </si>
  <si>
    <t>Obtains ERC values for Consumer and Other ABS inventory of the Asset Backed Flow and Euro SP Trading businesses using price shocks.</t>
  </si>
  <si>
    <t>Cayman Islands</t>
  </si>
  <si>
    <t>Additional Attributes to Dataset</t>
  </si>
  <si>
    <t>LEnvSource</t>
  </si>
  <si>
    <t>Address</t>
  </si>
  <si>
    <t>Employee Data</t>
  </si>
  <si>
    <t>IRRBB Net Interest Income at Risk</t>
  </si>
  <si>
    <t>Change in Net Interest Income (NII) value under stressed scenarios for Interest Rate Risk in the Banking Book (IRRBB)</t>
  </si>
  <si>
    <t>assetClass</t>
  </si>
  <si>
    <t>An asset class is a group of collateral types that exhibits similar characteristics, behaves similarly in the marketplace.</t>
  </si>
  <si>
    <t>Central African Republic</t>
  </si>
  <si>
    <t>PID</t>
  </si>
  <si>
    <t>Total ERC</t>
  </si>
  <si>
    <t>Economic Risk Capital (ERC), estimates the amount of capital required by Credit Suisse based on the risks that are running or planning to take on through the course of business activities. It covers position risk and non-position risks. It is an internal assessment of true risk exposure in terms of economic realities rather than regulatory or accounting rules.</t>
  </si>
  <si>
    <t>assetCurrency</t>
  </si>
  <si>
    <t>Currency in which the party's assets are held reported, for use in determining if an AVC multipler should be applied</t>
  </si>
  <si>
    <t>Chad</t>
  </si>
  <si>
    <t>London</t>
  </si>
  <si>
    <t>Total Loss under Capital Scenario</t>
  </si>
  <si>
    <t>Total Loss Under Capital Scenarios Total capital losses refers to maximum losses under all the capital scenarios that are run internally on monthly basis. It is calculated based on positon, non-position losses and RWA uplift. The capital scenarios consist of the following:
a. US Economic Crisis
b. Bond Market Crash
c. EM Hard landing
d. Forward looking SFTQ
e. Swiss recession
f. SFTQ</t>
  </si>
  <si>
    <t>assetLiabilityFlag</t>
  </si>
  <si>
    <t>This is an Asset/Liability Flag of intercompany trades.</t>
  </si>
  <si>
    <t>Chile</t>
  </si>
  <si>
    <t>Toronto</t>
  </si>
  <si>
    <t>Ontario, Canada</t>
  </si>
  <si>
    <t>EDO</t>
  </si>
  <si>
    <t>Asset Backed Instrument</t>
  </si>
  <si>
    <t>Asset backed instruments represents details of instruments which are backed by assets and includes Mortgage related instruments</t>
  </si>
  <si>
    <t>ATECost</t>
  </si>
  <si>
    <t>ATE(Additional Termination Event) represent a cost that could occur from a clause within ISDA Master Agreement which gives the counterparty the right to terminate derivative contract with CS under certain trigger events (e.g. rating downgrade).</t>
  </si>
  <si>
    <t>China, P.R.</t>
  </si>
  <si>
    <t>East Asia</t>
  </si>
  <si>
    <t>Dublin</t>
  </si>
  <si>
    <t>Ireland, Republic of</t>
  </si>
  <si>
    <t>Manual</t>
  </si>
  <si>
    <t>Debt Instrument</t>
  </si>
  <si>
    <t>Debt Instruments describe the arrangement that gives the borrowing party permission to borrow money that it is to be paid back at a later date, usually with interest. Corporate debt , sovereign debt are representative examples of debt instruments.</t>
  </si>
  <si>
    <t>attachmentPoint</t>
  </si>
  <si>
    <t>The position of the tranche in the deal structure where the tranche begins to experience losses. The attachment point of a tranche is the percentage of the total securitization pool subordinate to that tranche. Note: This point may change over time as losses, prepayments, and overcollateralization alter the total deal structure.</t>
  </si>
  <si>
    <t>Christmas Island</t>
  </si>
  <si>
    <t>Milan</t>
  </si>
  <si>
    <t>Equity Instrument</t>
  </si>
  <si>
    <t>Equity instrument which serves as a legally applicable evidence of the ownership right in a firm are generally issued to company shareholders and are used to fund the business. Equity Instrument represents referential information regarding types of instruments such as Common Stock , Preferred Stock</t>
  </si>
  <si>
    <t>AUMCode</t>
  </si>
  <si>
    <t>Code to identify the type of fund.</t>
  </si>
  <si>
    <t>Cocos (Keeling) Islands</t>
  </si>
  <si>
    <t>New York</t>
  </si>
  <si>
    <t>New York, USA</t>
  </si>
  <si>
    <t>Funds</t>
  </si>
  <si>
    <t>Funds represents details of the funds available in the market for trading and is separate from Equity instruments to account for capture of specific attributes related to funds which are typically not captured as part of equity instruments</t>
  </si>
  <si>
    <t>availableEconomicCapitalValue</t>
  </si>
  <si>
    <t>The value of economic capital available to absorb losses in an economic risk capital in an extreme stress event.
AEC is calculated by : AEC = CET1 - Adjustment for DTA from Timing Differences + Absolute (Pension Funding Deficit) + Accrued Dividend - Mortgage Servicing Rights + Higher Trigger BCNs + Low Trigger Capital Notes + Unrealized Gains from ORE+ Preferred Shares</t>
  </si>
  <si>
    <t>Colombia</t>
  </si>
  <si>
    <t>LIngestFormat</t>
  </si>
  <si>
    <t>Index , ETF and Basket Instrument</t>
  </si>
  <si>
    <t>Index , ETF and Basket Instruments represents details of the portfolio of securities which are collectively grouped together to form the specific Index or ETF .</t>
  </si>
  <si>
    <t>availableStableFundingCategory</t>
  </si>
  <si>
    <t>The categorization of on- and off-balance sheet liabilities and capital positions to the Available Stable Funding numerator components of the NSFR.</t>
  </si>
  <si>
    <t>Comoros</t>
  </si>
  <si>
    <t>Seoul</t>
  </si>
  <si>
    <t>South Korea</t>
  </si>
  <si>
    <t>Issuer Data</t>
  </si>
  <si>
    <t>Issuers data represents details regarding issuers which is a legal person who develops , registers , issues or proposes to issue any security
NOTE : While Issuer Data is not a sub category of Financial Instrument and spans across instrument L2BOs, it is called out separately to allow for clear designation of source system and to aid in data discovery</t>
  </si>
  <si>
    <t>averageDailyTradedVolume</t>
  </si>
  <si>
    <t>It denotes the average daily traded volume in quantity of a given security.</t>
  </si>
  <si>
    <t>Congo, P.R.</t>
  </si>
  <si>
    <t>Listed Futures and Option Instrument</t>
  </si>
  <si>
    <t>Listed Futures contracts detail the quality and quantity of the underlying asset and are standardized to facilitate trading on a futures exchange. Option Instruments describe contracts that offers the buyer the right, but not the obligation, to buy (call) or sell (put) a security or other financial asset at an agreed-upon price (the strike price) during a certain period of time or on a specific date (exercise date).</t>
  </si>
  <si>
    <t>averageDailyTradedVolumeRatio</t>
  </si>
  <si>
    <t>The Average Daily Traded Volume (ADTV) ratio is a measure of liquidity of a specific instrument position in the client portfolio. It is calculated by dividing the amount of the specific instrument over the average daily traded volume of the same instrument over a period of time.</t>
  </si>
  <si>
    <t>Cook Islands</t>
  </si>
  <si>
    <t>Taipei Securities</t>
  </si>
  <si>
    <t>Taiwan</t>
  </si>
  <si>
    <t>FWF</t>
  </si>
  <si>
    <t>Money Market Instrument</t>
  </si>
  <si>
    <t>Money market instruments represents details of Money Market instruments such as Commercial paper(CP) and certificate of deposit(CD) .</t>
  </si>
  <si>
    <t>balanceAmountType</t>
  </si>
  <si>
    <t>This refers to type of balance like fees, PV, redemption value etc.</t>
  </si>
  <si>
    <t>Costa Rica</t>
  </si>
  <si>
    <t>Mumbai</t>
  </si>
  <si>
    <t>India</t>
  </si>
  <si>
    <t>JSON</t>
  </si>
  <si>
    <t>OTC Instrument</t>
  </si>
  <si>
    <t>OTC Instruments represent information available as referential data for Over-the-counter traded products</t>
  </si>
  <si>
    <t>balanceBasisTypeCode</t>
  </si>
  <si>
    <t>Indicates whether the balance of a trade is trade-dated, settlement-dated, forward-dated or commitment-dated.</t>
  </si>
  <si>
    <t>Cote D'Ivoire</t>
  </si>
  <si>
    <t>Shanghai</t>
  </si>
  <si>
    <t>China, People's Republic of , China, People's Republic</t>
  </si>
  <si>
    <t>Xml</t>
  </si>
  <si>
    <t>Country represents information related to a country which is formally defined as a region that is identified as a distinct entity in political geography such as it's name and standard ISO 2 and 3 digit codes</t>
  </si>
  <si>
    <t>balanceSheetCoverageBufferValue</t>
  </si>
  <si>
    <t>It refers to the buffer to address gap in BMR CR IB RWA data set vs Stress Testing data set</t>
  </si>
  <si>
    <t>Croatia</t>
  </si>
  <si>
    <t>Sydney</t>
  </si>
  <si>
    <t>External Industry Classification</t>
  </si>
  <si>
    <t>Master Data of External Industry Classification codes such as NAIC , GICS</t>
  </si>
  <si>
    <t>bankruptcy</t>
  </si>
  <si>
    <t>Trigger event, which identifies if the Counterparty has filed for bankruptcy, This is required for RWA calculation</t>
  </si>
  <si>
    <t>Cuba</t>
  </si>
  <si>
    <t>Tokyo</t>
  </si>
  <si>
    <t>Product Classification</t>
  </si>
  <si>
    <t>This represents Product Classifications for purposes of Accounting , Regulatory Reporting and Valuations .Classification code used to categorize similar transactions and/or instruments that is used as an attribute across Front to back systems to drive rules and/or methodology across the different processes. E.g Valuation Models, Posting Rules</t>
  </si>
  <si>
    <t>bankruptcyRemoteFlag</t>
  </si>
  <si>
    <t>A flag to indicate if Collateral is bankruptcy remote or not. Bankruptcy remote collateral posted at CCP will not be lost by the clearing member. Possible values are "Y" and "N".</t>
  </si>
  <si>
    <t>Curaçao</t>
  </si>
  <si>
    <t>Bahrain, Kingdom of</t>
  </si>
  <si>
    <t>Asset Backed Product Pricing</t>
  </si>
  <si>
    <t>Pricing data ( including any related Tick and Time Series ) for Asset Backed products</t>
  </si>
  <si>
    <t>barrierCode</t>
  </si>
  <si>
    <t>Indicates the barrier type of the option, i.e. whether it is cap, floor or straddle</t>
  </si>
  <si>
    <t>Cyprus</t>
  </si>
  <si>
    <t>Guernsey</t>
  </si>
  <si>
    <t>Debt Pricing</t>
  </si>
  <si>
    <t>Pricing data ( including any related Tick and Time Series ) for Traded Debt products</t>
  </si>
  <si>
    <t>baseCurrency</t>
  </si>
  <si>
    <t>The risk free currency from a market risk point of view.</t>
  </si>
  <si>
    <t>Czech Republic</t>
  </si>
  <si>
    <t>Nassau</t>
  </si>
  <si>
    <t>Equity Pricing</t>
  </si>
  <si>
    <t>Pricing data ( including any related Tick and Time Series ) for Traded Equity products</t>
  </si>
  <si>
    <t>basel2TierInfo</t>
  </si>
  <si>
    <t>Identifies the appropriate regulatory capital tier based on Basel 2 Tier 1 capital includes shareholders' equity, disclosed reserves, retained earnings, and certain innovative capital instruments Tier 2 consists of Tier 1 instruments plus bank reserves, hybrid instruments, and medium and long term subordinated loans Tier 3 consists of Tier 2 plus short-term subordinated loans.</t>
  </si>
  <si>
    <t>Democratic People's Republic of Korea</t>
  </si>
  <si>
    <t>Riyadh</t>
  </si>
  <si>
    <t>Listed Futures and Option Pricing</t>
  </si>
  <si>
    <t>Pricing data ( including any related Tick and Time Series ) for Listed Futures and Option</t>
  </si>
  <si>
    <t>basel3TierInfo</t>
  </si>
  <si>
    <t>Identifies the appropriate regulatory capital tier based on Basel III Tier 1 capital consists of Common Equity Tier 1 and additional Tier 1 capital Common Equity Tier 1 capital includes equity instruments that have discretionary dividends and no maturity, while additional Tier 1 capital comprises securities that are subordinated to most subordinated debt, have no maturity, and their dividends can be cancelled at any time Tier 2 capital consists of unsecured subordinated debt with an original maturity of at least five years.</t>
  </si>
  <si>
    <t>Democratic Republic of the Congo</t>
  </si>
  <si>
    <t>DIFC</t>
  </si>
  <si>
    <t>Dubai, United Arab Emirates</t>
  </si>
  <si>
    <t>Money Market Pricing</t>
  </si>
  <si>
    <t>Pricing data ( including any related Tick and Time Series ) for Money Market products</t>
  </si>
  <si>
    <t>baselCategory</t>
  </si>
  <si>
    <t>Indicates one of the 6 Basel categories to which the trade belongs. The different categories are: IRD (Interest Rate Derivatives), FXG (FX and Gold), Equities, CDS, Commodities, and PMT (Precious Metal).</t>
  </si>
  <si>
    <t>Denmark</t>
  </si>
  <si>
    <t>Northern Europe</t>
  </si>
  <si>
    <t>Sucursal en España</t>
  </si>
  <si>
    <t>OTC Pricing</t>
  </si>
  <si>
    <t>Pricing data ( including any related Tick and Time Series ) for OTC products</t>
  </si>
  <si>
    <t>baselineCapitalPlan</t>
  </si>
  <si>
    <t>Baseline CET1 capital forecast / plan</t>
  </si>
  <si>
    <t>Djibouti</t>
  </si>
  <si>
    <t>Credit Valuation Adjustment Risk</t>
  </si>
  <si>
    <t>CVA (Credit Value Adjustment) VaR (Value at Risk) is a risk measure which quantifies the potential CVA loss, on a given portfolio over a certain holding period, that is only expected to occur with a certain fixed probability.</t>
  </si>
  <si>
    <t>baselineScenarioCost</t>
  </si>
  <si>
    <t>The baseline cost already embedded in the base plan. Needs to be backed out to obtain the scenario impact</t>
  </si>
  <si>
    <t>Dominica</t>
  </si>
  <si>
    <t>Earning Loss Appetite</t>
  </si>
  <si>
    <t>Earning Loss Appetite is used to manage quarterly earnings volatility through probable 1-in-12-Quarter market stress. It comprises risk and finance components.
The ELA market shocks are calibrated to 60 day 91.67% expected shortfall based on historical return excluding 2008 and 2009.</t>
  </si>
  <si>
    <t>baseRateType</t>
  </si>
  <si>
    <t>Identifies the type of rate used in the derivation of floating/linked interest rate payable on a financial instrument. For example LIBOR, Index, etc.</t>
  </si>
  <si>
    <t>Dominican Republic</t>
  </si>
  <si>
    <t>Incremental Risk Charge</t>
  </si>
  <si>
    <t>Incremental Risk Charge (IRC) is a risk measure which quantifies the potential loss arising from issuer credit deterioration (default and migration) risk, on a given portfolio, over a given period of time (i.e.1Y) with a given probability (i.e. 99.9%).</t>
  </si>
  <si>
    <t>baseScenarioEmergingInactives</t>
  </si>
  <si>
    <t>Baseline liability cashflow projections of the actives; This refers to the emerging inactive projected benefit obligation cash flow for the next 100 years, which is used by US and Swiss plan.</t>
  </si>
  <si>
    <t>Ecuador</t>
  </si>
  <si>
    <t>Credit Suisse Services AG, London Branch</t>
  </si>
  <si>
    <t>IRRBB Delta EvE</t>
  </si>
  <si>
    <t>Change in Economic Value of Equity (EVE) value under stressed scenarios for Interest Rate Risk in the Banking Book (IRRBB).</t>
  </si>
  <si>
    <t>baseScenarioInactives</t>
  </si>
  <si>
    <t>Baseline liability cashflow projections of the retirees; This refers to the inactive projected benefit obligation cash flow for the next 100 years, which is used by US and Swiss plan.</t>
  </si>
  <si>
    <t>Egypt</t>
  </si>
  <si>
    <t>Credit Suisse Services AG, Pune Branch</t>
  </si>
  <si>
    <t>Position ERC Market</t>
  </si>
  <si>
    <t>Position risk ERC is defined as the level of unexpected loss in economic value on our portfolio of positions over a one-year horizon which is exceeded with a given, small probability (0.1% for risk management purposes; 0.03% for capital management purposes).</t>
  </si>
  <si>
    <t>basisSwap</t>
  </si>
  <si>
    <t>Information on Curve and time bucket of the curve</t>
  </si>
  <si>
    <t>El Salvador</t>
  </si>
  <si>
    <t>Credit Suisse Services AG, Singapore Branch</t>
  </si>
  <si>
    <t>Risk Not in VaR</t>
  </si>
  <si>
    <t>The RNIV framework captures additional market risks that are not adequately captured by VaR model for the purposes of internal market risk measurement, regulatory capital calculation (where permitted) and external financial disclosure.</t>
  </si>
  <si>
    <t>basisTrade</t>
  </si>
  <si>
    <t>Whether the trade is a basis transaction within the meaning of SACCR methodology</t>
  </si>
  <si>
    <t>Equatorial Guinea</t>
  </si>
  <si>
    <t>Credit Suisse (Poland) Sp. z o.o.</t>
  </si>
  <si>
    <t>Poland</t>
  </si>
  <si>
    <t>Risk Sensitivities</t>
  </si>
  <si>
    <t>Sensitivity captures the rate of change of a valuation function with respect to risk factors from the current market state. For example, Equity Vega measures “1st order (linear) component of P&amp;amp;L with respect to equity implied volatility, reported for a 1% move in volatility and expressed in base currency, i.e. USD. Mathematically:  ∂V/∂σ×0.01×FX_UNDUSD.”</t>
  </si>
  <si>
    <t>BasisTradeTransactionFlag</t>
  </si>
  <si>
    <t xml:space="preserve">Indicator for basis transactions, i.e., derivatives that refernce the basis between two risk factors and are denominated in a single currency. </t>
  </si>
  <si>
    <t>Eritrea</t>
  </si>
  <si>
    <t>Stressed VaR</t>
  </si>
  <si>
    <t>The VaR calculated on a 1Y time series representing the highest period of stress for the current position and used for regulatory capital purpose.</t>
  </si>
  <si>
    <t>basketInsuranceBenefit</t>
  </si>
  <si>
    <t>Insurance Benefit availabe based on Insurance policy at Group level that broadly covers most operational risk events that are not efficiently covered under other, traditional insurance policies. This insurance policy aims to provide protection against aggregate annual operational losses suffered by CS exceeding a pre-determined threshold of CHF 3.5bn.</t>
  </si>
  <si>
    <t>Estonia</t>
  </si>
  <si>
    <t>Trade Issuer Default Loss</t>
  </si>
  <si>
    <t>Trading IDL assesses the losses arising from potential defaults of the issuers of securities held in the trading portfolio</t>
  </si>
  <si>
    <t>benchmarkTicker</t>
  </si>
  <si>
    <t>This is a mapping of risk type with benchmark codes based on various factors like tenor, currency, country and region.</t>
  </si>
  <si>
    <t>Ethiopia</t>
  </si>
  <si>
    <t>Globefin Limited</t>
  </si>
  <si>
    <t>VaR</t>
  </si>
  <si>
    <t>Value at Risk (VaR) is a risk measure which quantifies the potential loss, on a given portfolio over a certain holding period, that is only expected to occur with a certain fixed probability. Different parameter applied to generate VaR for specific purposes i.e. Risk management VaR or regulatory VaR.</t>
  </si>
  <si>
    <t>beta</t>
  </si>
  <si>
    <t>Beta (β) or beta coefficient is the correlation coefficient to be used in regression model for the market risk component, which represents the strength and the direction of correlation between the underlying and benchmark.</t>
  </si>
  <si>
    <t>Faeroe Islands</t>
  </si>
  <si>
    <t>Credit Suisse Solution Partners AG</t>
  </si>
  <si>
    <t>Advanced Measurement Approach RWA</t>
  </si>
  <si>
    <t>The level of total operational losses over a 1-year time horizon that could occur with a probability of 0.1%. OpRisk RWA is a measure of the riskiness of OpRisk "assets" and is simply defined as OpRisk capital times 12.5.</t>
  </si>
  <si>
    <t>BFIFlag</t>
  </si>
  <si>
    <t>This flag identifies if an exposure is from a banking, financial or insurance entity.</t>
  </si>
  <si>
    <t>Falkland Islands (Malvinas)</t>
  </si>
  <si>
    <t>Credit Suisse Trust Aktiengesellschaft</t>
  </si>
  <si>
    <t>Cumulative Operational Risk Losses</t>
  </si>
  <si>
    <t>Cumulative loss amount is the aggregated amount of operational risk incidents which are less than the Individual Incident Tolerance Level as per ERCF Risk Appetite Policy-P-01412.</t>
  </si>
  <si>
    <t>BFIHoldingFlag</t>
  </si>
  <si>
    <t>This flag indicates if there is BFI holding in a fund.</t>
  </si>
  <si>
    <t>Fiji</t>
  </si>
  <si>
    <t>Melanesia</t>
  </si>
  <si>
    <t>Credit Suisse Trust Limited</t>
  </si>
  <si>
    <t>New Zealand</t>
  </si>
  <si>
    <t>ERC Operational</t>
  </si>
  <si>
    <t>Operational Risk ERC: The level of total operational losses over a 1-year time horizon that could occur at a defined probability level. Currently ERC is measured at two levels: "gone-concern" corresponding to a likelihood of 0.03%, and "going-concern" corresponding to a level of 1%.
ERC Allocations: The amount of Operational Risk Economic Risk Capital allocated to divisions and business units.</t>
  </si>
  <si>
    <t>BFIHoldingInFunds</t>
  </si>
  <si>
    <t>This refers to the percentage of CS holdings in BFI of an equity investment in fund.</t>
  </si>
  <si>
    <t>Finland</t>
  </si>
  <si>
    <t>Credit Suisse Trust Limited [Singapore]</t>
  </si>
  <si>
    <t>Individual Operational Risk Losses</t>
  </si>
  <si>
    <t>Individual loss amount is the aggregated amount of operational risk incidents which are deemed to be highly material, i.e. greater than or equal to Individual Incident Tolerance Level as per ERCF Risk Appetite Policy-P-01412.</t>
  </si>
  <si>
    <t>BFIValue</t>
  </si>
  <si>
    <t>Value of Equities &amp; Subordinated Debts exposure of BFI (Banking, Finance and Insurance) entities, used to assess capital adjustment against certain threshold for capital (eg CET1, AT1 or T2) in accordance with Basel III guidelines to reduce correlation risk between banks and other financial institutions.</t>
  </si>
  <si>
    <t>France</t>
  </si>
  <si>
    <t>G &amp; FS Capital Invest AG</t>
  </si>
  <si>
    <t>Stress Loss Projections</t>
  </si>
  <si>
    <t>1. Stress Loss Projections: The predicted total OpRisk loss amount during a defined period of economic stress.
2. Stress Loss Allocations: The amount of allocations of stress loss projections to divisions and business units.
3. The predicted level of OpRisk RWA following a defined period of economic stress.</t>
  </si>
  <si>
    <t>BFIValueCurrency</t>
  </si>
  <si>
    <t>The currency in which the BFI (Banking, Finance and Insurance) value is expressed.</t>
  </si>
  <si>
    <t>French Guiana</t>
  </si>
  <si>
    <t>Limag Management und Verwaltungs-Aktiengesellschaft</t>
  </si>
  <si>
    <t>Client and Counterparty</t>
  </si>
  <si>
    <t>An external individual or legal entity which can be one of the following - (a) potential client/prospect, (b) a party that Credit Suisse has a contractual agreement with, (c) a related party to a client/prospect and (d) counterparty in a transaction over a market venue or bi-laterally.</t>
  </si>
  <si>
    <t>BOCollectionId</t>
  </si>
  <si>
    <t>An unique identifier for a Business Organisation Collection.</t>
  </si>
  <si>
    <t>French Polynesia</t>
  </si>
  <si>
    <t>LOTA Fiduciary (Canada) Inc.</t>
  </si>
  <si>
    <t>Prince Edward Island, Canada</t>
  </si>
  <si>
    <t>Market Participant</t>
  </si>
  <si>
    <t>Market participant represents information about market participants who may or may not have a direct relationship with CS but are critical to the business process such as list of Clearing venues, CCPs, exchanges, brokers, sub-brokers</t>
  </si>
  <si>
    <t>bondType</t>
  </si>
  <si>
    <t>Similar to PRODUCT TYPE for other CS01 risk types. Legal values are:
- GLOBAL for bonds
- DEF for single-name CDS (including CVA hedges) and for CVA exposures
- CDX for CDS indices
- LOAN for loans</t>
  </si>
  <si>
    <t>French Southern Territories</t>
  </si>
  <si>
    <t>Lux Multi-Flex Madrisa</t>
  </si>
  <si>
    <t>Client Safekeeping Positions</t>
  </si>
  <si>
    <t>Representation of assets in client safekeeping accounts</t>
  </si>
  <si>
    <t>bookCategoryCode</t>
  </si>
  <si>
    <t>A code that defines book categories . ADJ - Adjustment; BNK - Banking; TRD - Trading; CAP - Capital.These values are derived from the department under which the book resides. For Trading and Banking Books: the Front Office determines the categorization. For Adjustment books: it is determined by Finance. Capital books sit under Capital departments: the departments are inactive so that they have no ledger impact; though the books are active.</t>
  </si>
  <si>
    <t>Gabon</t>
  </si>
  <si>
    <t>Sedifo SA</t>
  </si>
  <si>
    <t>Geneva, Switzerland</t>
  </si>
  <si>
    <t>External Rating</t>
  </si>
  <si>
    <t>External Ratings represent ratings assigned by ratings agencies against Issuers of securities</t>
  </si>
  <si>
    <t>bookCoveredPositionFlag</t>
  </si>
  <si>
    <t>Flag to indicate whether the book is in scope for specific risk covered position.</t>
  </si>
  <si>
    <t>Gambia</t>
  </si>
  <si>
    <t>Credit Suisse Business Management (India) Private Limited</t>
  </si>
  <si>
    <t>Internal Rating</t>
  </si>
  <si>
    <t>Internal Ratings represent ratings assigned to clients and counterparties for Credit Risk evaluation .</t>
  </si>
  <si>
    <t>bookingEntityGroupId</t>
  </si>
  <si>
    <t>Global identifier for Booking Entity Group used by Credit Risk. This is a grouping of booking entities and usually represents a CS legal entity.</t>
  </si>
  <si>
    <t>Georgia</t>
  </si>
  <si>
    <t>Blue Seas Administration Ltd.</t>
  </si>
  <si>
    <t>Sanction List</t>
  </si>
  <si>
    <t>This represents information captured in the form of watchlists and sanctions filters which are required for trade compliance screening</t>
  </si>
  <si>
    <t>bookingEntityId</t>
  </si>
  <si>
    <t>Global identifier for Booking Entity used by Credit Risk. May represent a legal entity (mapped to the equivalent BEG) or a branch of the legal entity that the BEG it is mapped to represents.</t>
  </si>
  <si>
    <t>CST Administration (Bahamas) Limited</t>
  </si>
  <si>
    <t>Investment Strategy</t>
  </si>
  <si>
    <t>Guidelines on CS investment strategies and strategic asset allocations.This information is a core component of the whole client advisory process.</t>
  </si>
  <si>
    <t>branchCode</t>
  </si>
  <si>
    <t>Identifier of the branch of the financial institution (Bankstelle).</t>
  </si>
  <si>
    <t>Ghana</t>
  </si>
  <si>
    <t>Manex Limited</t>
  </si>
  <si>
    <t>Risk Limit</t>
  </si>
  <si>
    <t>Reference Data related to Risk Limit which is held as one or more numerical thresholds defined in relation with specific risk exposures such as Credit Risk, Market Risk or Liquidity Risk Exposures</t>
  </si>
  <si>
    <t>bumpSize</t>
  </si>
  <si>
    <t>The size of corresponding risk factor to be changed in the valuation model. It could be an array of values if there are multiple risk factors.</t>
  </si>
  <si>
    <t>Gibraltar</t>
  </si>
  <si>
    <t>ALL Fiduciary (Canada) Inc.</t>
  </si>
  <si>
    <t>Asset Servicing and Corporate Action Transactions</t>
  </si>
  <si>
    <t>Transactions used in the Asset Servicing and Corporate Action business functions to facilitate elections, the distribution of entitlements and the settlement of claims to entitlement.</t>
  </si>
  <si>
    <t>bumpType</t>
  </si>
  <si>
    <t>The type of corresponding risk factor return to be changed in the valuation model, i.e. Absolute or Relative (Proportional). It could be an array of values if there are multiple risk factors.</t>
  </si>
  <si>
    <t>Greece</t>
  </si>
  <si>
    <t>Collateral Transactions</t>
  </si>
  <si>
    <t>Assets that a lender accept as security for a loan. Assets exchanged with a counterparty to cover margin requirements.</t>
  </si>
  <si>
    <t>businessDayConvention</t>
  </si>
  <si>
    <t>Convention of adjusting dates if the date fall on a day that is not a business day, e.g. "MODFOLLOWING", "FOLLOWING".</t>
  </si>
  <si>
    <t>Greenland</t>
  </si>
  <si>
    <t>Long Term Debt Transactions</t>
  </si>
  <si>
    <t>Debit issuance e.g. issuing a Credit Suisse bond</t>
  </si>
  <si>
    <t>businessUnitCode</t>
  </si>
  <si>
    <t>A Swiss-only code that defines internal business units as persisted in the Host mainframe (This is not the same as the Swiss PeopleSoft GL business units.) This field is globally used to track the intercompany relationships amongst the internal counterparties.</t>
  </si>
  <si>
    <t>Grenada</t>
  </si>
  <si>
    <t>Outside Counsel Transactions</t>
  </si>
  <si>
    <t>Outside Counsel Transactions are transactions related to engagement of Outside Counsel services by Credit Suisse. OC is engaged due to different reasons: internal capacity bottlenecks, external specialist knowhow, bank client explicitly wishes to get OC advice, etc.</t>
  </si>
  <si>
    <t>businessUnitGroupId</t>
  </si>
  <si>
    <t>This is the ADAC Unit Id. ADAC is a grouping of business units for the delivery of data for Head Office and branches for financial and other reportings. Examples AU1952, AU1633</t>
  </si>
  <si>
    <t>Guadeloupe</t>
  </si>
  <si>
    <t>Securities Settlement Transactions</t>
  </si>
  <si>
    <t>Securities or interests in securities are delivered, usually against (in simultaneous exchange for) payment of money, to fulfil contractual obligations. Also free delivery or receipt of securities to facilitate the settlement obligations defined in Business Transactions are included.</t>
  </si>
  <si>
    <t>buySellIndicator</t>
  </si>
  <si>
    <t>Specifies whether the transaction is Buy / Sell from the perspective of CS booking entity/trading desk.</t>
  </si>
  <si>
    <t>Guam</t>
  </si>
  <si>
    <t>Micronesia</t>
  </si>
  <si>
    <t>Models and Parameters</t>
  </si>
  <si>
    <t>This represents information regarding Valuation and Risk Models and related parameters</t>
  </si>
  <si>
    <t>calculatedAvailableStableFundingValue</t>
  </si>
  <si>
    <t>The aggregate value of all the weighted availableStableFundingCategory items which then forms the NSFR numerator.</t>
  </si>
  <si>
    <t>Guatemala</t>
  </si>
  <si>
    <t>Credit Valuations</t>
  </si>
  <si>
    <t>Valuation associated with Personal loans, Commercial loans, Mortgages, Leasing transactions including corresponding interest</t>
  </si>
  <si>
    <t>calculatedRequiredStableFundingValue</t>
  </si>
  <si>
    <t>The aggregate value of all the weighted required Stable Funding Category (RSF) items (includes all assets and credit and liquidity facilities) which then forms the NSFR denominator.</t>
  </si>
  <si>
    <t>Derivative Valuations</t>
  </si>
  <si>
    <t>Valuation associated with OTC or centrally cleared derivatives transactions e.g. Options, Forwards, Futures, Swaps, Warrants, Convertible bonds</t>
  </si>
  <si>
    <t>callableFlag</t>
  </si>
  <si>
    <t>A flag to indicate if it is a call for bond with an embedded call option.</t>
  </si>
  <si>
    <t>Guinea</t>
  </si>
  <si>
    <t>Equity Valuations</t>
  </si>
  <si>
    <t>Valuation associated with secondary market trading of common stocks, preferred stocks (centrally or bilaterally cleared)</t>
  </si>
  <si>
    <t>callFrequency</t>
  </si>
  <si>
    <t>The value that shows the frequency or how often collateral requirements are re-evaluated. (Example: 1 day, 2 days, 1 month, 1 year etc.). Re-evaluation is required based on the current market value of the financial instrument for which collateral has been pledged.</t>
  </si>
  <si>
    <t>Guinea-Bissau</t>
  </si>
  <si>
    <t>Fee Valuations</t>
  </si>
  <si>
    <t>Valuation associated with contractual fees such as management fees, account fees, advisory fees, etc.</t>
  </si>
  <si>
    <t>callPutIndicator</t>
  </si>
  <si>
    <t>Indicate whether it is a call or put option</t>
  </si>
  <si>
    <t>Guyana</t>
  </si>
  <si>
    <t>Fixed Income Valuations</t>
  </si>
  <si>
    <t>Valuation associated with corporate and government debts (centrally or bilaterally cleared)</t>
  </si>
  <si>
    <t>capFloorIndicator</t>
  </si>
  <si>
    <t>Indicates whether the interest rate amount is the interest rate cap or interest rate floor.</t>
  </si>
  <si>
    <t>Haiti</t>
  </si>
  <si>
    <t>FX Valuations</t>
  </si>
  <si>
    <t>Valuation associated with conversion of one currency into another currency</t>
  </si>
  <si>
    <t>capitalBase</t>
  </si>
  <si>
    <t>Indicates the amount of Credit Suisse capital which is used for the large exposure (CNCOM) calculation.</t>
  </si>
  <si>
    <t>Heard Island and McDonald Islands</t>
  </si>
  <si>
    <t>capitalChargeWeight</t>
  </si>
  <si>
    <t>Denotes the percentage weight provided by Regulator to calculate capital charge.</t>
  </si>
  <si>
    <t>Holy See (Vatican City State)</t>
  </si>
  <si>
    <t>capitalHorizon</t>
  </si>
  <si>
    <t>Time period over which any losses arising from default and migration events should be captured within the IRC capital charge.</t>
  </si>
  <si>
    <t>Honduras</t>
  </si>
  <si>
    <t>capitalRelevantFlag</t>
  </si>
  <si>
    <t>All the Operational Risk Incidents are not relevant for calculating the Operational Risk Capital. Some incidents are filtered out while preparing the loss data set used to calculate capital. This attribute indicates if the operational risk incident is to be factored for Capital modeling purposes or not.</t>
  </si>
  <si>
    <t>Hong Kong Special Administrative Region of China</t>
  </si>
  <si>
    <t>capitalReserves</t>
  </si>
  <si>
    <t>A value indicating the amount of capital reserves (e.g., '1000'). Capital reserve is a type of account on a the firm's balance sheet that is reserved for long-term capital investment projects or other large and anticipated expenses that will be incurred in the future.</t>
  </si>
  <si>
    <t>Hungary</t>
  </si>
  <si>
    <t>capitalTier</t>
  </si>
  <si>
    <t>This attribute indicates the type of capital tier e.g. Tier 1, Tier 2, AT 1, etc to classify BFI Exposures.</t>
  </si>
  <si>
    <t>Iceland</t>
  </si>
  <si>
    <t>capitalTreatmentIndicator</t>
  </si>
  <si>
    <t>Indicator to show whether IRB, standardized, or slotting approach is applied.</t>
  </si>
  <si>
    <t>cashAccountId</t>
  </si>
  <si>
    <t>Identifier for customer cash account.</t>
  </si>
  <si>
    <t>Indonesia</t>
  </si>
  <si>
    <t>cashBalanceInAccountCCY</t>
  </si>
  <si>
    <t>The amount of money in a financial repository or account at a given point in time (value date) expressed in the original account currency. The account balance is always the net amount after factoring in all debits and credits.</t>
  </si>
  <si>
    <t>Iran (Islamique Republic of)</t>
  </si>
  <si>
    <t>cashBalanceInFunctionalCCY</t>
  </si>
  <si>
    <t>The amount of money in a financial repository or account at a given point in time (value date) expressed in the functional account currency. The account balance is always the net amount after factoring in all debits and credits.</t>
  </si>
  <si>
    <t>Iraq</t>
  </si>
  <si>
    <t>cashDeposit</t>
  </si>
  <si>
    <t>An amount or value of cash deposits or cash residing within the client's account. Cash deposits are money safe held at the firm for protective custody.</t>
  </si>
  <si>
    <t>Ireland</t>
  </si>
  <si>
    <t>cashDerivativesFlag</t>
  </si>
  <si>
    <t>A flag that indicates if a position is cash or derivatives.</t>
  </si>
  <si>
    <t>Isle of Man</t>
  </si>
  <si>
    <t>cashExposureEquivalencyFactorValue</t>
  </si>
  <si>
    <t>This refers to the value of the Cash Exposure Equivalency Factor (CEEF). The CEEF values are statistical estimation results calculated based on historical data. The CEEF value is grouped at a credit product level, where a specific product would have its own CEEF value. The CEEF reduces the nominal Exposure At Default to cash Exposure At Default. For non-cash products such as guarantees, only a certain fraction of the nominal outstandings will be converted into cash exposure in the case of default.</t>
  </si>
  <si>
    <t>Israel</t>
  </si>
  <si>
    <t>cashflowAmount</t>
  </si>
  <si>
    <t>Cash amount that has been confirmed by Operations as being paid to or received from a counterparty.</t>
  </si>
  <si>
    <t>cashflowType</t>
  </si>
  <si>
    <t>This attribute categorizes the cashflow based on the nature of transaction e.g. confirmed cash, unadvised cash, Principal, Premium, Fees, etc.</t>
  </si>
  <si>
    <t>Jamaica</t>
  </si>
  <si>
    <t>cashflowValueDate</t>
  </si>
  <si>
    <t>A legally binding date identifying when the given cash flow occurred (e.g., 31/03/2016). This determines when the transaction will appear on General Ledger balances and in reporting time buckets. The value date may also be backdated.</t>
  </si>
  <si>
    <t>cashOrGoldBullion</t>
  </si>
  <si>
    <t xml:space="preserve">Flag to determine if the asset is cash or bullion. </t>
  </si>
  <si>
    <t>Jersey</t>
  </si>
  <si>
    <t>cashSecurityFlag</t>
  </si>
  <si>
    <t>A flag to indicate whether the collateral is Cash or Security.</t>
  </si>
  <si>
    <t>Jordan</t>
  </si>
  <si>
    <t>categoryType</t>
  </si>
  <si>
    <t>A category code for the party</t>
  </si>
  <si>
    <t>Kazakhstan</t>
  </si>
  <si>
    <t>Central Asia</t>
  </si>
  <si>
    <t>CCFAppliedPC</t>
  </si>
  <si>
    <t>CCF (cash conversion factor) in %</t>
  </si>
  <si>
    <t>Kenya</t>
  </si>
  <si>
    <t>CCFSegment</t>
  </si>
  <si>
    <t>CCFSegment refers to the product groupings applicable to given CCFValue.</t>
  </si>
  <si>
    <t>Kiribati</t>
  </si>
  <si>
    <t>CCPLegType</t>
  </si>
  <si>
    <t>Indicates the leg type of CCP trades whether it is a clearning member, client or central counterparty.</t>
  </si>
  <si>
    <t>Kosovo</t>
  </si>
  <si>
    <t>CCYBPercentage</t>
  </si>
  <si>
    <t>counter cyclical buffer is computated by BMR using RWA from cluster pack report</t>
  </si>
  <si>
    <t>Kuwait</t>
  </si>
  <si>
    <t>CcyOfParticipantCountryOfIncorporation</t>
  </si>
  <si>
    <t>Currency of the country in which participant is incorporated.</t>
  </si>
  <si>
    <t>Kyrgyzstan</t>
  </si>
  <si>
    <t>CDSCltrlAmtCHF</t>
  </si>
  <si>
    <t>CHF amount of CDS collateral applicable for Equity Tranche</t>
  </si>
  <si>
    <t>Laos People's Democratic Republic</t>
  </si>
  <si>
    <t>CDSIndicator</t>
  </si>
  <si>
    <t>This indicates whether a Credit Default Swap is single name, index or swaption.</t>
  </si>
  <si>
    <t>Latvia</t>
  </si>
  <si>
    <t>CDSMtmAmtCHF</t>
  </si>
  <si>
    <t>CHF Mark to Market amount of CDS applicable for Equity Tranche</t>
  </si>
  <si>
    <t>Lebanon</t>
  </si>
  <si>
    <t>CDSNtnlAmtCHF</t>
  </si>
  <si>
    <t>CHF Notional amount of CDS applicable for Equity Tranche</t>
  </si>
  <si>
    <t>Lesotho</t>
  </si>
  <si>
    <t>CDSOrigExposureID</t>
  </si>
  <si>
    <t>Account-ID where CDS, applicable for Equity Tranche, is booked
(if n/a then e.g. 999.999.999)</t>
  </si>
  <si>
    <t>Liberia</t>
  </si>
  <si>
    <t>CDSpremium</t>
  </si>
  <si>
    <t>It is the rate or the amount paid by the buyer of the CDS to the seller of the CDS for protection against any credit event with respect to the underlying.</t>
  </si>
  <si>
    <t>Libyan Arab Jamahiriya</t>
  </si>
  <si>
    <t>CDSSpreadStandardDeviation</t>
  </si>
  <si>
    <t>It measures the standard deviation of 1 year CDS spreads over three year time period.</t>
  </si>
  <si>
    <t>Liechtenstein</t>
  </si>
  <si>
    <t>CECLimpactBeyondLPALosses</t>
  </si>
  <si>
    <t>This is an additional adjustment on LPA losses required to incorporate Current Expected Credit Loss (CECL) (to incorporate impact from switch to CECL regime).</t>
  </si>
  <si>
    <t>Lithuania</t>
  </si>
  <si>
    <t>centralCounterpartyType</t>
  </si>
  <si>
    <t>An indicator to differentiate qualifying central counterparty (CCP) and non qualifying CCP. QCCP=counterparty is a qualifying CCP, NQCCP=counterparty is a non qualifying CCP, QCM=counterparty is a clearing member that meets all qualifying conditions, PQCM=counterparty is a clearing member that does not meet loss protection condition, NQCM= counterparty is a non qualifying clearing member.</t>
  </si>
  <si>
    <t>CESmethod</t>
  </si>
  <si>
    <t>Indicator specifying whther the LGD is gross or net. SA-CCR requires netting of marketable collaterals on exposure level. Therefore, partially or fully utilizing collaterals for netting exposure requires the corresponding reduction of their coverage value in the LGD for RWA calculation (for derivative exposures under Non-Lombard ACP Model).</t>
  </si>
  <si>
    <t>Macao Special Administrative Region of China</t>
  </si>
  <si>
    <t>CFactor</t>
  </si>
  <si>
    <t>C-Factor is the risk weight applied to a bank's trade exposure to the Central Counterparty. This data is provided by the exchange.</t>
  </si>
  <si>
    <t>Macedonia, The former Yugoslav Republic of (North Macedonia)</t>
  </si>
  <si>
    <t>childFundId</t>
  </si>
  <si>
    <t xml:space="preserve">Used for linking parent fund and child fund to arrive at RW. </t>
  </si>
  <si>
    <t>Madagascar</t>
  </si>
  <si>
    <t>cleanedTotalExpenses</t>
  </si>
  <si>
    <t>The Cleaned Total Expenses are defined as Total Operating Expenses of the bank excluding any Litigation Providions and Good Impairment expenses._x000D_
Cleaned Total Expenses  = Total Operating Expenses - Litigation provisions -Goodwill impairment.</t>
  </si>
  <si>
    <t>Malawi</t>
  </si>
  <si>
    <t>clearingHouse</t>
  </si>
  <si>
    <t>This gives detail of Clearing houese where the Trade need to be be settled. E.g. “Not Cleared”,ICE Trust”,or “ICE Clear”</t>
  </si>
  <si>
    <t>Malaysia</t>
  </si>
  <si>
    <t>clientCurrentAssets</t>
  </si>
  <si>
    <t>Current assets include cash and cash equivalents, accounts receivable, inventory, marketable securities, prepaid expenses. and other liquid assets that can be readily converted to cash.</t>
  </si>
  <si>
    <t>Maldives</t>
  </si>
  <si>
    <t>clientRelationshipCode</t>
  </si>
  <si>
    <t>A code describing detailed customer relation</t>
  </si>
  <si>
    <t>Mali</t>
  </si>
  <si>
    <t>clientRevenueHaircut</t>
  </si>
  <si>
    <t>Client Revenue Haircut is the percentage by which client's revenue is reduced for the purpose of calculating capital requirement</t>
  </si>
  <si>
    <t>Malta</t>
  </si>
  <si>
    <t>clientSalesRevenuePercentage</t>
  </si>
  <si>
    <t>Fraction (%) of client sales revenue is driven by the client activity and captures the fees and commissions generated by the business.</t>
  </si>
  <si>
    <t>Marshall Islands</t>
  </si>
  <si>
    <t>clientType</t>
  </si>
  <si>
    <t>Type of client e.g. Private Customer, Private operation, Employee male or female, etc.</t>
  </si>
  <si>
    <t>Martinique</t>
  </si>
  <si>
    <t>clientTypeCode</t>
  </si>
  <si>
    <t>Type of a counterparty who the direct claim is against (direct obligor).</t>
  </si>
  <si>
    <t>Mauritania</t>
  </si>
  <si>
    <t>clientUltimateParentId</t>
  </si>
  <si>
    <t>A hierarchical party identifier that is used across Credit Suisse. The Party at each level of its hierarchy will have the same CSID, where in this case the hierarchy is at the ultimate parent level. Used as the standard client reference to index client documentation.</t>
  </si>
  <si>
    <t>Mauritius</t>
  </si>
  <si>
    <t>CLOWarehouseERCValue</t>
  </si>
  <si>
    <t>CLO ERC is the ERC value computed at 99% shock for each of the clo warehouse facility. The values are computed from the reval ladder produced from Titan which is based on the Gap Option valuation.</t>
  </si>
  <si>
    <t>Mayotte</t>
  </si>
  <si>
    <t>CMDFCValue</t>
  </si>
  <si>
    <t>Default funds, also known as clearing deposits or guaranty fund contributions (or any other names), are clearing members’ funded or unfunded contributions towards, or underwriting of, a CCP’s mutualized loss sharing arrangements.</t>
  </si>
  <si>
    <t>CNCOMCharge</t>
  </si>
  <si>
    <t>Indicates the concentration risk charge on the exposures to a particular group with large collective exposure with regards to the capital base.</t>
  </si>
  <si>
    <t>Micronesia, Federated States of</t>
  </si>
  <si>
    <t>COBDate</t>
  </si>
  <si>
    <t>The business date to which the data corresponds to.</t>
  </si>
  <si>
    <t>Monaco</t>
  </si>
  <si>
    <t>collateralAgreementId</t>
  </si>
  <si>
    <t>An identifier to uniquely identify the Credit Support Annex (CSA) under particular netting agreement when the trade is not in scope for Legal Linkage Key (LLK).</t>
  </si>
  <si>
    <t>Mongolia</t>
  </si>
  <si>
    <t>collateralAnnexLLK</t>
  </si>
  <si>
    <t>A unique identifier to identify the Credit Support Annex (CSA) between Credit Suisse Legal Entity and external counterparty, used as the Legal Linkage Key (LLK) to link up trade with the Credit Support Annex (CSA).</t>
  </si>
  <si>
    <t>Montenegro</t>
  </si>
  <si>
    <t>collateralCarrierLimitValue</t>
  </si>
  <si>
    <t>This is the collateral carrier limit value for loans. The collateral carrier limit is at the middle level of the credit limit hierarchy, which is applicable for credit frame limits. The credit limit hierarchy is split into three main levels, where the highest is called the limit carrier (plafond credit limit), middle is called the collateral carrier (credit frame limit) and lowest is called the exposure carrier (sub limit). Each lower level would roll up to a higher level.</t>
  </si>
  <si>
    <t>Montserrat</t>
  </si>
  <si>
    <t>collateralCouponAmount</t>
  </si>
  <si>
    <t>The amount of received coupon payment for collateral that generates coupon payment (for cases where there is an agreement that the collateral holder will receive and hold the coupon payment).</t>
  </si>
  <si>
    <t>Morocco</t>
  </si>
  <si>
    <t>collateralCurrency</t>
  </si>
  <si>
    <t>The ISO currency code for which the collateral value is denominated in.</t>
  </si>
  <si>
    <t>Mozambique</t>
  </si>
  <si>
    <t>collateralDate</t>
  </si>
  <si>
    <t>The date that the collateral is received or pledged.</t>
  </si>
  <si>
    <t>Myanmar</t>
  </si>
  <si>
    <t>collateralEligibilityFlag</t>
  </si>
  <si>
    <t>A flag to identify whether the collateral is eligible for netting as well as to be used to offset OTC Derivatives exposure for Risk Weighted Average (RWA) purposes.</t>
  </si>
  <si>
    <t>Namibia</t>
  </si>
  <si>
    <t>collateralEnforceableProducts</t>
  </si>
  <si>
    <t>This captures the list of collateral enforceable products.</t>
  </si>
  <si>
    <t>Nauru</t>
  </si>
  <si>
    <t>collateralId</t>
  </si>
  <si>
    <t>The unique identifier for collateral.</t>
  </si>
  <si>
    <t>Nepal</t>
  </si>
  <si>
    <t>collateralizationMultiplier</t>
  </si>
  <si>
    <t>Over collateraliation multiplier - a funciton of Aggergate AddOn, Net Collateral value and Net MTM - applied to reduce the overall PFE AddOn to factor in over collateraliatrion if any or negative MTM</t>
  </si>
  <si>
    <t>Netherlands</t>
  </si>
  <si>
    <t>collateralizedLoanObligationERCvalue</t>
  </si>
  <si>
    <t>This is the Economic Risk Capital (ERC) value for CLO calculated during times of stress. It captures the worst case change in fair value of assets over a one year horizon associated with a change in the required yield of the assets.</t>
  </si>
  <si>
    <t>Netherlands Antilles</t>
  </si>
  <si>
    <t>collateralMaturityDate</t>
  </si>
  <si>
    <t>The last date the pledged/received asset can be used as collateral.</t>
  </si>
  <si>
    <t>New Caledonia</t>
  </si>
  <si>
    <t>collateralPostingEligibilityFlag</t>
  </si>
  <si>
    <t>Flag to identify which party can post collateral.</t>
  </si>
  <si>
    <t>collateralPrice</t>
  </si>
  <si>
    <t>Market price per unit of security serving as collateral.</t>
  </si>
  <si>
    <t>Nicaragua</t>
  </si>
  <si>
    <t>collateralQuantity</t>
  </si>
  <si>
    <t>Quantity of collateral that is posted or received.</t>
  </si>
  <si>
    <t>Niger</t>
  </si>
  <si>
    <t>collateralRecordIndicator</t>
  </si>
  <si>
    <t>Indicates whether the collateral is held or post/pledged by Credit Suisse. If the collateral is held by Credit Suisse, it can be self-pledged or third-party pledged by the client to Credit Suisse.</t>
  </si>
  <si>
    <t>Nigeria</t>
  </si>
  <si>
    <t>collateralSubType</t>
  </si>
  <si>
    <t>It denotes the granular level of collateral received/pledged from/to client or counterparty.</t>
  </si>
  <si>
    <t>Niue</t>
  </si>
  <si>
    <t>collateralType</t>
  </si>
  <si>
    <t>This attribute indicates nature of the collateral such as cash, securities government, securities other, commercial mortgage, residential mortgage buy-to-let, residential mortgage owner occupied, others. It can be represented by a code or type of collateral.</t>
  </si>
  <si>
    <t>Norfolk Island</t>
  </si>
  <si>
    <t>collateralValue</t>
  </si>
  <si>
    <t>The fair value or nominal cash value of the collateral in USD at reporting date.</t>
  </si>
  <si>
    <t>Northern Mariana Islands</t>
  </si>
  <si>
    <t>commercialLoanERCvalue</t>
  </si>
  <si>
    <t>This is the Economic Risk Capital (ERC) value for CRE Loan calculated during times of stress. It captures the worst case change in fair value of assets over a one year horizon associated with a change in the required yield of the assets.</t>
  </si>
  <si>
    <t>Norway</t>
  </si>
  <si>
    <t>commissionExpenseSavingsValue</t>
  </si>
  <si>
    <t>It is defined under the accrual basis of accounting, when a sale is generated by the salesperson, an expense and an offsetting liability for a commission of the sale should be recorded in the same period.  The amount of commission is calculated after this adjustment.</t>
  </si>
  <si>
    <t>Occupied Palestinian Territory</t>
  </si>
  <si>
    <t>commitmentType</t>
  </si>
  <si>
    <t>Indicates if the Credit frame is revocable or Irrevocable. Values 0,1 and 2 represents the credit frame as Not committed, CS declaration of subordinated credit and Credit committed respectively.</t>
  </si>
  <si>
    <t>Oman</t>
  </si>
  <si>
    <t>committedOrUncommittedFacility</t>
  </si>
  <si>
    <t>An indicator showing whether a given facility has either a Trade Date or a Settled Date position.</t>
  </si>
  <si>
    <t>Pakistan</t>
  </si>
  <si>
    <t>CommodityClass</t>
  </si>
  <si>
    <t>Commodity class derived from commodity subclass represents hedging set within the asset class for appropriately offsetting long/short commodity trades.</t>
  </si>
  <si>
    <t>Palau</t>
  </si>
  <si>
    <t>commodityCurveId</t>
  </si>
  <si>
    <t>An identifier of a commodity curve which is used for trading, valuation and risk management.</t>
  </si>
  <si>
    <t>Panama</t>
  </si>
  <si>
    <t>commodityId</t>
  </si>
  <si>
    <t>An identifier of a benchmark of a commodity underlying to identify a time series.</t>
  </si>
  <si>
    <t>Papua New Guinea</t>
  </si>
  <si>
    <t>commoditySubClass</t>
  </si>
  <si>
    <t>SubClass of Commodity, which has the following categories: (i) Metal (ii) Electricity, (iii) Oil/Gas (iv) Agriculture and (v) Other.</t>
  </si>
  <si>
    <t>Paraguay</t>
  </si>
  <si>
    <t>componentId</t>
  </si>
  <si>
    <t>Identifier for the component of a trade. For example, the identifier of the pay or receive leg of a swap, or identifier of the component of a basket trade</t>
  </si>
  <si>
    <t>Peru</t>
  </si>
  <si>
    <t>conditionalIndicator</t>
  </si>
  <si>
    <t>Indicate whether a underlying security is Conditional or Unconditional based on their issuer type. Typically the indicator will decide the haircut for EAD &amp; RWA calculation.</t>
  </si>
  <si>
    <t>Philippines</t>
  </si>
  <si>
    <t>confidenceLevel</t>
  </si>
  <si>
    <t>Confidence level is the probability based on which the maximum loss of a portfolio is estimated over a given holding period.</t>
  </si>
  <si>
    <t>Pitcairn</t>
  </si>
  <si>
    <t>constituentWeight</t>
  </si>
  <si>
    <t>The weight of the constituents in an index/ basket The constituent is a security as part of a larger index.</t>
  </si>
  <si>
    <t>contingentDealDropDeadDate</t>
  </si>
  <si>
    <t>Expected end date of the contingent deal (as merger, acquisition, arbitrage, FX risk, hedges), which is normally the same date as M&amp;A event date.</t>
  </si>
  <si>
    <t>Portugal</t>
  </si>
  <si>
    <t>contingentDealHedgeId</t>
  </si>
  <si>
    <t>Trade ID of the hedges to be calculated along with its corresponding contingent deal.</t>
  </si>
  <si>
    <t>Puerto Rico</t>
  </si>
  <si>
    <t>contingentDealHedgeIndicator</t>
  </si>
  <si>
    <t>An Indicator to identify whether this contigent deal is being hedged or not.</t>
  </si>
  <si>
    <t>contingentDealId</t>
  </si>
  <si>
    <t>A unique contingent deal identifier used for grouping all the hedges in a contingent deal.</t>
  </si>
  <si>
    <t>Republic of Korea</t>
  </si>
  <si>
    <t>contingentDealStartDate</t>
  </si>
  <si>
    <t>The start date of the contingent part of the deal.</t>
  </si>
  <si>
    <t>Republic of Moldova</t>
  </si>
  <si>
    <t>contractAmt</t>
  </si>
  <si>
    <t>Contract amount, what the bank has to pay at initiation.</t>
  </si>
  <si>
    <t>Réunion</t>
  </si>
  <si>
    <t>contractEndDate</t>
  </si>
  <si>
    <t>Contract end date is the date at which the contract of a banking product is due (will be settled or repaid).</t>
  </si>
  <si>
    <t>Romania</t>
  </si>
  <si>
    <t>contractId</t>
  </si>
  <si>
    <t>Contact ID is the identification number of a contract concluded by the Bank with a Party.</t>
  </si>
  <si>
    <t>contractLimitAmount</t>
  </si>
  <si>
    <t>This is the orginal value of contract. When netted with amortization, what remains is engagement value.</t>
  </si>
  <si>
    <t>Rwanda</t>
  </si>
  <si>
    <t>contractSize</t>
  </si>
  <si>
    <t>The units of the underlying instrument represented in a future, option or secured financing contract as described in the contract specifications.</t>
  </si>
  <si>
    <t xml:space="preserve">Saint Barthélemy </t>
  </si>
  <si>
    <t>contractStartDate</t>
  </si>
  <si>
    <t>Contract start date is the date at which a contract or trade/event is effective .</t>
  </si>
  <si>
    <t>Saint Helena</t>
  </si>
  <si>
    <t>contractualRecoveryRate</t>
  </si>
  <si>
    <t>Fixed recovery rate for the Recovery swaps where it will be swapped with the real recovery rate following a credit event of the reference entity.</t>
  </si>
  <si>
    <t>Saint Kitts and Nevis</t>
  </si>
  <si>
    <t>conversionRatio</t>
  </si>
  <si>
    <t>An exchange ratio from one underlying to the other which is used in some specific products (convertible security e.g. Convertible bonds/Preference Shares/Warrants.) or specific events (e.g. M&amp;A).</t>
  </si>
  <si>
    <t>Saint Lucia</t>
  </si>
  <si>
    <t>corporateRetailCode</t>
  </si>
  <si>
    <t xml:space="preserve">The attribute is used to determine the RWA formula (CORP/Retail)  to be applied on loans portfolio </t>
  </si>
  <si>
    <t>Saint Martin (French part)</t>
  </si>
  <si>
    <t>correlationCoefficient</t>
  </si>
  <si>
    <t>The correlation coefficient captures the relationship (or co-dependence) between two variables</t>
  </si>
  <si>
    <t>Saint Pierre and Miquelon</t>
  </si>
  <si>
    <t>correlationTradingIndicator</t>
  </si>
  <si>
    <t>This indicates if a position relates to a correlated trading portfolio.</t>
  </si>
  <si>
    <t>Saint Vincent and the Grenadines</t>
  </si>
  <si>
    <t>correlationVariable</t>
  </si>
  <si>
    <t>The correlation variable defines the name of the data set being used for deriving correlation.</t>
  </si>
  <si>
    <t>Samoa</t>
  </si>
  <si>
    <t>counterpartyDefaultLossValue</t>
  </si>
  <si>
    <t>The counterpartyDefaultLossValue refers to a counterparty loss under a scenario calculation, assuming an instantaneous and unexpected default of the selected counterparty</t>
  </si>
  <si>
    <t>San Marino</t>
  </si>
  <si>
    <t>counterpartyId</t>
  </si>
  <si>
    <t>A global strategic identifier to uniquely identify a counterparty. Unique to counterparty level (i.e. unlike CSID, a counterparty that exists at mutliple levels will have a unique CounterpartyId for each).</t>
  </si>
  <si>
    <t>Sao Tome and Principe</t>
  </si>
  <si>
    <t>counterpartyLongName</t>
  </si>
  <si>
    <t>Reflect the full name of the counterparty. E.g.  GOLDMAN SACHS INTERNATIONAL</t>
  </si>
  <si>
    <t>counterpartyParentId</t>
  </si>
  <si>
    <t>A global strategic identifier to uniquely identify a different counterparty's parent.</t>
  </si>
  <si>
    <t>Senegal</t>
  </si>
  <si>
    <t>counterpartyThresholdAmount</t>
  </si>
  <si>
    <t>The amount of unsecured credit exposure that a counterparty is willing to bear before collateral is required.</t>
  </si>
  <si>
    <t>Serbia</t>
  </si>
  <si>
    <t>counterpartyUltimateParentId</t>
  </si>
  <si>
    <t>The global identification code for the counterparty's ultimate parent.</t>
  </si>
  <si>
    <t>Serbia and Montenegro</t>
  </si>
  <si>
    <t>countryISOCode</t>
  </si>
  <si>
    <t>Global identifier for country as per ISO 3166-1 alpha-2 standard.</t>
  </si>
  <si>
    <t>Seychelles</t>
  </si>
  <si>
    <t>countryOfDomicile</t>
  </si>
  <si>
    <t>The country may be the residence country for natural persons, or the registered country for legal entities.</t>
  </si>
  <si>
    <t>Sierra Leone</t>
  </si>
  <si>
    <t>countryOfIncorporation</t>
  </si>
  <si>
    <t>The country in which a legal entity was incorporated according to the applicable commercial register.</t>
  </si>
  <si>
    <t>countryOfListing</t>
  </si>
  <si>
    <t>The ISO country code that the instrument is listed in.</t>
  </si>
  <si>
    <t>Sint Maarten</t>
  </si>
  <si>
    <t>countryOfResidence</t>
  </si>
  <si>
    <t>The country of residence for natural persons is intended as the country where one habitually lives for a period of time. This should not be confused with the concept of Country of Domicile. A residence is generally transient in its nature however it becomes a domicile when it is taken up animo manendi (“with the intention of remaining there for an unlimited period”). It’s also to be noted that a natural person can have multiple residences but only one domicile. For the complete definition of country of domicile please refer to the relevant entry in this glossary.</t>
  </si>
  <si>
    <t>Slovakia</t>
  </si>
  <si>
    <t>countryOfRisk</t>
  </si>
  <si>
    <t>The ISO code representing the country where a political or macro-economic event is most likely to lead to losses for a particular counterparty or applicable transaction (e.g. lending against collateral)</t>
  </si>
  <si>
    <t>Slovenia</t>
  </si>
  <si>
    <t>countryRiskClassification</t>
  </si>
  <si>
    <t>An indicator issued by OECD (Organization for Economic Co-operation and Development) to reflect country risk, which is composed of transfer and convertibility risk (i.e. The risk a government imposes capital or exchange controls that prevent an entity from converting local currency into foreign currency and/or transferring funds to creditors located outside the country) and cases of force majeure (e.g. war, expropriation, revolution, civil disturbance, floods, earthquakes).</t>
  </si>
  <si>
    <t>Solomon Islands</t>
  </si>
  <si>
    <t>creditClass</t>
  </si>
  <si>
    <t>A credit classification assigned to the reference entity based on the nature of its creditworthiness. For example, based on credit rating (e.g. Investment Grade, High Yield or Distressed) or the type of issuing authority (e.g. Sovereign; Semi Sovereign or Agency).</t>
  </si>
  <si>
    <t>Somalia</t>
  </si>
  <si>
    <t>creditCurveId</t>
  </si>
  <si>
    <t>An identifier of a credit curve indicating the spread over the risk free rate curve</t>
  </si>
  <si>
    <t>South Africa</t>
  </si>
  <si>
    <t>creditERCValue</t>
  </si>
  <si>
    <t>The value of credit ERC.</t>
  </si>
  <si>
    <t>South Georgia and the South Sandwich Islands</t>
  </si>
  <si>
    <t>creditEvent</t>
  </si>
  <si>
    <t>Events that triggers defaults. This includes: Bankruptcy, Failure to Pay, Restructuring and Repudiation/Moratorium.</t>
  </si>
  <si>
    <t>South Sudan</t>
  </si>
  <si>
    <t>creditGroupCode</t>
  </si>
  <si>
    <t>It is the grouping of a given credit and/or account aka facility based on credit product type, account type code and/or credit use type code.</t>
  </si>
  <si>
    <t>creditHierarchyLevel</t>
  </si>
  <si>
    <t>It indicates the type of a given credit facility by hierarchy such as single credit, plafond credit, frame credit or sub limit.</t>
  </si>
  <si>
    <t>Sri Lanka</t>
  </si>
  <si>
    <t>creditLimitAmount</t>
  </si>
  <si>
    <t>For lines of credit, this is the total credit line that is currently available to the borrower. A line of credit is an arrangement between a bank and a borrower that states the maximum loan balance that the borrower can access.</t>
  </si>
  <si>
    <t>Sudan</t>
  </si>
  <si>
    <t>creditLineTypeId</t>
  </si>
  <si>
    <t>The 3 character credit line type ID which indicates the nature of the credit line CS has extended to the counterparty by underlying products.</t>
  </si>
  <si>
    <t>Suriname</t>
  </si>
  <si>
    <t>creditMarkCd</t>
  </si>
  <si>
    <t xml:space="preserve">Type of credit feature CID Level D
Identifies sold loans for Columbo reclassifcation
</t>
  </si>
  <si>
    <t>Svalbard and Jan Mayen Islands</t>
  </si>
  <si>
    <t>creditProductSubTypeCode</t>
  </si>
  <si>
    <t>This is a standard product hierarchy use within Credit Suisse, to identify the product group based on the type of transaction (e.g. IRS). This is the 2nd level of the hierarchy and rolls up to productTypeCode. It is applied as data is consumed by credit risk systems.</t>
  </si>
  <si>
    <t>Swaziland (Eswatini)</t>
  </si>
  <si>
    <t>creditProductTypeCode</t>
  </si>
  <si>
    <t>This is a standard product hierarchy applied used to identify the product group based on the asset classes, structure and other features. This is the first level in the hierarchy and is applied as data is consumed by credit risk systems.</t>
  </si>
  <si>
    <t>Sweden</t>
  </si>
  <si>
    <t>creditProvisionValue</t>
  </si>
  <si>
    <t>The value of the credit provision by the bank to the counterparty. General Credit Provision is the level of loan allowance to account for inherent credit losses probable at the time of financial statement calculated on non-impaired accrual loans. This is calculated on portfolio of commercial loans. The FAS 5 reserve is given by: FAS 5 = PD * LGD * EAD * Loss Emergence Period._x000D_
Specific Credit Provision is the level of loan allowance to account for inherent credit losses probable at the time of financial statement calculated on impaired accrual loans. It is based on the US GAAP FASB Statement No. 114 (Accounting by Creditors for Impairment of Loans).</t>
  </si>
  <si>
    <t>creditPurposeCode</t>
  </si>
  <si>
    <t>A code that identifies the purpose of credit.</t>
  </si>
  <si>
    <t>Syrian Arab Republic</t>
  </si>
  <si>
    <t>creditQualityStep</t>
  </si>
  <si>
    <t>Institution Credit Quality Step (CQS) value to represent the credit quality, represented by nine ascending numbers with 1 represents the highest credit quality, 8 (or 98) represents the lowest credit quality and 9 (or 99) represents that there is no rating.</t>
  </si>
  <si>
    <t>creditRating</t>
  </si>
  <si>
    <t>A credit rating is an evaluation of the credit worthiness of a debtor (a business (company) or a government) predicting the debtor's ability to pay back the debt; it thus forecasts implicitly the likelihood of the debtor's default. The credit rating represents the evaluation of the credit rating agency of qualitative and quantitative information for the debtor; including non-public information obtained by the credit rating agencies' analysts.</t>
  </si>
  <si>
    <t>Tajikistan</t>
  </si>
  <si>
    <t>creditRatingAgency</t>
  </si>
  <si>
    <t>A credit rating agency (CRA, also called a ratings service) is a company that assigns credit ratings, which rate a debtor's ability to pay back debt by making timely interest payments and the likelihood of default. An agency may rate the creditworthiness of issuers of debt obligations, of debt instruments, and in some cases, of the servicers of the underlying debt, but not of individual consumers. E.g. Moody's, Fitch, S&amp;P</t>
  </si>
  <si>
    <t>Tanzania, United Republic of</t>
  </si>
  <si>
    <t>creditRatingDate</t>
  </si>
  <si>
    <t>The date which the credit rating is assigned by the credit rating agency.</t>
  </si>
  <si>
    <t>Thailand</t>
  </si>
  <si>
    <t>creditRatingType</t>
  </si>
  <si>
    <t>The type of credit rating e.g. Country Ceiling ST FC Bank Deposit Rating.</t>
  </si>
  <si>
    <t>Timor-Leste</t>
  </si>
  <si>
    <t>creditRelationshipCode</t>
  </si>
  <si>
    <t>It shows relation of one credit facility with another credit facility. Such relationship can be credit linked to a frame credit, credit linked to a plafond credit, credit replaces credit, credit extension and export loan hierarchy.</t>
  </si>
  <si>
    <t>Togo</t>
  </si>
  <si>
    <t>creditRiskFlag</t>
  </si>
  <si>
    <t>Credit-related losses are not considered relevant to Operational Risk capital modelling. This flag indicates if the operational risk incident is related to credit risk.</t>
  </si>
  <si>
    <t>Tokelau</t>
  </si>
  <si>
    <t>creditRiskRWAValue</t>
  </si>
  <si>
    <t>creditRiskRWAValue refers to the value of a group's exposures arising due to credit risk when weighted according to compliance with regulatory authority.</t>
  </si>
  <si>
    <t>Tonga</t>
  </si>
  <si>
    <t>creditRiskStressRWAValue</t>
  </si>
  <si>
    <t>The amount of predicted level of Credit Risk RWA following a defined period of economic stress.</t>
  </si>
  <si>
    <t>Trinidad and Tobago</t>
  </si>
  <si>
    <t>creditSpreadParameters</t>
  </si>
  <si>
    <t>Static parameters to obtain average credit spread and multiplier for a given rating and segment used in IRC migration risk calculation.</t>
  </si>
  <si>
    <t>Tunisia</t>
  </si>
  <si>
    <t>creditUseCode</t>
  </si>
  <si>
    <t>It denotes the high level category for which a given credit and/or account aka facility is being used by a given client.</t>
  </si>
  <si>
    <t>Turkey</t>
  </si>
  <si>
    <t>CSAdditionalCollateralPosted</t>
  </si>
  <si>
    <t>Additional collateral to be posted by CS under collateral agreements within downgrade trigger clause, in circumstances where CS' credit rating is dropped 3 levels.</t>
  </si>
  <si>
    <t>Turkmenistan</t>
  </si>
  <si>
    <t>CSAEnforcementFlag</t>
  </si>
  <si>
    <t>A flag to indicate whether a CSA (Credit Support Annex) is enforceable, where Credit Support Annex is an annexure under ISDA Master Agreement and documenting the rules governing the mutual posting of collateral between 2 parties, such as MTA, threshold, types of instruments to use as collateral, frequency of posting collateral.</t>
  </si>
  <si>
    <t>Turks and Caicos Islands</t>
  </si>
  <si>
    <t>CSARegulationIndicator</t>
  </si>
  <si>
    <t>Indicates if the agreement is a legacy agreement or a regulated agreement and within that also if it is an Initial Margin or a Variation Margin agreement. All agreements initiated post 1st Sept. 2016 would be classified as "Regulated" indicating complied with BCBS -IOSCO.</t>
  </si>
  <si>
    <t>Tuvalu</t>
  </si>
  <si>
    <t>CSID</t>
  </si>
  <si>
    <t>A hierarchical party identifier that used across Credit Suisse. The Party at each level of its hierarchy will have the same CSID. Used as the standard client reference to index client documentation. </t>
  </si>
  <si>
    <t>Uganda</t>
  </si>
  <si>
    <t>CSOwnIssuanceFlag</t>
  </si>
  <si>
    <t>A flag to indicate whether a security is issued by Credit Suisse. A security is a financial instrument that represents some type of financial value, usually in the form of a stock, bond, or option.</t>
  </si>
  <si>
    <t>Ukraine</t>
  </si>
  <si>
    <t>CSSubScenario</t>
  </si>
  <si>
    <t>Credit Suisse follows 7 scenarios aligned to Basel Event Lines across which Operational Risk Incidents are categorised. Each of these 7 scenario has further breakdown (called Sub Scenario) which is also mentioned in Operational Risk Register. This field captures the sub scenario to which an incident can be mapped to.</t>
  </si>
  <si>
    <t>United Arab Emirates</t>
  </si>
  <si>
    <t>CSThresholdAmount</t>
  </si>
  <si>
    <t>The amount of unsecured credit exposure that CS is willing to bear before collateral is required.</t>
  </si>
  <si>
    <t>United Kingdom of Great Britain and Northern Ireland</t>
  </si>
  <si>
    <t>cumulativeLossAmount</t>
  </si>
  <si>
    <t>Cumulative loss amount is the aggregated amount of operational risk incidents which are less than the Individual Incident Tolerance Level as per ERCF Risk Appetite Policy - P-01412.</t>
  </si>
  <si>
    <t>United States Minor Outlying Islands</t>
  </si>
  <si>
    <t>currencyCode</t>
  </si>
  <si>
    <t>International Organization for Standardization (ISO) currency code for each value/record such as Notional, Fee, Deal, Leg, Facility, PV,Position,Principle.</t>
  </si>
  <si>
    <t>United States of America</t>
  </si>
  <si>
    <t>currencyLambdaAdjustment</t>
  </si>
  <si>
    <t>Currency lambda adjusment - currently sourced from MDS - is used in adjustment of strike and forward prices of Interest Rate options in case of negative interest rate scenarios.</t>
  </si>
  <si>
    <t>United States Virgin Islands</t>
  </si>
  <si>
    <t>currencyOfListing</t>
  </si>
  <si>
    <t>The ISO currency which the instrument is listed with.</t>
  </si>
  <si>
    <t>Uruguay</t>
  </si>
  <si>
    <t>currencyPair</t>
  </si>
  <si>
    <t>The pair in which two currencies are traded in the foreign exchange market against one another. Currency pair are the underlyings of an exchange rate which represents the value of one currency in comparison to another currency. E.g. a currency pair EUR/JPY = 112 implies that the exchange rate of EUR against JPY is 112 i.e. 1 EUR = 112 JPY.</t>
  </si>
  <si>
    <t>Uzbekistan</t>
  </si>
  <si>
    <t>currentCreditBureauScore</t>
  </si>
  <si>
    <t>The current credit score of the borrower using a commercially available credit bureau score.</t>
  </si>
  <si>
    <t>Vanuatu</t>
  </si>
  <si>
    <t>currentExposureValue</t>
  </si>
  <si>
    <t>The current exposure value refers to the mark to market value of trades resulting from various exposure calculation models.</t>
  </si>
  <si>
    <t>Venezuela</t>
  </si>
  <si>
    <t>currentIRCRating</t>
  </si>
  <si>
    <t>An indicator denoting the current Incremental Risk Charge (IRC) rating used as a base to determine where the specified credit will migrate from (e.g., AAA). The IRC is an estimate of default and migration risk of unsecuritized credit products in the trading book.</t>
  </si>
  <si>
    <t>Vietnam</t>
  </si>
  <si>
    <t>currentMonthExposure</t>
  </si>
  <si>
    <t>Indicates the Net Exposure of Current Month which can be post exclusion of Volcker adjustment.</t>
  </si>
  <si>
    <t>Wallis and Futuna Islands</t>
  </si>
  <si>
    <t>currTempResidualValue</t>
  </si>
  <si>
    <t>Current residual value of the leasing object.</t>
  </si>
  <si>
    <t>Western Sahara</t>
  </si>
  <si>
    <t>curveId</t>
  </si>
  <si>
    <t>The curve id of the forecast curve (aka underlying curve) for interest earned on the posted collateral.</t>
  </si>
  <si>
    <t>Yemen</t>
  </si>
  <si>
    <t>curveIdType</t>
  </si>
  <si>
    <t>The class of curve id of collateralized discount curve.</t>
  </si>
  <si>
    <t>Zambia</t>
  </si>
  <si>
    <t>curveIndex</t>
  </si>
  <si>
    <t>The underlying index of forecast curve (aka underlying curve) used in the valuation, e.g. LIBOR, MIBOR and TIBOR.</t>
  </si>
  <si>
    <t>Zimbabwe</t>
  </si>
  <si>
    <t>curveTenor</t>
  </si>
  <si>
    <t>The coupon tenor of the forecast curve (aka underlying curve) used in the valuation, e.g. 1D, 1M, 3M, 6M and 12M. </t>
  </si>
  <si>
    <t>curveType</t>
  </si>
  <si>
    <t>The type of yield curve used for pricing, and it indicates the pricing curve is either a forecast curve (aka underlying curve), discount curve or discount curve with collateral in the valuation.</t>
  </si>
  <si>
    <t>custodianBIC</t>
  </si>
  <si>
    <t>BIC identifier for collateral which which is held or pledged with a custodian</t>
  </si>
  <si>
    <t>customerAccountId</t>
  </si>
  <si>
    <t>Identifier for customer account</t>
  </si>
  <si>
    <t>customerOfficeId</t>
  </si>
  <si>
    <t>The CS organizational unit the responsible Relationship Manager of the client is allocated to.</t>
  </si>
  <si>
    <t>customerTurnover</t>
  </si>
  <si>
    <t>Customer turnover is to measure the revenue per customer, which the customer's company generates on a yearly basis.</t>
  </si>
  <si>
    <t>customerTypeCode</t>
  </si>
  <si>
    <t>Code classifying Client Type such as 111 for Private Customer (Male), 201 for Sole Trader etc.</t>
  </si>
  <si>
    <t>CVAVaRValue</t>
  </si>
  <si>
    <t>VaR value of CVA (Credit Value Adjustment) risk which is a risk of adjustment to the fair value of derivative instruments to account for CCR (Counterparty Credit Risk).</t>
  </si>
  <si>
    <t>CVAVaRValueCurrency</t>
  </si>
  <si>
    <t>The currency in which the CVA VaR value is expressed.</t>
  </si>
  <si>
    <t>DARCalculationMethod</t>
  </si>
  <si>
    <t>Identifies the methodology to calculate DAR based on productsub type.</t>
  </si>
  <si>
    <t>DARValue</t>
  </si>
  <si>
    <t>Default At Risk (DAR) value is the loss amount assigned to individual positions in the event of default.</t>
  </si>
  <si>
    <t>dateOfDefault</t>
  </si>
  <si>
    <t>Denotes the date of default of the issue.</t>
  </si>
  <si>
    <t>dealBreakupProbability</t>
  </si>
  <si>
    <t>The probability that an announced merger cannot be successfully completed.</t>
  </si>
  <si>
    <t>dealClassificationType</t>
  </si>
  <si>
    <t>Deal description e.g. Par Loan Trading, Distressed, Prop, Bridge Financing, Warehousing, Syndicated, Sub-Participated.</t>
  </si>
  <si>
    <t>dealerOffshoreFlag</t>
  </si>
  <si>
    <t xml:space="preserve">To identify whether debt issuance is issued offshore based on dealer location. </t>
  </si>
  <si>
    <t>dealStage</t>
  </si>
  <si>
    <t>The current stage of a given leverage finance deal (e.g. XXXX, YYYY, ZZZZ)</t>
  </si>
  <si>
    <t>debtPriorityClass</t>
  </si>
  <si>
    <t>Priority level of a debt to claim of the underlying in the event of default.</t>
  </si>
  <si>
    <t>debtTypeSeniority</t>
  </si>
  <si>
    <t>This explain what kind of debt it is like Senior,Policy etc</t>
  </si>
  <si>
    <t>decayFactor</t>
  </si>
  <si>
    <t>Factor to determine the rate of decay of Defaulted position.</t>
  </si>
  <si>
    <t>DECBDivisionalAllocationKey</t>
  </si>
  <si>
    <t>Allocation key (net obligation %) which is used to allocate final DECB risk value to different divisions.</t>
  </si>
  <si>
    <t>decompStatus</t>
  </si>
  <si>
    <t>Used to differentiate between a parent index position and its constituent positions. The status of constituent positions is always set to 'C', while the status of parent position is set to 'I&lt;N&gt;' where N = 1, 2, 3, …, 9 depending on the level at which decomposition has happened during recursive decomposition. For example, if an index within an index is further decomposed then its status will be set to 'I2' while the status of the parent index will be 'I1'.</t>
  </si>
  <si>
    <t>defaultCCFValue</t>
  </si>
  <si>
    <t>DefaultCCFValue is a percentage of the undrawn portion of the commitment amount that is expected to be drawn by the time the counterparty defaults.</t>
  </si>
  <si>
    <t>defaultedInterestAdjustmentValue</t>
  </si>
  <si>
    <t>This refers to the interest adjustments required when clients cannot pay the interests on the loan. This is adjusted to the value of the outstanding interest amount that the client cannot pay.</t>
  </si>
  <si>
    <t>defaultedLoanCapitalAdjustmentValue</t>
  </si>
  <si>
    <t>This refers to the capital adjustments required for in-default positions where the client cannot repay the loan. It adjusts the value of the loan.
The ISO currency code for the CSFB reporting currency. This is the currency used to enable a rollup of all CSFB entities for global reporting purposes. From BMS: Reporting currency of the Legal Entity. The currency used for financial reporting, especially external reporting. Sourced from Customer master service. It is dependent on Business Unit code and will be automatically populated.</t>
  </si>
  <si>
    <t>defaultRiskERCValue</t>
  </si>
  <si>
    <t>The counterparty default risk of bonds and fixed income funds positions specific to pension fund assets.</t>
  </si>
  <si>
    <t>deferredAwardExpensePercentage</t>
  </si>
  <si>
    <t>for each division it gives how the deferred award is split between PSA, CCA and Phantom shares.</t>
  </si>
  <si>
    <t>deferredAwardExpenseRecognition</t>
  </si>
  <si>
    <t>This gives the percentage expense recognised in each of the year during vesting period for PSA, CCA and Phantom shares.</t>
  </si>
  <si>
    <t>deferredEquityCompensationBenefitValue</t>
  </si>
  <si>
    <t>The value of deferred equity compensation benefit.</t>
  </si>
  <si>
    <t>delcredereOfficeId</t>
  </si>
  <si>
    <t>The organisational unit performing the credit analysis of the client.</t>
  </si>
  <si>
    <t>deliveryConditionCode</t>
  </si>
  <si>
    <t>Specifies the method of payment for the trade. Possible values are FreeOfPayment or DeliveryVersusPayment</t>
  </si>
  <si>
    <t>deliverySegment</t>
  </si>
  <si>
    <t>The time to delivery segment to which the exposure should be mapped.</t>
  </si>
  <si>
    <t>DeltaEVEValue</t>
  </si>
  <si>
    <t>Potential loss of Delta Economic Value of Equity (EVE) under stressed scenarios for Interest Rate Risk in the Banking Book (IRRBB).</t>
  </si>
  <si>
    <t>DeltaEVEValueCurrency</t>
  </si>
  <si>
    <t>The currency in which the Delta EVE value is expressed.</t>
  </si>
  <si>
    <t>deminimisCapitalCharge</t>
  </si>
  <si>
    <t xml:space="preserve">The absolute value of the fair value of those de minimis exposures that are not captured in the [BANK]’s VaR-based measure and - With the prior written approval of the [AGENCY], the capital requirement for any de minimis exposures using alternative techniques that appropriately measure the market risk associated with those exposures. </t>
  </si>
  <si>
    <t>deminimisRWAValue</t>
  </si>
  <si>
    <t>Deminimis RWA value based on DeMinimis Capital Charge provided by MLRM.</t>
  </si>
  <si>
    <t>derivativesCEMEADValue</t>
  </si>
  <si>
    <t>Refers to the value of exposures, calculated using the Current Exposure Method (CEM), that a party would bear if its counterparty fails to fulfil its obligations in an over-the-counter (OTC) derivatives or exchange traded derivatives (ETD) contract.</t>
  </si>
  <si>
    <t>derivativesIMMEADValue</t>
  </si>
  <si>
    <t>derivativesIMMEADValue refers to the value of exposures, calculated using the Internal Model Method (IMM), that a party would bear if its counterparty fails to fulfil its obligations in an over-the-counter (OTC) derivatives or exchange traded derivatives (ETD) contract.</t>
  </si>
  <si>
    <t>deskCode</t>
  </si>
  <si>
    <t>Name of the desk (trade group) that the book is associated with.</t>
  </si>
  <si>
    <t>detachmentPoint</t>
  </si>
  <si>
    <t>The position of the tranche in the deal structure where credit losses result in a complete loss of principal. The detachment point is expressed as a percentage, and is calculated by adding the attachment point and the thickness of the tranche. The thickness of the tranche is calculated by dividing the dollar value of tranche and all positions at same rate with it by the value of underlying pool exposures. Note: This point may change over time as losses, prepayments, and overcollateralization alter the total deal structure.</t>
  </si>
  <si>
    <t>detectionDate</t>
  </si>
  <si>
    <t>The date on which the operational risk incident was first detected by an internal party or brought to attention by an external party, before the commencement of any necessary investigations to understand/validate the incident and determine the causal factors, actions required and P&amp;L impact.</t>
  </si>
  <si>
    <t>DFccp</t>
  </si>
  <si>
    <t>QCCP’s prefunded own resources (e.g., contributed capital, retained earnings, etc.) which are contributed to the default waterfall, where these are junior or pari passu to  prefunded member contributions</t>
  </si>
  <si>
    <t>DFcm</t>
  </si>
  <si>
    <t>Total prefunded default fund contributions from all clearing members</t>
  </si>
  <si>
    <t>directIndirectIndicator</t>
  </si>
  <si>
    <t>Indicates whether the position is direct holding or indirect holding depending on the product sub type In direct holding owners of securities had a direct relationship with the issuer</t>
  </si>
  <si>
    <t>disposedBusinessFlag</t>
  </si>
  <si>
    <t>Flag to identify operational risk losses / profit relating to businesses that have since been disposed.</t>
  </si>
  <si>
    <t>divisionActualLoss</t>
  </si>
  <si>
    <t>Actual loss for each division in CHF . This is used to calculate the RWA allocation percentage per division.</t>
  </si>
  <si>
    <t>divisionalDeferralRate</t>
  </si>
  <si>
    <t>For each division, this gives what % of total award is the Deferred award.</t>
  </si>
  <si>
    <t>divisionId</t>
  </si>
  <si>
    <t>An identifier to uniquely identify a division within Credit Suisse.</t>
  </si>
  <si>
    <t>divisionNetBudgetedRevenue</t>
  </si>
  <si>
    <t>Net Budgeted revenue for each division in CHF Million. This is used to calculate the RWA allocation percentage per division.</t>
  </si>
  <si>
    <t>divisionProductSubTypeCode</t>
  </si>
  <si>
    <t>This is a standard product hierarchy used within Credit Suisse, to identify the product group based on the asset classes, structure and other features i.e. interest only. This is the 2nd level of the hierarchy and rolls up to productTypeCode. It is applied as data is consumed by a trading system.</t>
  </si>
  <si>
    <t>divisionProductTypeCode</t>
  </si>
  <si>
    <t>This is a standard product hierarchy used within Credit Suisse, to identify the product group based on the asset classes, structure and other features. This is the first level in the hierarchy and is applied as data is consumed by a trading system.</t>
  </si>
  <si>
    <t>drawDownFactorValue</t>
  </si>
  <si>
    <t>This refers to the value of the Draw Down Factor (DDF). The DDF values are statistical estimation results calculated based on historical data. The DDF value is grouped at a credit product level, where a specific product would have its own DDF value. The DDF is used to estimate Exposure At Default by determining the additional drawdown in case of default based on current outstandings and currently unutilized limits.</t>
  </si>
  <si>
    <t>drawnAmount</t>
  </si>
  <si>
    <t>Amount funded under our obligated commitment of a facility.</t>
  </si>
  <si>
    <t>drawnCcy</t>
  </si>
  <si>
    <t>Currency in which the amount was drawn down.</t>
  </si>
  <si>
    <t>drawnDate</t>
  </si>
  <si>
    <t>Date on which the amount was drawn down.</t>
  </si>
  <si>
    <t>ECLValue</t>
  </si>
  <si>
    <t>The final calculated value of Expected Credit Loss based on a forward-looking, lifetime expected credit loss model.</t>
  </si>
  <si>
    <t>economicDiscountCurve</t>
  </si>
  <si>
    <t>Discount curve that provides tenors for discounting liability cash flows under economic view.</t>
  </si>
  <si>
    <t>economicStatus</t>
  </si>
  <si>
    <t>This attribute indicates whether an operational risk incident results in a economic or non-economic P&amp;L impact . The incidents that result in a permanent change in the size of the bank's net assets are considered to be economic in nature. Non-economic incidents result in a misstatement of the bank's net assets that are then subsequently corrected to reflect the bank’s true position. Hence, these have only temporary impact in the size of the bank's net assets.</t>
  </si>
  <si>
    <t>EEPEValue</t>
  </si>
  <si>
    <t xml:space="preserve">The Effective Expected Positive Exposure (Effective EPE) is the time-weighted average of the effectivized exposure profile, capped at one year. </t>
  </si>
  <si>
    <t>EEValue</t>
  </si>
  <si>
    <t>The expected exposure profile stores expected exposure value for each time band (Tb). Tb from 00 to 31 is used for Basel 2 reporting purpose, Tb from 00 to 54 is used for Basel 3 reporting purpose.</t>
  </si>
  <si>
    <t>effectiveDate</t>
  </si>
  <si>
    <t>Specifies the date from which the trade/event is effective.</t>
  </si>
  <si>
    <t>effectiveMaturityValue</t>
  </si>
  <si>
    <t>The value of effective maturity, which is defined as exposure's effective remaining time to maturity.</t>
  </si>
  <si>
    <t>effectiveNotionalValue</t>
  </si>
  <si>
    <t>Effective Notional of the trade calcualted as the product of SaccrNotional, SupervisoryDuration, MaturityFactor (margine or unmargined as the case may be) and SupervisoryDelta</t>
  </si>
  <si>
    <t>ELAExpensesValue</t>
  </si>
  <si>
    <t>Expenses are defined as the forecasted net expenses, including Total Expenses and IPBs, by business for the entity.</t>
  </si>
  <si>
    <t>ELARiskUsageExposureValue</t>
  </si>
  <si>
    <t>This is the final earning loss risk exposure monitored against a specific limit/guideline/tolerance/flag provided and presented in USD.</t>
  </si>
  <si>
    <t>embeddedPutFlag</t>
  </si>
  <si>
    <t>Flag to indicate if the position has an embedded put. An embedded put is a provision on a security that gives the bond holder or issuer the right to perform a specified action at some point in the future.</t>
  </si>
  <si>
    <t>EPEValue</t>
  </si>
  <si>
    <t>The expected positive exposure profile stores expected positive exposure value for each time band (Tb). Tb from 00 to 31 is used for Basel 2 reporting purpose, Tb from 00 to 54 is used for Basel 3 reporting purpose.</t>
  </si>
  <si>
    <t>EQIFMBAMaximumAllocation</t>
  </si>
  <si>
    <t>This attribute indicates maximum proposed investment in a sector as per the Fund mandate or Prospecuts.</t>
  </si>
  <si>
    <t>equCDSCurrencyCd</t>
  </si>
  <si>
    <t>Currency of the CDS related to the Equity Tranche</t>
  </si>
  <si>
    <t>equCDSMaturityDt</t>
  </si>
  <si>
    <t>Maturity Date of the CDS related to the Equity Tranche</t>
  </si>
  <si>
    <t>equitiesExposureValue</t>
  </si>
  <si>
    <t>equitiesExposureValue refers to CS equity exposure into BFI entity</t>
  </si>
  <si>
    <t>equitiesHolding</t>
  </si>
  <si>
    <t>equitiesHolding refers to CS equity Holding into BFI entity</t>
  </si>
  <si>
    <t>equitiesnotinIRCExpectedLossValue</t>
  </si>
  <si>
    <t>Expected Loss value under Stressed Scenario for EquitiesnotInIRC</t>
  </si>
  <si>
    <t>equityAwardType</t>
  </si>
  <si>
    <t>The types of share-based instruments in deferred equity compensation.</t>
  </si>
  <si>
    <t>equityId</t>
  </si>
  <si>
    <t>An unique identifier of an equity underlying for Historical Simulation. If the market data of the corresponding underlying is not modelable then a suitable benchmark (e.g. market index, MSCI sector, equity region), should be used for Regression.</t>
  </si>
  <si>
    <t>equityInvestmentInFund</t>
  </si>
  <si>
    <t xml:space="preserve">To determine CS equity investment in FUND exposure </t>
  </si>
  <si>
    <t>equityRegion</t>
  </si>
  <si>
    <t>The region this underlying listed in, this is for the purposes of supporting TSRD. ‘EQUITY REGION’ will be enriched in RDS by taking the CURRENCY (COUNTRY) information and by mapping it to one of the three regions supported by the TSRD tickers (AMER, EMEA, APAC).EQUITY REGION can be blank/null/error etc. MaRS should still calculate VaR using the “Default” Time Series.</t>
  </si>
  <si>
    <t>equityRiskArbitrageValue</t>
  </si>
  <si>
    <t>The ERC value of Equity Risk Arbitrage model measures risk from merger arbitrage positions wit a predefined confidence level and holding period.</t>
  </si>
  <si>
    <t>equityScaleDownFlag</t>
  </si>
  <si>
    <t>This flag indicates if the equity is eligible to scale down the risk weight bucketing to 300% - 400% to risk-weight of 100% up to an aggregate adjusted carrying value limit of 10% of its total eligible regulatory capital.</t>
  </si>
  <si>
    <t>equityTypeIndicator</t>
  </si>
  <si>
    <t>An indicator of the underlying instrument type which is whether an equity index or a single name equity (e.g. Single Stock or Convertible Bond, etc.).</t>
  </si>
  <si>
    <t>equPercentage</t>
  </si>
  <si>
    <t xml:space="preserve">Percentage of EQU_TRNCH_NET_AMT_CHF (CHF Net amount of Equity Tranche) collateralised by Counterparty  in Equity tranche with non cash collaterals. </t>
  </si>
  <si>
    <t>equTrnchCptyID</t>
  </si>
  <si>
    <t xml:space="preserve">Cpty ID of Counterparty collateralising the equity tranche with non cash collaterals. </t>
  </si>
  <si>
    <t>equTrnchNetAmtCHF</t>
  </si>
  <si>
    <t xml:space="preserve">CHF Net amount of Equity Tranche </t>
  </si>
  <si>
    <t>ERCCreditRiskBufferValue</t>
  </si>
  <si>
    <t>Credit ERC - Buffers The CERC buffers are grouped into 3 parts: 1. Buffers calculated on legacy ERC model + “excel calculations”: PB non-performing assets, PB tail products 2. Buffers calculated on R Prototype + “excel calculations”: PB Spread Risk, PB Migration Adjustment for Securitizations, Other Securitizations, Book ID GM, Cayman Securitizations Enhancements 3. Buffers calculated in a separate R code + excel calculations: TC non-performing assets, TL on banking book.</t>
  </si>
  <si>
    <t>ERCDECBBufferValue</t>
  </si>
  <si>
    <t xml:space="preserve">Buffer is the amount of risk introduced because of inabilities / limitations of the model / measure calculations. ERCDECBBufferValue is the amount of risk introduced for Deferred Equity Compensation Benefit. </t>
  </si>
  <si>
    <t>ERCDirectInvestmentBufferValue</t>
  </si>
  <si>
    <t xml:space="preserve">Buffer is the amount of risk introduced because of inabilities / limitations of the model / measure calculations. ERCDirctInvestmentBufferValue is the amount of risk introduced for Direct Investments. </t>
  </si>
  <si>
    <t>ERCEXPENSEbuffervalue</t>
  </si>
  <si>
    <t xml:space="preserve">Buffer is the amount of risk introduced because of inabilities / limitations of the model / measure calculations. ERCExpenseBufferValue is the amount of risk introduced for Expense Risk. </t>
  </si>
  <si>
    <t>ERCFrameworkBufferValue</t>
  </si>
  <si>
    <t xml:space="preserve">Buffer is the amount of risk introduced because of inabilities / limitations of the model / measure calculations. ERCFrameworkBufferValue is the amount of risk introduced for ERC Framework. </t>
  </si>
  <si>
    <t>ERCFXTBufferValue</t>
  </si>
  <si>
    <t xml:space="preserve">Buffer is the amount of risk introduced because of inabilities / limitations of the model / measure calculations. ERCFXTBufferValue is the amount of risk introduced for FX Translation. </t>
  </si>
  <si>
    <t>ERCLifeInsuranceAddonValue</t>
  </si>
  <si>
    <t>A value that indicates Basis Risk - Physical/Synthetic ERC Calculation</t>
  </si>
  <si>
    <t>ERCNonTradedCreditSpreadBufferValue</t>
  </si>
  <si>
    <t xml:space="preserve">Buffer is the amount of risk introduced because of inabilities / limitations of the model / measure calculations. ERCNonTradedCreditSpreadBufferValue is the amount of risk introduced for Non Traded Credit Risk. </t>
  </si>
  <si>
    <t>ERCOREBufferValue</t>
  </si>
  <si>
    <t xml:space="preserve">Buffer is the amount of risk introduced because of inabilities / limitations of the model / measure calculations. ERCOREBufferValue is the amount of risk introduced for Owned Real Estate. </t>
  </si>
  <si>
    <t>ERCPensionRiskBufferValue</t>
  </si>
  <si>
    <t xml:space="preserve">Buffer is the amount of risk introduced because of inabilities / limitations of the model / measure calculations. ERCPensionRiskBufferValue is the amount of risk introduced for Pension Risk. </t>
  </si>
  <si>
    <t>ERCSecuritisedProductBufferValue</t>
  </si>
  <si>
    <t>Buffer is the amount of risk introduced because of inabilities / limitations of the model / measure calculations. ERCsecuritisedproductbuffervalue is the amount of risk introduced for Securitized products.</t>
  </si>
  <si>
    <t>ERCTradedRiskBufferValue</t>
  </si>
  <si>
    <t>Buffer is the amount of risk introduced because of inabilities / limitations of the model / measure calculations. ERCTradedRiskBufferValie is the amount of risk introduced for Traded Credit.</t>
  </si>
  <si>
    <t>EUDefaultLossAmount</t>
  </si>
  <si>
    <t>It refers to the losses arising from the default of identified named vulnerable counterparties selected by a panel of credit risk experts based on specific scenario narrative (LPA), impact of stressed migration matrices and geographic nature of stress.</t>
  </si>
  <si>
    <t>EVAdjustmentValue</t>
  </si>
  <si>
    <t>It refers to the % adjustment / haircut to Economic Value (total bonus pool) based on % change in Economic Contribution</t>
  </si>
  <si>
    <t>eventDate</t>
  </si>
  <si>
    <t>The date on which the operational risk incident or the causal event resulting in the OpRisk related Profit and Losses first occurred.</t>
  </si>
  <si>
    <t>eventSummaryDescription</t>
  </si>
  <si>
    <t>Summary description of an operational risk incident</t>
  </si>
  <si>
    <t>EWMAVolatility</t>
  </si>
  <si>
    <t>Exponentially Weighted Moving Average Volatility is used to calculate the historical volatility of a (long) time series. It assigns higher weights to more recent observations.</t>
  </si>
  <si>
    <t>exceriseDate</t>
  </si>
  <si>
    <t>This will give a date value when the Option will be exercised. E.g. 1/17/2018</t>
  </si>
  <si>
    <t>exchangeTradedFlag</t>
  </si>
  <si>
    <t>This flag indicates if the equity is publicly listed on a recongnized stock exchange.</t>
  </si>
  <si>
    <t>exemptionFlag</t>
  </si>
  <si>
    <t>A flag to indicate whether the fund is exempted from any specific laws or regulations (e.g. the Investment Company Act - 1940) that might have impact on measure calculations.</t>
  </si>
  <si>
    <t>ExIBLendingNSUPowerLossBuffer</t>
  </si>
  <si>
    <t>Captures expected loss calculation relate to portfolio coverage gap within credit risk stress testing framework, Model intends to address coverage gap of Windfarm exposure being not captured in CCR EAD.</t>
  </si>
  <si>
    <t>ExIBLendingUnstressedEADBufferValue</t>
  </si>
  <si>
    <t>It refers to buffer to address the inconsistency with market risk modeling, shocks due to market risk factors not deducted (except credit spread)</t>
  </si>
  <si>
    <t>ExIBLendingUnstressedprovisionBufferValue</t>
  </si>
  <si>
    <t>It refers to buffer to address the losses on existing default assets not modelled. Current provisions scaled up by ratio of stressed LGD to base LGD</t>
  </si>
  <si>
    <t>expectedLossRWAEquivalentValue</t>
  </si>
  <si>
    <t>This field denotes the expected loss RWA equivalent used in the PRA MI reporting.</t>
  </si>
  <si>
    <t>expectedLossValue</t>
  </si>
  <si>
    <t>A value representing expected loss. Expected loss refers to the statistically established loss expected to occur on a given exposure. Expected loss is the sum of the values of all possible losses, each multiplied by the probability of that loss occurring. Three factors are relevant in analyzing expected loss: Probability of default (PD), Exposure at default (EAD), and Loss given default (LGD).</t>
  </si>
  <si>
    <t>expenseRevenueAmount</t>
  </si>
  <si>
    <t>Revenue is the amount of money that is brought into a company by its business activities. There are different ways of calculating revenue, depending on the accounting method a business employs. Expense amount is the value of expense corresponding to each division and expense type. Revenue is displayed on a company's income statement and expenses are then deducted in order to obtain net income or profit.</t>
  </si>
  <si>
    <t>expenseRevenueBookingDate</t>
  </si>
  <si>
    <t>The date for which revenue and / or expense amount are booked in the books of accounts.</t>
  </si>
  <si>
    <t>expenseRevenueCurrency</t>
  </si>
  <si>
    <t>The currency in which the revenue and expense is expressed.</t>
  </si>
  <si>
    <t>expenseRevenueType</t>
  </si>
  <si>
    <t>Refers to revenue and expense types that applies to a department._x000D_
_x000D_
Revenue Type Description_x000D_
ACAJ	Accounting Adjustment_x000D_
ASAD	Asset Administration_x000D_
BHDG	Hedge Book_x000D_
CLFD	Collateral Funding_x000D_
CVA	CVA_x000D_
EXP	Expense_x000D_
FBAL	Financing - Balance Sheet_x000D_
JVIN	Special Situation/ JV/ Invest_x000D_
JVRS	JV / RSA Transfer_x000D_
L2	L2_x000D_
L3	L3_x000D_
LEGA	Legacy_x000D_
MBPS	MBPS_x000D_
MGMT	Management_x000D_
NFEE	New Issue - Fee Based_x000D_
OTHR	Other_x000D_
POSI	Positioning_x000D_
PRTM	Primary Trading- Market Making_x000D_
SECF	Secondary Flow-Mkt Mkg/Agency_x000D_
STSL	Structured Solutions_x000D_
WABK	Washbook/BacktoBack_x000D_</t>
  </si>
  <si>
    <t>expenseRiskERCValue</t>
  </si>
  <si>
    <t>The expected economic loss of expense risk for one-year time horizon at a given confidence level. Expense ERC (Economic Risk Capital) is the difference between expenses and revenues in a severe market event, exclusive of the elements captured by position risk ERC and operational risk ERC.</t>
  </si>
  <si>
    <t>expenseRiskFXTAllocation</t>
  </si>
  <si>
    <t>The allocation to each currency which is used in FxT model as an input.</t>
  </si>
  <si>
    <t>expiryDate</t>
  </si>
  <si>
    <t>Expiry date of a derivative (expiry date of option/ future).</t>
  </si>
  <si>
    <t>exposure0</t>
  </si>
  <si>
    <t>Current drawn amount</t>
  </si>
  <si>
    <t>exposureAllocation</t>
  </si>
  <si>
    <t>Exposure allocation for each underlying asset of the fund contributing to blended risk weight</t>
  </si>
  <si>
    <t>exposureAtDefaultValue</t>
  </si>
  <si>
    <t>The value of the estimated exposure against the counterparty in case of its default. The exposures would cover various products; such as loans, bonds, securitizations (non-exhaustive), excluding derivatives and SFTs.</t>
  </si>
  <si>
    <t>exposureCarrierLimitValue</t>
  </si>
  <si>
    <t>This is the exposure carrier limit value for loans. The exposure carrier limit is at the lowest level of the credit limit hierarchy, which is applicable for sub limits. The credit limit hierarchy is split into three main levels, where the highest is called the limit carrier (plafond credit limit), middle is called the collateral carrier (credit frame limit) and lowest is called the exposure carrier (sub limit). Each lower level would roll up to a higher level.</t>
  </si>
  <si>
    <t>exposureCurrency</t>
  </si>
  <si>
    <t>Attribute is required to perform EQIF exposure calculation</t>
  </si>
  <si>
    <t>exposureIdentificationKey</t>
  </si>
  <si>
    <t>This data field is included in the securitization delivery in order to identify the securitization portfolio.</t>
  </si>
  <si>
    <t>facilityApprovedAmount</t>
  </si>
  <si>
    <t>The amount approved under a credit facility.</t>
  </si>
  <si>
    <t>facilityConfirmedLimitAmount</t>
  </si>
  <si>
    <t>It is the limit amount which has been communicated to the client. This amount is less than or equal to facility approved amount.</t>
  </si>
  <si>
    <t>facilityCurrency</t>
  </si>
  <si>
    <t>The currency of the facility as defined by the Credit Agreement. (e.g. ISO currency code)</t>
  </si>
  <si>
    <t>facilityId</t>
  </si>
  <si>
    <t>Unique identifier for a facility under the Credit Agreement.</t>
  </si>
  <si>
    <t>facilityMaturityDate</t>
  </si>
  <si>
    <t>The date when the borrower has to repay the loans under the facility. Maximum maturity date for the loan.</t>
  </si>
  <si>
    <t>facilityTypeCode</t>
  </si>
  <si>
    <t>Unique code to identify the type of credit facility</t>
  </si>
  <si>
    <t>factorCovarianceMatrix</t>
  </si>
  <si>
    <t>A factor used in the covariance matrix characterizing the join distribution of systematic factors. A covariance matrix is a square matrix that contains covariances between portfolio assets.</t>
  </si>
  <si>
    <t>failureToPay</t>
  </si>
  <si>
    <t>Failure to Pay is defined to be a failure of the reference entity to make, when and where due, any payments under one or more obligations.</t>
  </si>
  <si>
    <t>FAS5UsageAmtCHF</t>
  </si>
  <si>
    <t>CHF amount  of FAS5 -Usage</t>
  </si>
  <si>
    <t>feeType</t>
  </si>
  <si>
    <t>Type of Fee (i.e. transaction, exchange/clearing, borrow cost). A fee can be charged for a variety of reasons. A descriptive fee type is associated with the fee to explain why the fee is being charged. Usage fees on commitments and late fees on delinquent</t>
  </si>
  <si>
    <t>finalExposureValue</t>
  </si>
  <si>
    <t>The final exposure value refers to exposure value on which risk weight is charged. It changes based on LGD STAR scope indicator.</t>
  </si>
  <si>
    <t>finalSettlementDate</t>
  </si>
  <si>
    <t>For trades with multiple settlement dates, this represents the date on which the final transfer of cash or assets is completed.</t>
  </si>
  <si>
    <t>financeCounterpartyClassificationCode</t>
  </si>
  <si>
    <t>A code that indicates the classification of counterparties based on a predefined enrichment logic in finance.</t>
  </si>
  <si>
    <t>financialBusinessUnitCode</t>
  </si>
  <si>
    <t>The code used to identify a grouping of values in a tree. Each code here represents an Organizational Entity or Unit that can be part of a tree hierarchy.</t>
  </si>
  <si>
    <t>financialInstitutionFlag</t>
  </si>
  <si>
    <t>Flag showing if the counterparty is a financial institution. For use in determining if an AVC multipler should be applied</t>
  </si>
  <si>
    <t>financialInstrumentCurrency</t>
  </si>
  <si>
    <t>The Currency the financial instrument is denominated in.</t>
  </si>
  <si>
    <t>financialInstrumentKey</t>
  </si>
  <si>
    <t>FinancialInstrumentKey is the Unique Key identifier for financial instruments.
The CDE was identified as part of EIGKO lineage analysis, where it is used to identify the medium term notes in the system. This is not an account, but the identification code of a medium term note. E.g. SKO0730000547576</t>
  </si>
  <si>
    <t>FINMAGap6Value</t>
  </si>
  <si>
    <t>FINMAGap6Value is the value of the Swiss specific measure of the bank's ability to meet financial obligation over a cumulative 30 day period under the scenario where secured and unsecured market funding are not available and Emergency Liquidity Assistance facility is availed.</t>
  </si>
  <si>
    <t>FINMAReportingDateFirst</t>
  </si>
  <si>
    <t>The date when the incident was first reported to FINMA. This would ideally be the same as the month end reporting date from the first reportable data set this incident was a part of.</t>
  </si>
  <si>
    <t>FINMAReReportingDateLatest</t>
  </si>
  <si>
    <t xml:space="preserve">The latest date when the incident was reported to FINMA again. This would ideally be the same as the month end reporting date from the latest reportable data set this incident was a part of. Will be kept blank for incidents being reported the first time.
</t>
  </si>
  <si>
    <t>firstExerciseDate</t>
  </si>
  <si>
    <t>Earliest date on which an option can be exercised. for European options, this will be the same as expiry</t>
  </si>
  <si>
    <t>firstPaymentDate</t>
  </si>
  <si>
    <t>Tells the end date of First Payment of a SWAP</t>
  </si>
  <si>
    <t>firstSettlementDate</t>
  </si>
  <si>
    <t>This is the first date on which transfer of cash/assets is completed, it is for a security as a new issue. Settlement date is the date by which a buyer must pay for the securities provided by the seller.</t>
  </si>
  <si>
    <t>fixedExchangeRate</t>
  </si>
  <si>
    <t xml:space="preserve">Fixed exchange rate applied to convert CHF-calculated capital values to USD as per FINMA agreement </t>
  </si>
  <si>
    <t>fixedVariableIndicator</t>
  </si>
  <si>
    <t>Indicates if interest rate paid for the annuity is either fixed or variable. Fixed rate remains constant during maturity period. Adjustable rate resets periodically based on defined base rate (Libor, Index etc.) .</t>
  </si>
  <si>
    <t>fixingCalendar</t>
  </si>
  <si>
    <t>An attribute indicating the market calendar which governs the fixing of rates for a particular product (e.g., a swap or option). Fixing refers to the determination and recording of a reference rate, usually in order to calculate the settlement value of a periodic payment schedule between two parties.</t>
  </si>
  <si>
    <t>fixingDate</t>
  </si>
  <si>
    <t>The date of fixing a reference rate for a floating payment. Fixing, also known as Reset, refers to the determination and recording of a reference rate, usually in order to calculate the settlement value of a periodic payment schedule between two parties.</t>
  </si>
  <si>
    <t>fixingFrequency</t>
  </si>
  <si>
    <t>Frequency of the reference rate for the floating leg, e.g. 2W, 4W, 1M, 2M, 3M, 1Y._x000D_
Fixing refers t the determination and recording of a reference rate, usually in order to calculate the settlement value of a periodic payment schedule between two parties.</t>
  </si>
  <si>
    <t>flexPriceProtection</t>
  </si>
  <si>
    <t>FlexPriceProtection refers to Pricing buffers. A provision in bank loan financing fee letters that permits the agent banks to change the amount, pricing, structure, yield, tenor, conditions and other terms of the financing if necessary to successfully syndicate the loans.</t>
  </si>
  <si>
    <t>FOContingentDealSuccessProb</t>
  </si>
  <si>
    <t>The probability of deal succeeding as per Front Office convention.</t>
  </si>
  <si>
    <t>forwardPrice</t>
  </si>
  <si>
    <t>This attributes represetns the forward price of the option underlying</t>
  </si>
  <si>
    <t>fractionOfOustandingRelevantIssueSize</t>
  </si>
  <si>
    <t>An approximate for bond size calculated by dividing market value of client's bond holding position of particular maturity bucket over the market value of similar bonds with a relevant maturity bucket with the same issuer.</t>
  </si>
  <si>
    <t>FTPAddOnSpread</t>
  </si>
  <si>
    <t>The add-on spreads which are used to adjust the FTP base funding rates in the negative rate regimes. Funds Transfer Pricing (FTP) is an internal allocation and measurement mechanism for determining the pricing of incremental loans/investments/deposits and for determining the profit contribution of various lending and borrowing units of a bank.</t>
  </si>
  <si>
    <t>FTPBaseFundingRate</t>
  </si>
  <si>
    <t>The Funds Transfer Pricing (FTP) rates which are used as a base for the funds exchange between different business units of a bank. FTP is an internal allocation and measurement mechanism for determining the pricing of incremental loans/investments/deposits and for determining the profit contribution of various lending and borrowing units of a bank.</t>
  </si>
  <si>
    <t>functionalCurrencyCode</t>
  </si>
  <si>
    <t>Functional currency is the currency of the primary economic environment in which an entity operates, which is normally the currency of the environment in which the entity generates and expends cash (i.e., the local currency). _x000D_
Once a functional currency has been identified, it cannot be changed unless it is clear that the economic facts and circumstances have changed so significantly that a change in the entity's functional currency is clearly warranted</t>
  </si>
  <si>
    <t>fundExposureValue</t>
  </si>
  <si>
    <t>This indicates Total exposure of fund into the underlying</t>
  </si>
  <si>
    <t>fundingConcentrationValue</t>
  </si>
  <si>
    <t>fundingConcentrationValue is the value of a series of measures to determine the significance of the firm’s exposure to a type of instrument or product, tenor, currency, counterparty and/or financial market to raise funding and meet CS Group obligations.</t>
  </si>
  <si>
    <t>fundingMaturityComposition</t>
  </si>
  <si>
    <t>The amount of Notionals of all treasury products considered for long term debt calcuation in FVOD.</t>
  </si>
  <si>
    <t>fundingSurplusAmount</t>
  </si>
  <si>
    <t>Funding surplus is the difference between market value of assets and present value of liabilities of each pension plan and can be used to offset the pension charges.</t>
  </si>
  <si>
    <t>fundName</t>
  </si>
  <si>
    <t>Only applicable if counterparty is a fund. The description of the fund that the counterparty belongs to. Will be the long form of the counterparty name.</t>
  </si>
  <si>
    <t>fundType</t>
  </si>
  <si>
    <t>Bloomberg classification for funds structure, including index and investment funds required for Internal Limit Monitoring.</t>
  </si>
  <si>
    <t>FVODHaircut</t>
  </si>
  <si>
    <t>FVOD haircut is the scalar applied to traded and non-traded credit portfolio of the bank to determine the ERC offset resulting from buying back of bank’s own debt in stress scenario.</t>
  </si>
  <si>
    <t>FxContingentERCValue</t>
  </si>
  <si>
    <t>Cumulative total ERC Value of Fx Contingent Risk</t>
  </si>
  <si>
    <t>FXTAddOnValue</t>
  </si>
  <si>
    <t>A value that indicates the marginal contribution of FXT to total ERC by taking the difference between Total ERC (incl. CIR and FXT) and Total ERC (incl. CIR, excl. FXT).</t>
  </si>
  <si>
    <t>FXVolatilityHaircut</t>
  </si>
  <si>
    <t>The haircut percentage rate applied to the price of the foreign exchange instrument based on volatility. It represents the difference in price at which the instrument can be purchased or sold.</t>
  </si>
  <si>
    <t>GAAPID</t>
  </si>
  <si>
    <t>GAAPID represents the field to capture the distinct ID for reporting under the requirements of International Accounting Standards (IAS), United States-Generally Accepted Accounting Principles (US-GAAP), or other statutory requirements. This field is one of the balancing chartfield used in recording the accounting entries through Journals in PeopleSoft General Ledger application.</t>
  </si>
  <si>
    <t>GACInstrumentCategory</t>
  </si>
  <si>
    <t>It refers to the global asset classification from product perspectives. The main category includes the following but not limited to Direct Investments, Fund Structures or Derivatives Structures.</t>
  </si>
  <si>
    <t>GACMarketCategory</t>
  </si>
  <si>
    <t>It refers to the global asset classification from client perspectives. The main category includes the following but not limited to Liquidity &amp; Similar, Fixed Income, Equity , Alternative Investment etc.</t>
  </si>
  <si>
    <t>GACSalesCategory</t>
  </si>
  <si>
    <t>It refers to the global asset classification from sale perspectives. The main category includes the following but not limited to Basic Banking Products &amp; liquidity, Short Term Investments, Direct Investments etc.</t>
  </si>
  <si>
    <t>GCCExposureMoveValue</t>
  </si>
  <si>
    <t>Exposure move based on GCC impact assessment.</t>
  </si>
  <si>
    <t>gender</t>
  </si>
  <si>
    <t>Gender of the insured for a life finance product. For example Male, Female.</t>
  </si>
  <si>
    <t>generalLedgerAmountTypeCode</t>
  </si>
  <si>
    <t>It indicates the type of amount, such as mark-to-market, notional, etc, which will be used to determine the posting to the respective General Ledger accounts</t>
  </si>
  <si>
    <t>givenPreHaircutValue</t>
  </si>
  <si>
    <t xml:space="preserve">This refers to the value before haircut for collateral given </t>
  </si>
  <si>
    <t>GLAccountCode</t>
  </si>
  <si>
    <t>An account is a chronological log of transactions and events measured in monetary terms and classified and summarized in a useful format based on the business needs of the organization. Raw data is not very useful until it has been appropriately classified and summarized into meaningful information by using an appropriate Chart of Accounts</t>
  </si>
  <si>
    <t>GLAccountType</t>
  </si>
  <si>
    <t>Identifies the type of general ledger account. It denotes the classification of an account based on its intended purpose, e.g., Assets, Liabilities, Expense, Equity etc. A general ledger is a company's set of numbered accounts for its accounting purpose.</t>
  </si>
  <si>
    <t>globalBookId</t>
  </si>
  <si>
    <t>A global strategic identifier to uniquely identify a book within Credit Suisse. The unique book global identifier is a system generated number within GBM (Global Book Manager). This has a one to one relationship with bookRef.</t>
  </si>
  <si>
    <t>globalDepartmentId</t>
  </si>
  <si>
    <t>Global Dept identifier to uniquely identify a department The unique department global identifier is a system generated number from PSFT GBM application.</t>
  </si>
  <si>
    <t>GLSubAccountCode</t>
  </si>
  <si>
    <t>General Ledger Sub-account holds granular details of the General Ledger Account used in the postings. This provides additional information in General Ledger and is used for reporting and analysis.</t>
  </si>
  <si>
    <t>GMHedgesModelParameters</t>
  </si>
  <si>
    <t>This includes Commom variables/parameters defined in the script such as threshold VIX, product fee, CDE premium etc</t>
  </si>
  <si>
    <t>GMManagementBROverlays</t>
  </si>
  <si>
    <t>Cost of maintaining the GM Management Hedge positions under the defined stress scenario</t>
  </si>
  <si>
    <t>GMManagementCRBufferValue</t>
  </si>
  <si>
    <t>Expected default benefit of Credit hedges under the defined stress scenario</t>
  </si>
  <si>
    <t>GMManagementMROverlays</t>
  </si>
  <si>
    <t>Expected mark-to-market benefit of all the hedge positions under the defined stress scenario</t>
  </si>
  <si>
    <t>grantPrice</t>
  </si>
  <si>
    <t>Price that the deferred equity is awarded at (in CHF). This is dependent on the product / award.</t>
  </si>
  <si>
    <t>granularityCode</t>
  </si>
  <si>
    <t>A code that identifies if the underlying trade details of deals such as loans are granular or non-granular. A bank's portfolio is assumed to be granular if the sizes of individual loans in a credit portfolio are sufficiently small. Sufficiency is based on the effective number of exposures which reflects the concentration risk of a credit portfolio.</t>
  </si>
  <si>
    <t>grossEADValue</t>
  </si>
  <si>
    <t>Refers to the value of  exposures, calculated using the Current Exposure Method (CEM), that a party would bear if its counterparty fails to fulfil its obligations in an over-the-counter (OTC) derivatives or exchange traded derivatives (ETD) contract before financial collateral application</t>
  </si>
  <si>
    <t>grossLoansAndCommitmentsExposureValue</t>
  </si>
  <si>
    <t>A value that indicates the gross exposure associated to a given counterparty arising due to facilities extended to them before adjusting for collaterals, credit hedges, insurance and guarantees.</t>
  </si>
  <si>
    <t>guaranteeAmount</t>
  </si>
  <si>
    <t>An amount to be undertaken by a parent company or third party company in event of a default by a debtor</t>
  </si>
  <si>
    <t>guaranteeCurrency</t>
  </si>
  <si>
    <t>The currency code of the guarantee amount.</t>
  </si>
  <si>
    <t>guaranteeId</t>
  </si>
  <si>
    <t>A product or item identified as a guarantee received.</t>
  </si>
  <si>
    <t>guarantees</t>
  </si>
  <si>
    <t>Determines Clawack guarantees amount given to the fund</t>
  </si>
  <si>
    <t>harmonisedCSRating</t>
  </si>
  <si>
    <t>A dimension that describes the creditworthiness of a client.</t>
  </si>
  <si>
    <t>headOfficeBranchIndicator</t>
  </si>
  <si>
    <t>An indicator showing whether the Business Unit is Head Office or Branch</t>
  </si>
  <si>
    <t>hedgeOverlayFactor</t>
  </si>
  <si>
    <t>It is the factor that is used to calculate weighted average to combine two hedge overlay gilt curves.</t>
  </si>
  <si>
    <t>hedgeType</t>
  </si>
  <si>
    <t>Indicates whether a position is a cash flow hedge, fair value hedge, net investment hedge, foreign currency hedge, economic hedge or not hedged (trading)</t>
  </si>
  <si>
    <t>hedgeValue</t>
  </si>
  <si>
    <t>The value of the financial amount measuring a particular hedge or hedges at a point in time. This can be a scalar, or a vector for more sophisticated hedges (depending on methodology). A hedge is an investment to reduce the risk of adverse price movements in an asset.</t>
  </si>
  <si>
    <t>hedgingSet</t>
  </si>
  <si>
    <t>Hedging Set to which the trade is assigned under SACCR methodology. Long &amp; short trades within a HS are offset fully/partially subject to SACCR rules</t>
  </si>
  <si>
    <t>hedgingSubSet</t>
  </si>
  <si>
    <t>Hedging SubSet to which the trade is assigned under SACCR methodology. Long &amp; short trades within a HSS are allowed full offset</t>
  </si>
  <si>
    <t>heldPreHaircutValue</t>
  </si>
  <si>
    <t xml:space="preserve">This refers to the value before haircut for collateral held </t>
  </si>
  <si>
    <t>HFIlliquidInvERCValue</t>
  </si>
  <si>
    <t>The value of Illiquid Hedge Fund Investments ERC. Illiquid Hedge Fund Investment ERC is defined as the 99% worst case change in fair value of hedge funds and fund of hedge fund positions allocated to the illiquid investment category over a one year time horizon.</t>
  </si>
  <si>
    <t>historicalCashAwardExpense</t>
  </si>
  <si>
    <t>Historical Cash awards for each division</t>
  </si>
  <si>
    <t>historicalDeferredAwardExpense</t>
  </si>
  <si>
    <t>Historical deferred awards for each division</t>
  </si>
  <si>
    <t>historicalFeeAmount</t>
  </si>
  <si>
    <t>An amount indicating the value of a charged fee.</t>
  </si>
  <si>
    <t>HistoricalMortalityTable</t>
  </si>
  <si>
    <t>Historical mortality levels sourced from external vendor, which are used for historical simulation. It is used as an input to the systematic risk calculation for Life Insurance.</t>
  </si>
  <si>
    <t>historicalObservationPeriod</t>
  </si>
  <si>
    <t>Historical Observation Period is defined as the length of time series from market data that is used in calculation of risk measures, for example, calculation of VAR.</t>
  </si>
  <si>
    <t>holdingPeriod</t>
  </si>
  <si>
    <t>Holding period is the length of time over which an asset / a portfolio is assumed to be held.</t>
  </si>
  <si>
    <t>HQLALevel</t>
  </si>
  <si>
    <t>Refers to the level of assets (Level 1 or Level 2) within HQLA (unencumbered high quality liquid assets) defined by Basel 2.</t>
  </si>
  <si>
    <t>HQLAPriceDropPercentage</t>
  </si>
  <si>
    <t>The magnitude, in percentage terms, of the most recent single largest 30 calendar day price drop over relevant history.</t>
  </si>
  <si>
    <t>HQLAValue</t>
  </si>
  <si>
    <t>The market value of High Quality Liquid Assets. Liquidity Coverage Requirement (LCR) requires banks to hold an amount of high-quality liquid assets (HQLA) sufficient to withstand cash outflows during a “significant stress scenario” lasting 30 days. This includes:_x000D_
• Coins and notes_x000D_
• Central bank reserves_x000D_
• Claims on sovereigns and central banks_x000D_
• Public-sponsored entities_x000D_
• Investment-grade corporate debt_x000D_
• High-quality RMBS rated AA or higher</t>
  </si>
  <si>
    <t>IHCCounterpartyCategoryCode</t>
  </si>
  <si>
    <t>Intermediate Holding Company (IHC) Counterparty Category Type Code. A code to indicate the industry type of the counterparty as defined by IHC reporting requirements.</t>
  </si>
  <si>
    <t>illiquidCollateralFlag</t>
  </si>
  <si>
    <t>This flag denotes the collateral and the risk associated with the liquidation.</t>
  </si>
  <si>
    <t>impactCCFOnSsh</t>
  </si>
  <si>
    <t>Impact of CCF (amount)</t>
  </si>
  <si>
    <t>impairmentStressedCapitalValue</t>
  </si>
  <si>
    <t>This accounts for stress impact on Parent capital as a result of impairment of the equity investments that Parent made into all the subsidiaries. (For Materail legal entities- its calculated by CFO wheras for all others - ERM calculates by Extrapolating the stress impacts from material LEs (for which LPA are run) to all other LEs).</t>
  </si>
  <si>
    <t>impliedMarketRating</t>
  </si>
  <si>
    <t>Implied market rating denotes the credit worthiness of a Non-rated position; predicting the debtor's ability to pay back the debt and likelihood of debtor's default. The positions which do not have external or internl rating are assigned with an implied market rating.</t>
  </si>
  <si>
    <t>impliedMarketRatingSource</t>
  </si>
  <si>
    <t>Denotes underlying methodology like CDS IMPLIED RATING, SECTOR IMPLIED RATING etc. used to evaluate the rating of a  Non Rated position,</t>
  </si>
  <si>
    <t>ImpliedVolatility</t>
  </si>
  <si>
    <t>Volatility of the underlying instrument which, when input in an option pricing model (such as Black–Scholes) will return a theoretical value equal to the current market price of the option.</t>
  </si>
  <si>
    <t>incentivePerformanceBonus</t>
  </si>
  <si>
    <t>Amount of variable compensation paid to Credit Suisse staff based on their performance during the year.</t>
  </si>
  <si>
    <t>incidentEventStatus</t>
  </si>
  <si>
    <t>The advancement of operational risk event is indicated by the incident status. It represents the state a event is in and indicates the actions that are expected to be taken.</t>
  </si>
  <si>
    <t>independentAmount</t>
  </si>
  <si>
    <t>Independent amount is an amount of margin hold in excess of current mark-to-market exposure, to cover the risk that the market many move drastically. This amount is used before have a chance to make a further variation margin call.</t>
  </si>
  <si>
    <t>indexCode</t>
  </si>
  <si>
    <t>Code that specifies illiquid asset scope. For private equity, it is a combination of region and asset class of the trade. For hedge fund, it is simply HF.</t>
  </si>
  <si>
    <t>indexId</t>
  </si>
  <si>
    <t>A unique identifier for an index which is a basket of elements, e.g. securities, goods or services.</t>
  </si>
  <si>
    <t>indexName</t>
  </si>
  <si>
    <t>Name of the Index static identifier (e.g., 'FX_GBP.USD'). An index is an imaginary portfolio of securities representing a particular market or a portion of it.</t>
  </si>
  <si>
    <t>indexTenor</t>
  </si>
  <si>
    <t>Amount of time left for the repayment of a loan or until a financial contract expired or frequency with which coupon payments are exchanged.</t>
  </si>
  <si>
    <t>indexType</t>
  </si>
  <si>
    <t>Identifier to indicate which type of index is associated to the trade, such as CDX_IG or ITRAX_XO.</t>
  </si>
  <si>
    <t>indexValue</t>
  </si>
  <si>
    <t>The value of the index at the particular time.</t>
  </si>
  <si>
    <t>individualLossAmount</t>
  </si>
  <si>
    <t>Individual loss amount is the aggregated amount of operational risk incidents which are deemed to be highly material, i.e. greater than or equal to Individual Incident Tolerance Level as per ERCF Risk Appetite Policy - P-01412.</t>
  </si>
  <si>
    <t>industryGICSCode</t>
  </si>
  <si>
    <t>Global Industry Classification Standard code. Also known as Standard and Poor's Industry code.</t>
  </si>
  <si>
    <t>industryNAICSCode</t>
  </si>
  <si>
    <t>The North American Industry Classification System or NAICS is an classification of business establishments by type of economic activity. It uses a hierarchical five/six-digit coding system, classifying all economic activity into Sectors (first 2 digits), Subsectors (3rd digit), Industry Group (4th digit), Industries (5th digit) and US detail industries (6th digit)</t>
  </si>
  <si>
    <t>industrySector</t>
  </si>
  <si>
    <t>Industry classification or industry taxonomy organizes companies into industrial groupings based on similar production processes, similar products, or similar behavior in financial markets.</t>
  </si>
  <si>
    <t>inflationIndex</t>
  </si>
  <si>
    <t>Index identifier based on market convention, i.e. FRCPXTOB-R. Inflation Index measures changes in the price level of market basket of consumer goods and services purchased by households.</t>
  </si>
  <si>
    <t>inflationRegion</t>
  </si>
  <si>
    <t>Inflation Region depends on Inflation index mapping configured in RDS Static Data, ex:EMEA, APAC or US.</t>
  </si>
  <si>
    <t>inflationScenarioCashFlow</t>
  </si>
  <si>
    <t>Inflation scenarios refers to fluctuation of inflation zero rate in bps.</t>
  </si>
  <si>
    <t>inflationType</t>
  </si>
  <si>
    <t>Identifies the type of inflation, e.g., CPI (Consumer Price Index) or YoY (Year Over Year). Inflation is the rate at which the general level of prices for goods and services is rising and, consequently, the purchasing power of currency is falling.</t>
  </si>
  <si>
    <t>initialHeld</t>
  </si>
  <si>
    <t>Initial amount of collateral held by Credit Suisse from counterparty to open the position at the start of the collateral arrangement.</t>
  </si>
  <si>
    <t>initialMargin</t>
  </si>
  <si>
    <t>Initial Margin (IM) or sometimes referred to as Independent Amount (IA), are set by CRM, in liaison with Credit Analytics or Prime Services Risk Management. IM is taken to offset exposure generated by mark-to-market moves that could potentially occur during the close-out period. IM is typically calculated to cover an expected worst-case change in MTM exposure over a predefined close-out period (e.g.10 days) assuming some confidence interval (e.g. 95%).</t>
  </si>
  <si>
    <t>initialMarginCALLKCALL</t>
  </si>
  <si>
    <t>The called initial margin collateral annex legal linkage key which relates to the primary LLK.</t>
  </si>
  <si>
    <t>initialMarginCALLKPOST</t>
  </si>
  <si>
    <t>The posted initial margin collateral annex legal linkage key which relates to the primary LLK.</t>
  </si>
  <si>
    <t>initialPaidMargin</t>
  </si>
  <si>
    <t>Actual Initial Margin paid by Credit Suisse to counterparty</t>
  </si>
  <si>
    <t>initialPledged</t>
  </si>
  <si>
    <t>Initial amount of collateral pledged by Credit Suisse at the start of the collateral arrangement.</t>
  </si>
  <si>
    <t>initialVariance</t>
  </si>
  <si>
    <t>Denotes Initial level of volatility  of a defaulted position.</t>
  </si>
  <si>
    <t>inrstOutstandingRate</t>
  </si>
  <si>
    <t>Future leasing revenues</t>
  </si>
  <si>
    <t>instantaneousDefaultRisk</t>
  </si>
  <si>
    <t>Instantaneous Default Risk is the amount the firm expects to lose if a sudden default were to be observed. It is calculated by taking the EAD and multiplying it by the LGD</t>
  </si>
  <si>
    <t>instrumentFlag</t>
  </si>
  <si>
    <t>A Flag to distinguish between instruments in RDS which also serves as an attribute to hit the relevant time series in TSRD (For example - Constant Maturity Swap (CMS) instruments vs. non-CMS (vanilla) instruments, Inflation Linked Bonds vs Sovereign Bon</t>
  </si>
  <si>
    <t>instrumentIdIssue</t>
  </si>
  <si>
    <t>A unique identifier of a financial instrument, without regard to trading venue. Examples: ISIN, CUSIP, Valoren (external, issued by numbering agencies) and GPI (internal, strategic Global Product Identifier). A single instrumentIdIssue can be associated with zero, one or many instrumentIdListing.</t>
  </si>
  <si>
    <t>instrumentIdListing</t>
  </si>
  <si>
    <t>A unique identifier of an exchange-traded financial instrument on a specific trading venue. Examples: RIC (external, Reuters Identification Code) and GLI (internal, strategic Global Listing Identifier)</t>
  </si>
  <si>
    <t>instrumentIdType</t>
  </si>
  <si>
    <t>Defines the type of instrument identifier held within the instrumentId attribute. Examples include ISIN, CUSIP, SEDOL, VALOREN, NTPA ID</t>
  </si>
  <si>
    <t>instrumentPriceDivider</t>
  </si>
  <si>
    <t>The price divider value which is used to hold the ratio of trade in months to 12 months.  Generally used in future quotes which are quoted in years but the quote may be for only part of a year.  The divider is used in calculating the market value.</t>
  </si>
  <si>
    <t>instrumentRating</t>
  </si>
  <si>
    <t>Rating of a financial instrument indicates their credit quality. Private independent rating services such as Standard &amp; Poor's, Moody's Investors Service and Fitch Ratings Inc. provide these evaluations of a financial instrument's issuer's financial strength, or its the ability to pay principal and interest in a timely fashion.</t>
  </si>
  <si>
    <t>insuranceId</t>
  </si>
  <si>
    <t>Unique identifier for a credit insurance.</t>
  </si>
  <si>
    <t>insuredAmount</t>
  </si>
  <si>
    <t>The amount of the trade notional which is insured.</t>
  </si>
  <si>
    <t>insurerAge</t>
  </si>
  <si>
    <t>Age of the insured person to determine applicability of the Insurance Product.</t>
  </si>
  <si>
    <t>interCompanyFundingPNLCCY</t>
  </si>
  <si>
    <t>Currency in which stressed Treasury P&amp;L for intercompany trades is expressed.</t>
  </si>
  <si>
    <t>interCompanyFundingPNLValue</t>
  </si>
  <si>
    <t xml:space="preserve">This accounts for Values for Profit and Loss from Intercompany Funding under stress. Intercompany fund is the fund flow between two CS Legal Entities. </t>
  </si>
  <si>
    <t>interestFeeDueDate</t>
  </si>
  <si>
    <t>The date on which an interest or fee payment needs to occur or be paid for an financial instrument.</t>
  </si>
  <si>
    <t>interestPaymentFrequency</t>
  </si>
  <si>
    <t>The Indicator showing the periodicity of interest payments e.g. annually, semi annually, bullet</t>
  </si>
  <si>
    <t>interestRate</t>
  </si>
  <si>
    <t>The Interest rate associated with the product, transaction, leg, instrument.</t>
  </si>
  <si>
    <t>interestRateCategoryType</t>
  </si>
  <si>
    <t>The Interest rate category type: fixed, floating and non interest bearing.</t>
  </si>
  <si>
    <t>interestRateFactor</t>
  </si>
  <si>
    <t>It is the interest rate factor used in affordability analysis and relevant for Income Producing Real Estate (IPRE) model.</t>
  </si>
  <si>
    <t>interestRateSpread</t>
  </si>
  <si>
    <t>This attribute holds the interest rate spread that applies to the Consumer Credit Act (CCA) instruments annually - e.g. the interest is based on an Index plus 200 basis points</t>
  </si>
  <si>
    <t>interimBaseNetIncome</t>
  </si>
  <si>
    <t>It refers to projected adjusted income post tax  in baseline scenarios</t>
  </si>
  <si>
    <t>interimScenarioPTIValue</t>
  </si>
  <si>
    <t>Loss Potential Analysis (LPA) Total Loss Amount (also called LPA PTI Impact) refers to the measurement of aggregated potential losses resulting from the application of FINMA LPA scenarios with regards to position risk and non-position risk.</t>
  </si>
  <si>
    <t>interimStressedNetIncome</t>
  </si>
  <si>
    <t>It refers to projected adjusted income post tax  in stressed scenarios</t>
  </si>
  <si>
    <t>internalCollectionId</t>
  </si>
  <si>
    <t>An unique identifier for an internal collection.</t>
  </si>
  <si>
    <t>internalCreditRatingCode</t>
  </si>
  <si>
    <t>An internal credit rating is an internal evaluation of the credit worthiness of a debtor (a private individual, a business (company) or a government) predicting the debtor's ability/willingness to pay back the debt; it thus forecasts implicitly the likelihood of the debtor's default. Refers to the latest internal rating assigned.</t>
  </si>
  <si>
    <t>internalCreditRatingModelCode</t>
  </si>
  <si>
    <t>This is the code to identify the model used to determine the internal credit ratings assigned. The model impacts the client risk class and the Probability of Default assigned.</t>
  </si>
  <si>
    <t>internalExternalIndicator</t>
  </si>
  <si>
    <t>An indicator showing whether the counterpart is internal (Intra/Inter) or external to the Credit Suisse Group.</t>
  </si>
  <si>
    <t>internalTransactionRating</t>
  </si>
  <si>
    <t>The Transaction Rating assigned internally.</t>
  </si>
  <si>
    <t>intraTradeNettingFlag</t>
  </si>
  <si>
    <t>A flag that indicates whether netting is applicable within the security financing transaction trade (SFT) or not. Security financing transaction trades (SFTs) are any transaction where securities are used to borrow cash, or vice versa including repurchase agreements (repos), securities lending activities, and sell/buy-back transactions.</t>
  </si>
  <si>
    <t>inventoryTypeId</t>
  </si>
  <si>
    <t>A unique identifier for the Inventory type name.</t>
  </si>
  <si>
    <t>investementId</t>
  </si>
  <si>
    <t>A global strategic identifier to uniquely identify an issuer. Issuer Id should be able to link up to partyId.</t>
  </si>
  <si>
    <t>investmentCurrency</t>
  </si>
  <si>
    <t>ISO currency code of the equity investment is required for exposure calc</t>
  </si>
  <si>
    <t>investmentExclVAT</t>
  </si>
  <si>
    <t>Price of leasing object excl. VAT</t>
  </si>
  <si>
    <t>investmentFundName</t>
  </si>
  <si>
    <t>The name of the private equity investment fund in which Credit Suisse owns shares in.</t>
  </si>
  <si>
    <t>investmentGrade</t>
  </si>
  <si>
    <t>A flag to indicate whether a corporation is of investment grade or not
When a bond is rated investment grade, its issuer is considered able to meet its obligations, exposing bondholders to minimal default risk.</t>
  </si>
  <si>
    <t>investorShareNtnl</t>
  </si>
  <si>
    <t>Notional of Investor Share</t>
  </si>
  <si>
    <t>investorSharePc</t>
  </si>
  <si>
    <t>Investor Share in %, post-CCF</t>
  </si>
  <si>
    <t>IRCAddonValue</t>
  </si>
  <si>
    <t>IRC capital add-ons are means to capture any under-capitalization driven by modelling limitations that are not taken care of in the production IRC model. These IRC capital add-ons are added to the IRC capital from the production, to arrive at final capital charge.</t>
  </si>
  <si>
    <t>IRCAddonValueCcy</t>
  </si>
  <si>
    <t>The currency in which the IRCAddonValue is expressed.</t>
  </si>
  <si>
    <t>IRCNotionalValue</t>
  </si>
  <si>
    <t>Notional value of transaction expressed in USD; long and short positions are reflected by the sign of the notional.</t>
  </si>
  <si>
    <t>IRCRWAValue</t>
  </si>
  <si>
    <t>IRCRWAValue refers to the bank's assets or off-balance-sheet exposures weighted according to Incremental Risk Charge (IRC).</t>
  </si>
  <si>
    <t>IRCValue</t>
  </si>
  <si>
    <t>IRC value is the estimated potential loss arising from issuer credit deterioration (default and migration) risk, on a given portfolio, over a given period of time (i.e. 1Y), with a given probability (i.e. 99.9%).</t>
  </si>
  <si>
    <t>IRCValueCurrency</t>
  </si>
  <si>
    <t>The currency in which the IRC value is expressed.</t>
  </si>
  <si>
    <t>IRMAAnalysisId</t>
  </si>
  <si>
    <t>Unique analysis identifier when a model has been run in IRMA for a given counterparty/client.</t>
  </si>
  <si>
    <t>ISDA2003ModRestructuring</t>
  </si>
  <si>
    <t>It states that if a restructuring is the only credit event specified in the credit event notice,then the swap may only be settled with delivery of an obligation that matures before the restructuring maturity limitation date (RMLD). RMLD = max{STD, RD + 30 months}. where STD is Scheduled Termination date,RD is restructuring date.</t>
  </si>
  <si>
    <t>ISDADefinition</t>
  </si>
  <si>
    <t>The International Swaps and Derivatives Association is a trade organization of participants in the market for over-the-counter derivatives, ISDA  creates industry standards for derivatives and provides legal definitions of terms used in contracts and these are called as ISDA definition. E.g-2003,2014 (definition created in year 2003/2014 for standardization of OTC trades).</t>
  </si>
  <si>
    <t>ISNIERCValue</t>
  </si>
  <si>
    <t xml:space="preserve">This is the Economic Risk Capital (ERC) value for Illiquid Single Name Investments calculated during times of stress. It captures the worst case change in fair value of assets over a one year horizon associated with a change in the required yield of the assets. </t>
  </si>
  <si>
    <t>issueDate</t>
  </si>
  <si>
    <t>The date on which a security/instrument is issued. In case of a bond, the date from which a bondholder is entitled to receive interest irrespective of the date the bond was purchased or delivered.</t>
  </si>
  <si>
    <t>issueOutstanding</t>
  </si>
  <si>
    <t>This indicates if the issuer has any outstanding issue open in the market which is Required for RW calculation for Corporate Debt exposures</t>
  </si>
  <si>
    <t>issuerId</t>
  </si>
  <si>
    <t>A global strategic identifier to uniquely identify an issuer.</t>
  </si>
  <si>
    <t>issuerName</t>
  </si>
  <si>
    <t>The name of the company offering securities as an attempt to raise funds.</t>
  </si>
  <si>
    <t>issuerType</t>
  </si>
  <si>
    <t>A code indicating the type of issuer. An issuer is a legal entity that develops, registers and sells securities to finance its operations. Issuers may be corporations, investment trusts, or domestic or foreign governments. Categorization of issuer type are as follows: _x000D_
BLANK = UNKNOWN _x000D_
A = AGENCY_x000D_
C = CORPORATE_x000D_
G = GOVERNMENT_x000D_
M = MUNICIPAL_x000D_
S = SUPRANATIONAL</t>
  </si>
  <si>
    <t>ITSMemorandumOfUnderstanding</t>
  </si>
  <si>
    <t>The document that specifies the split of PTI impacts and fixed fee elements under the agreement.</t>
  </si>
  <si>
    <t>ITSRevenuesForecast</t>
  </si>
  <si>
    <t xml:space="preserve">3-year Revenue forecast for ITS products that is used for calculation of ITS stressed revenues.
</t>
  </si>
  <si>
    <t>jointVenturePercent</t>
  </si>
  <si>
    <t>The joint venture rules between two or more businesses.This data is about the joint venture reallocation that is applied in the Allocation set of the results. It is LE specific information that applies similar to all 3 percentiles (99, 99.9 and 99.97) within any LE.</t>
  </si>
  <si>
    <t>Kccp</t>
  </si>
  <si>
    <t>Hypothetical capital requirement of the QCCP due to its counterparty credit risk exposure to all of its clearing members and their clients</t>
  </si>
  <si>
    <t>keyFlag</t>
  </si>
  <si>
    <t>Unique identifier of each investment.</t>
  </si>
  <si>
    <t>KTBDerivativeFlag</t>
  </si>
  <si>
    <t>Identifies positions having Korea Treasury Bond derivatives as underlying.</t>
  </si>
  <si>
    <t>largeExposureInclusionIndicator</t>
  </si>
  <si>
    <t>An indicator to identify if the counterparty is to be included or excluded from large exposure (CNCOM) calculation.</t>
  </si>
  <si>
    <t>LCRExcessOutflow</t>
  </si>
  <si>
    <t>Value of calculated excess outflow per LCR rules</t>
  </si>
  <si>
    <t>leadSubParticipationAccountNumber</t>
  </si>
  <si>
    <t>Lead Sub-Participation Account Number is account number of the Sub Participation when the exposure type is 'Lead', used for EAD calculation in Impairment models</t>
  </si>
  <si>
    <t>leasingInvestmentValueExVAT</t>
  </si>
  <si>
    <t>It refers to the investment amount excluding Value Added Tax (VAT) on a given leasing object invoiced by sellers of the leasing object to CS.</t>
  </si>
  <si>
    <t>leasingObjectCategory</t>
  </si>
  <si>
    <t>Object main group code (Objekthauptgruppe) for the object in leasing deal (e.g. F, I, L, M -&amp;gt; Flugzeuge (airplane), Immobilien (real estate), Luftfahrt (aircraft), Mobilien (mobile))</t>
  </si>
  <si>
    <t>leasingPaymentToSupplier</t>
  </si>
  <si>
    <t>It refers to the cumulative amount paid by CS at a given point of time to the sellers of the leasing object.</t>
  </si>
  <si>
    <t>LEBaseValuationParameters</t>
  </si>
  <si>
    <t>Parameters that are used to determine the end points of the recovery path after stress for the base (unstressed) PTI and RWA. Valuation parameterscould be cashflow, terminal growth etc.</t>
  </si>
  <si>
    <t>legalEntitiesDividendstToParent</t>
  </si>
  <si>
    <t>This accounts for the amout of dividend that LE would pay to Parent under stress scenario. Determined based on LE LPA stress results and capital policies. Note - this is also subject to management overlay</t>
  </si>
  <si>
    <t>legalEntityId</t>
  </si>
  <si>
    <t>An identifier to uniquely identify a legal entity within Credit Suisse. The unique legal entity id is a system generated number which is maintained in PeopleSoft. The Legal Entity is at a department level.</t>
  </si>
  <si>
    <t>legEffectiveDate</t>
  </si>
  <si>
    <t>Date interest starts accruing</t>
  </si>
  <si>
    <t>LESpecificCalculationFlag</t>
  </si>
  <si>
    <t>Legal Entity is used as a parameter to enable legal entity specific calculation in MaRS e.g. flattening of DAR for Csi</t>
  </si>
  <si>
    <t>leverageuplift</t>
  </si>
  <si>
    <t>Shock percentage between stressed and spot movement as compared to the baseline.</t>
  </si>
  <si>
    <t>LGDparameters</t>
  </si>
  <si>
    <t>Static parameters used to determine volatility of realised LGDs and correlation between realised LGDs of positions with same or related reference entity.</t>
  </si>
  <si>
    <t>LGDPercentageValue</t>
  </si>
  <si>
    <t>The LGD expresses the fraction of that exposure that CS expects to lose in case of the counterparty defaulting.</t>
  </si>
  <si>
    <t>LGDScopeIndicator</t>
  </si>
  <si>
    <t>Numeric value defined zero or nine for in and out of scope population for LGD STAR calculation post LGD STAR trigger.</t>
  </si>
  <si>
    <t>LGDUplift</t>
  </si>
  <si>
    <t>A scenario uplift which is a percentage value that is calculated based on the current and stress amount for an instrument.</t>
  </si>
  <si>
    <t>LGDVolatility</t>
  </si>
  <si>
    <t>The volatility of realised LGDs and correlation between realised LGDs of positions with same/related reference entity. LGD volatilities at position level are aggregated under suitable correlation assumptions to participant-level LGD volatility.</t>
  </si>
  <si>
    <t>liabilityDuration</t>
  </si>
  <si>
    <t>Duration of the liability of the Pension Fund.</t>
  </si>
  <si>
    <t>liabilityGrowth</t>
  </si>
  <si>
    <t>Yearly expected growth of Pension Fund liability</t>
  </si>
  <si>
    <t>liabilityOverlayFactor</t>
  </si>
  <si>
    <t>It is the factor that is used to calculate weighted average to combine two Liability overlay gilt curves.</t>
  </si>
  <si>
    <t>lifeInsuranceERCValue</t>
  </si>
  <si>
    <t>Captures the risk of the In Viatica Life Insurance policy portfolio. A synthetic pools of reference mortality is directly or indirectly bought and sold in various forms (swaps, options, and notes with options). _x000D_
Primary risk captured are longevity, and systematic and specific market risks._x000D_
Historical simulation is used for systematic &amp; monte carlo for Specific risk. Basis risk is calculated using life expectancy spreads which are aggregated using Zero correlation.</t>
  </si>
  <si>
    <t>limitCarrierLimitValue</t>
  </si>
  <si>
    <t>This is the limit carrier limit value for loans. The limit carrier limit value is at the highest level of the credit limit hierarchy, which is applicable for plafond credit limits. The credit limit hierarchy is split into three main levels, where the highest is called the limit carrier (plafond credit limit), middle is called the collateral carrier (credit frame limit) and lowest is called the exposure carrier (sub limit). Each lower level would roll up to a higher level.</t>
  </si>
  <si>
    <t>limitStatus</t>
  </si>
  <si>
    <t>An indicator that identifies the current state of the limit. A limit refers to the maximum amount of credit that can be extended to a client.
For example BORROW - indicate if the limit value is temporarily borrowed from other limit
DISCONTINUED - Indicate the limit is inactive
DRAFT - The status when the limit is not yet finalized for approval.
EXCESS - Indicate that utilization breaches the limit excess threshold
LIVE - Indicates that the Limit is active.
PENDING AUTHORIZATION - The limit is ready for approval to go live
TEMPORARY - indicate if the limit value is temporarily adjusted.</t>
  </si>
  <si>
    <t>limitType</t>
  </si>
  <si>
    <t>Limits are thresholds intended for the purpose of controlling the risk profile as per the Bank’s risk appetite. These are applicable to various risk areas like Credit Risk, Market Risk, Liquidity Risk, etc. This field indicates the type of the limit in that respective risk area. For E.g.: Credit Risk Limit Type may apply to PE, Settlement, Notional etc.</t>
  </si>
  <si>
    <t>limitValue</t>
  </si>
  <si>
    <t>The value of the limit against which the exposures will be monitored.</t>
  </si>
  <si>
    <t>linearityIndicator</t>
  </si>
  <si>
    <t>A indictor to show if the product payoff is a simple linear relationship with the price of underlying. Linear derivatives includes futures, forwards and swaps while non-linear covers most of other derivatives. Linear products are products whose value is a linear function of one or more underlying variables like interest rate.</t>
  </si>
  <si>
    <t>liquidityBarometerValue</t>
  </si>
  <si>
    <t>liquidityBarometerValue is used to assess and monitor the ability of a bank to remain compliant with the Board and management approved risk tolerances and provide an integrated and consistent basis for the management of liquidity risks. The barometer is Treasury’s primary stress testing tool for liquidity, as standard barometer include (1) a CS idiosyncratic stress, (2) a combination of CS idiosyncratic and market stress, measuring all relevant liquidity inflows and outflows against a maturity profile to determine a liquidity horizon.</t>
  </si>
  <si>
    <t>liquidityCoverageRatioValue</t>
  </si>
  <si>
    <t>The liquidity coverage ratio (LCR) value refers to High Quality Liquid Assets (HQLA) held by bank in order to meet short-term obligations.</t>
  </si>
  <si>
    <t>liquidityFlag</t>
  </si>
  <si>
    <t>Flag to indicate if the position / trade is liquid or not.</t>
  </si>
  <si>
    <t>liquidityHorizon</t>
  </si>
  <si>
    <t> A liquidity horizon is the time period required to sell or hedge a risk position under adverse market conditions without significant market influence.</t>
  </si>
  <si>
    <t>liquidityProductTypeCode</t>
  </si>
  <si>
    <t>This is the derived product classification used for the Liquidity Risk Measure calculations and is related to the Product ID CDE. It is originated from a standard product hierarchy used within Credit Suisse to identify the product group based on the asset classes, structure and other features i.e. interest only. This is the first level in the hierarchy that is then used further in the liquidity specific reporting.</t>
  </si>
  <si>
    <t>liquidTradedRiskERCValue</t>
  </si>
  <si>
    <t>The Liquid Traded Risk Model captures the Traded Risk across asset classes such as FX, Equity, Interest Rate, Traded Credit and Commodity Models._x000D_
Base methodology is 99% VaR with additional components to project higher percentiles and one-year holding period.</t>
  </si>
  <si>
    <t>listedOnStockExchangeFlag</t>
  </si>
  <si>
    <t>This flag indicates if the equity is publicly listed on a stock exchange. This has an impact on the risk weight.</t>
  </si>
  <si>
    <t>litigationCaseGroupingID</t>
  </si>
  <si>
    <t>A unique grouping identification number for litigation module cases that are related with each other.</t>
  </si>
  <si>
    <t>litigationFlag</t>
  </si>
  <si>
    <t>Any operational risk incident related to litigation is used in the litigation module. This attribute indicates if an operational risk incident is related to Litigation.</t>
  </si>
  <si>
    <t>litigationProvisionAmount</t>
  </si>
  <si>
    <t>The Group accrues loss contingency litigation provisions and takes a charge to income in connection with certain proceedings when losses, additional losses or ranges of loss are probable and reasonably estimable. The Group also accrues litigation provisions for the estimated fees and expenses of external lawyers and other service providers in relation to such proceedings, including in cases for which it has not accrued a loss contingency provision. The Group accrues these fee and expense litigation provisions and takes a charge to income in connection therewith when such fees and expenses are probable and reasonably estimable.</t>
  </si>
  <si>
    <t>loanCommitmentAmount</t>
  </si>
  <si>
    <t>Current facility amount obligated; whether used or unused. This amount may be reduced or increased from the initial Closing Commitment via amendments to the credit agreements; trades. e.g. LIQ terminology = Current Cmt.</t>
  </si>
  <si>
    <t>loanInDefaultFlag</t>
  </si>
  <si>
    <t>Flag to indicate whether any loan already defaulted. Default refers to the failure to pay a loan past the due date.</t>
  </si>
  <si>
    <t>loanMitigationFlag</t>
  </si>
  <si>
    <t>A flag that indicates if the collateral is eligible for netting and risk mitigation.</t>
  </si>
  <si>
    <t>loanPurposeCode</t>
  </si>
  <si>
    <t>A code to indicate the primary purpose of a loan. For e.g., 1 = Purchase, 7 =Home Improvement.</t>
  </si>
  <si>
    <t>loansAndDepositsCategory</t>
  </si>
  <si>
    <t>This refers to the category of loans and deposits. For example Loan Commitment-Revolving, Fixed Uncommitted etc.</t>
  </si>
  <si>
    <t>loanToValue</t>
  </si>
  <si>
    <t>loanToValue determines the collateral value on the basis of the market value of a marketable item of collateral.</t>
  </si>
  <si>
    <t>loanType</t>
  </si>
  <si>
    <t>Report the product group (i.e. loan type). Loan type should reflect the loan type at the time of origination._x000D_
• FHA Residential - Loans insured by the Federal Housing Administration_x000D_
• VA Residential - Loans insured by the Department of Veterans Affairs_x000D_
• Conventional without Private Mortgage Insurance - Conventional w/o PMI – Mortgages with neither government nor private mortgage insurance_x000D_
• CRA (Community Reinvestment Act)_x000D_
•FHA Project_x000D_
•Conventional with Private Mortgage Insurance - Conventional with PMI – Non-government insured mortgages insured by a private (non-government) insurer_x000D_
• HUD 235 Loans_x000D_
• Other_x000D_
• Unknown</t>
  </si>
  <si>
    <t>loanTypeCode</t>
  </si>
  <si>
    <t xml:space="preserve">Identifies the different types of loans in T24 system for ex PB loans. Possible values are - Lombard, SBL &amp; Others. </t>
  </si>
  <si>
    <t>localCurrency</t>
  </si>
  <si>
    <t>Relating to the contractual currency of the account or trade, based on ISO currency values. Local Currency are used as per local accounting standards.</t>
  </si>
  <si>
    <t>locationName</t>
  </si>
  <si>
    <t>The name used to identify the real estate property.</t>
  </si>
  <si>
    <t>lombardCollateralCarrierLimitValue</t>
  </si>
  <si>
    <t>This is the collateral carrier limit value for lombard loans. The collateral carrier limit is at the middle level of the credit limit hierarchy, which is applicable for credit frame limits. The credit limit hierarchy is split into three main levels, where the highest is called the limit carrier (plafond credit limit), middle is called the collateral carrier (credit frame limit) and lowest is called the exposure carrier (sub limit). Each lower level would roll up to a higher level.</t>
  </si>
  <si>
    <t>longMarketValue</t>
  </si>
  <si>
    <t>The market value of security as of close of most recent trading day or business day.</t>
  </si>
  <si>
    <t>longShortIndicator</t>
  </si>
  <si>
    <t>An indicator that state whether the trade is long or short.</t>
  </si>
  <si>
    <t>longtermFlag</t>
  </si>
  <si>
    <t>To identify whether debt issuance tenor is long term (&gt;1Yr)</t>
  </si>
  <si>
    <t>lossGivenBreakup</t>
  </si>
  <si>
    <t>Loss Given Breakup is the estimated loss arising from merger failure.</t>
  </si>
  <si>
    <t>lossRecognitionDate</t>
  </si>
  <si>
    <t>The date on which first financial impact of the operational risk incident i.e., the loss was recorded against P&amp;L._x000D_
_x000D_
In the Operational Risk Capital calculation, for external incidents, the date of loss recognition is used, whereas for Internal loss data, the loss date is used.</t>
  </si>
  <si>
    <t>LPAScenarioPTIValueExtrapolated</t>
  </si>
  <si>
    <t>LPAScenarioPTIValueExtrapolated  is generated by the initial three year stressed PTI calculated by each Legal Entity combined with recovery cash flow derived to reach the same terminal value under baseline scenario.</t>
  </si>
  <si>
    <t>LTorST</t>
  </si>
  <si>
    <t>Indicate whether the rating is for 1 year (short-term) or above (long-term) time horizon.</t>
  </si>
  <si>
    <t>macaulayDuration</t>
  </si>
  <si>
    <t>Macaulay duration is the weighted average term to maturity of the cash flows from a bond. The weight of each cash flow is determined by dividing the present value of the cash flow by the price.</t>
  </si>
  <si>
    <t>MacroSensitive</t>
  </si>
  <si>
    <t>A flag to mark whether the scenario evaluation may be sensitive to changes in the economy</t>
  </si>
  <si>
    <t>macroVariableHistoricalQuarterDate</t>
  </si>
  <si>
    <t>Period for which the historical value for the Macro Economic Factor (MEF) is sourced.</t>
  </si>
  <si>
    <t>macroVariableHistoricalValue</t>
  </si>
  <si>
    <t>Historical value of the Macro-Economic Factor (MEF) which is used as input in the model during model development.</t>
  </si>
  <si>
    <t>macroVariableProjectedQuarterDate</t>
  </si>
  <si>
    <t>It is periodic format in which value is sourced (from ERM) for projected shocks (for 8 qtrs)</t>
  </si>
  <si>
    <t>macroVariableProjectedValue</t>
  </si>
  <si>
    <t>It is the stressed Value of the Macroeconomic Variable</t>
  </si>
  <si>
    <t>macroVariableProjectedValueFormat</t>
  </si>
  <si>
    <t>This field indicates the unit &amp; type of the projected value for a Macro Economic variable. It is used to depict if the value is in the form of a decimal, percentage, basis points etc. Further, it also signifies if any transformation needs to be applied, before projected value of Macro variable can be used in the Stress Loss Calculation Model._x000D_
For example, if the projected value of a macro variable is received as YoY basis then it has to be transformed to QoQ as the model is designed to project the loss or RWA on quarterly basis. Sample value: (% YoY)</t>
  </si>
  <si>
    <t>macroVariableTicker</t>
  </si>
  <si>
    <t>Each Macroeconomic Variable is mapped to particular ticker or Unique identifier. This attribute captures the value (historical as well as projected) of the macro variable ticker.</t>
  </si>
  <si>
    <t>macroVariableTickerValueType</t>
  </si>
  <si>
    <t>This attribute captures the type of the value within a ticker, i.e. Historical or Projected.</t>
  </si>
  <si>
    <t>mainIndexFlag</t>
  </si>
  <si>
    <t>This field indicates whether the equity is listed on a main index.</t>
  </si>
  <si>
    <t>majorEquityIndexFlag</t>
  </si>
  <si>
    <t>This field holds an indicator for whether the equity is listed on a major index.</t>
  </si>
  <si>
    <t>managementActionsPnLValue</t>
  </si>
  <si>
    <t>In a period of stress, it is expected that IB Management will take actions to mitigate its impact. These actions that the management could realistically take in a stress.</t>
  </si>
  <si>
    <t>managementActionsRWAValue</t>
  </si>
  <si>
    <t>In a period of stress, it is expected that IB Management will take actions to mitigate its impact. These actions can be included in the CPB calibration, if they are considered actions that the management could realistically take in a stress.</t>
  </si>
  <si>
    <t>marginAccountIndicator</t>
  </si>
  <si>
    <t>Flag to identify whether normal margin account or cross margin account in EPB</t>
  </si>
  <si>
    <t>marginalContribution</t>
  </si>
  <si>
    <t>Marginal Contribution towards risk of each revenue stream.</t>
  </si>
  <si>
    <t>marginFlag</t>
  </si>
  <si>
    <t>Indicator for margined transactions, i.e., transactions executed with or for a client relating to a future, option or contract for differences (or any right to or any interest in such an investment) under the terms of which the client will or may be liable to provide cash or collateral to secure performance of obligations.</t>
  </si>
  <si>
    <t>marginPeriodOfRisk</t>
  </si>
  <si>
    <t>The value that indicates the number of days between a counterparty default and the time when positions with the counterparty are closed out. It is calculated as MPR = F + N – 1, with F stands for margin Period of Risk Floor and N stands for Margin Frequency.</t>
  </si>
  <si>
    <t>marketDataIdentifier</t>
  </si>
  <si>
    <t>The unique internal or external identifier to identify market data e.g. ISINcode for Equity Price, FX currency pair for FX Rates, MDS Curve for Credit Curves.</t>
  </si>
  <si>
    <t>marketDataType</t>
  </si>
  <si>
    <t>The type of market data e.g. FX Spot Rate, Forward Point, Yield Curve, Traded Volume, Net Asset Value, Index Price.</t>
  </si>
  <si>
    <t>marketDataValue</t>
  </si>
  <si>
    <t>The value of market data internally or externally sourced into Credit Suisse e.g. Values of prices, rates, yields, spreads, volatilities, volumes.</t>
  </si>
  <si>
    <t>marketRiskCapitalMultiplier</t>
  </si>
  <si>
    <t>The value of capital multiplication factor used in market risk capital calculations (including ACVA).</t>
  </si>
  <si>
    <t>marketRiskCVAStressRWAValue</t>
  </si>
  <si>
    <t>The amount of predicted level of Market Risk CVA RWA following a defined period of economic stress.</t>
  </si>
  <si>
    <t>marketRiskRWAValue</t>
  </si>
  <si>
    <t>marketRiskRWAValue refers to the value of the bank's assets or off-balance-sheet exposures weighted according to Market risk.</t>
  </si>
  <si>
    <t>marketTriggerableFlag</t>
  </si>
  <si>
    <t>Flag which indicates whether the Structured Note has a mandatory early redemption based on certain conditions and/or market events.</t>
  </si>
  <si>
    <t>marketValuationAmount</t>
  </si>
  <si>
    <t>The market value of each of the property owned by the bank.</t>
  </si>
  <si>
    <t>marketValuationDate</t>
  </si>
  <si>
    <t>The date (in years) when the property market value was last updated.</t>
  </si>
  <si>
    <t>MARSBusinessHierarchy</t>
  </si>
  <si>
    <t>The hierarchial presentation of businesses for which exposure amount is calculated and reported, Ex-ERC etc.</t>
  </si>
  <si>
    <t>masterAgreementCode</t>
  </si>
  <si>
    <t>Code identifying the type of Master Agreement</t>
  </si>
  <si>
    <t>masterAgreementLLK</t>
  </si>
  <si>
    <t>A unique identifier to identify the Master Agreement (for netting); used as the Legal Linkage Key (LLK) to link up trade with the Master Agreement.</t>
  </si>
  <si>
    <t>masterIndexId</t>
  </si>
  <si>
    <t>A unique identifier for a CDS Index e.g. ITRAXX or CDX which is parent to the CDS position. It is denoted by a range from 1 to 12.</t>
  </si>
  <si>
    <t>maturityDate</t>
  </si>
  <si>
    <t>Maturity date is the date on which the principal amount of a note, draft, acceptance bond or other debt instrument becomes due and is repaid to the investor and interest payments stop. For trades, is the date on which the trade matures.</t>
  </si>
  <si>
    <t>maturityFactor</t>
  </si>
  <si>
    <t>Introduced and defined by SACCR, Maturity Factor is a factor to multiply the Regulatory notional based on transaction's time risk horizon, which is the estimated length of time that the transaction will be exposed to counterparty credit risk.</t>
  </si>
  <si>
    <t>maturityProfileOfTreasuryProductValue</t>
  </si>
  <si>
    <t>The amount of outstanding notional amounts related to various treasury long-term debt products as of a given date with different maturity dates. The aggregation of all maturities results in a maturity profile/schedule.</t>
  </si>
  <si>
    <t>maxDecayDays</t>
  </si>
  <si>
    <t>Maximum permissible days for a defaulted position to decay.</t>
  </si>
  <si>
    <t>MBSCCEligibilityFlag</t>
  </si>
  <si>
    <t>Indicates whether the loan / deposit is eligible for the Mortgage Backed Securities Clearing Corporation (MBSCC).</t>
  </si>
  <si>
    <t>MDARValue</t>
  </si>
  <si>
    <t>The value of the Migration Default at Risk (MDAR), which refers to the profit or loss in value due to a credit rating migration.</t>
  </si>
  <si>
    <t>mediumAndLongTermDebts</t>
  </si>
  <si>
    <t>A value representing the amount of medium and long-term debts . Long-term debt refers to an amount owed for a period exceeding 12 months from the date of the balance sheet. It could be in the form of a bank loan, mortgage bonds, debenture, or other obligations not due for one year.</t>
  </si>
  <si>
    <t>mergerDealId</t>
  </si>
  <si>
    <t>The merger deal identifier used for MERGER_ARB_DEAL table in the database to look up M&amp;A deal's details.</t>
  </si>
  <si>
    <t>mergerOfferType</t>
  </si>
  <si>
    <t>The deal offer type for the buy-out target firm in a merger arbitrage deal, ex: Cash, Stock or Mixed.</t>
  </si>
  <si>
    <t>mezzCDSCltrlAmtCHF</t>
  </si>
  <si>
    <t>CHF amount of CDS collateral applicable for Mezzanine Tranche</t>
  </si>
  <si>
    <t>mezzCDSCurrencyCd</t>
  </si>
  <si>
    <t>Currency of the CDS related to the Mezzanine Tranche</t>
  </si>
  <si>
    <t>mezzCDSMaturityDt</t>
  </si>
  <si>
    <t>Maturity Date of the CDS related to the Mezzanine Tranche</t>
  </si>
  <si>
    <t>mezzCDSMtmAmtCHF</t>
  </si>
  <si>
    <t>CHF Mark to Market amount of CDS applicable for Mezzanine Tranche</t>
  </si>
  <si>
    <t>mezzCDSNtnlAmtCHF</t>
  </si>
  <si>
    <t>CHF Notional amount of CDS applicable for Mezzanine Tranche</t>
  </si>
  <si>
    <t>mezzCDSOrigExposureID</t>
  </si>
  <si>
    <t>Account-ID where CDS, applicable for Mezzanine Tranche, is booked 
(if n/a then e.g. 999.999.998)</t>
  </si>
  <si>
    <t>mezzPercentage</t>
  </si>
  <si>
    <t xml:space="preserve">Percentage of MEZZ_TRNCH_NET_AMT_CHF (CHF Net amount of Mezzanine Tranche) collateralised by Counterparty  in Mezzanine tranche with non cash collaterals. </t>
  </si>
  <si>
    <t>mezzTrnchCptyID</t>
  </si>
  <si>
    <t xml:space="preserve">Cpty ID of Counterparty collateralising the Mezzanine tranche with non cash collaterals. </t>
  </si>
  <si>
    <t>mezzTrnchNetAmtCHF</t>
  </si>
  <si>
    <t xml:space="preserve">CHF Net amount of Mezzanine Tranche </t>
  </si>
  <si>
    <t>migrationAndDefaultProbablityParameters</t>
  </si>
  <si>
    <t xml:space="preserve">Static parameters which define the rating migration and default probabilities used within IRC. </t>
  </si>
  <si>
    <t>migrationCCFValue</t>
  </si>
  <si>
    <t>MigrationCCFValue is a percentage used to convert undrawn commitments into Exposures at Migration (EAM) for the purpose of migration risk.</t>
  </si>
  <si>
    <t>migrationDelta</t>
  </si>
  <si>
    <t>Migration delta for a position is the estimated change in value of the position for 1bp parallel increase in credit spread of the reference entity. Migration Delta is mapped to CS01, DV01 or OAS01 depending on the  product subtype when the sensitivities are available from FO.</t>
  </si>
  <si>
    <t>minimumTransferAmount</t>
  </si>
  <si>
    <t>The minimum amount that should be transferred for any margin call. The amount is specified in the collateral margining agreement.</t>
  </si>
  <si>
    <t>MISOfficeCode</t>
  </si>
  <si>
    <t>MIS office of the department. Value is defaulted from the default office of the business unit that the department is attached to.</t>
  </si>
  <si>
    <t>misOrgUnitId</t>
  </si>
  <si>
    <t>A reporting unit code to identify divisions (e.g. SUB, IWM) in a MIS view that is specifically used for PB.</t>
  </si>
  <si>
    <t>MISProduct</t>
  </si>
  <si>
    <t>Represents rollup of Divisions to Product. Eg. Fixed Income,Equities, etc.</t>
  </si>
  <si>
    <t>MMLERCValue</t>
  </si>
  <si>
    <t>The Final 99percentile value produced for each MML facility</t>
  </si>
  <si>
    <t>modifiedDurationValue</t>
  </si>
  <si>
    <t>It refers to the proportional change in value due to small change in interest rates</t>
  </si>
  <si>
    <t>modifiedModifiedRestructuring</t>
  </si>
  <si>
    <t>This is similar to Mod-R except it follows this formula RMLD = max{STD, RD + A} A = 60 months for restructured obligations and A = 30 months for all other obligations.</t>
  </si>
  <si>
    <t>mostLikelySettlementDate</t>
  </si>
  <si>
    <t>The expected settlement date that is estimated by considering the average time taken from a provision being raised to settlement based on historic experience of settled cases. This is applicable only for provisioned cases.</t>
  </si>
  <si>
    <t>mostRecentAUM</t>
  </si>
  <si>
    <t>The total Assets Under Management (AUM) by the fund in the reported currency as of the most recent complete year (in million USD).</t>
  </si>
  <si>
    <t>mostRecentFundNAV</t>
  </si>
  <si>
    <t>Total net assets of the fund; the total amount of money invested in the fund and include cash and securities, using the most recent year available</t>
  </si>
  <si>
    <t>MSCISectorCode</t>
  </si>
  <si>
    <t>A code that indicates the sector name in an abbreviated format as per the Global Industry Classification Standards (GICS), an industry taxonomy developed by Morgan Stanley Capital International (MSCI) and Standard &amp; Poor's (S&amp;P) for use by the global financial community. For example, 'FINA' is a code used for Financials while 'INDU' for Industrials.</t>
  </si>
  <si>
    <t>MTMValue</t>
  </si>
  <si>
    <t>Mark to market value of the trade.</t>
  </si>
  <si>
    <t>MTMValueCCY</t>
  </si>
  <si>
    <t>Currency in which mark to market is expressed.</t>
  </si>
  <si>
    <t>MTMValueUnderlying</t>
  </si>
  <si>
    <t>Market value of the underlying (in local currency) of a derivative trade.</t>
  </si>
  <si>
    <t>multipleholderObligation</t>
  </si>
  <si>
    <t>Multiple Holder Obligation" means an Obligation that (a) at the time of the event which constitutes a Restructuring Credit Event is held by more than three holders that are not Affiliates of each other.</t>
  </si>
  <si>
    <t>NCBFlag</t>
  </si>
  <si>
    <t>Non-credit bearing indicator to indicate if there is credit default risk for Credit Suisse for a particular trade.</t>
  </si>
  <si>
    <t>NCEIOFlag</t>
  </si>
  <si>
    <t>flag is used in IHC trading book securitization for SSFA RW calc</t>
  </si>
  <si>
    <t>netBookValue</t>
  </si>
  <si>
    <t>The value at which a company carries an asset on its balance sheet. It is equal to the cost of the asset minus accumulated depreciation.</t>
  </si>
  <si>
    <t>netEquity</t>
  </si>
  <si>
    <t>The value of the account if it was liquidated. This is the total amount of all collateral and MTM of trades at each Netting Set.</t>
  </si>
  <si>
    <t>netExposureAtDefaultValue</t>
  </si>
  <si>
    <t>This attribute refers to the net value of the estimated exposure against the counterparty in case of its default, and after netting and collateral application.</t>
  </si>
  <si>
    <t>netIndependentCollateralAmount</t>
  </si>
  <si>
    <t>NetIndependentCollateralAmount or NICA represents the independent collateral amount (other than VM) that a bank may use to offset its exposure on the default of the cpty. It includes 
all IM/IA (segregated or unsegregated) posted by the cpty less the unsegregated collateral posted by the
bank</t>
  </si>
  <si>
    <t>netLeasingObligation</t>
  </si>
  <si>
    <t>It refers to outstanding obligation by client to CS after adjusting for the liquidation proceeds from the leasing object, if the client decides to terminate the contract prematurely.</t>
  </si>
  <si>
    <t>netObligation</t>
  </si>
  <si>
    <t>Number of shares required for settlement in a year.</t>
  </si>
  <si>
    <t>netRevenueValue</t>
  </si>
  <si>
    <t>The value of net revenue a company receives. Net revenue refers to the income amount received minus the costs. It is calculated by the sum of Net Interest, Net Fees and Commissions, Net Trading Revenues, and Net Other Revenues.</t>
  </si>
  <si>
    <t>netStableFundingRatioValue</t>
  </si>
  <si>
    <t>netStableFundingRatioValue is the amount of available stable funding relative to the amount of required stable funding. It is a measure to determine whether there are adequate stable sources of funding to support illiquid assets over a 1-year time horizon.</t>
  </si>
  <si>
    <t>nettableProductFlag</t>
  </si>
  <si>
    <t>This indicates if a product type is netting eligible. For both CSA and non-CSA clients, it is enriched with legal opinion if netting is possible.</t>
  </si>
  <si>
    <t>nettingAgreementId</t>
  </si>
  <si>
    <t>Identifier of the netting agreement which is a legal agreement between a Credit Suisse legal entity and an external legal entity to net transactions to reduce the credit exposure.</t>
  </si>
  <si>
    <t>NettingBasketID</t>
  </si>
  <si>
    <t>Unique identification key for netting baskets as per existing Master Netting Agreements.</t>
  </si>
  <si>
    <t>nettingEligibilityType</t>
  </si>
  <si>
    <t>Trade level legal netting eligibility flag for addon netting.Text for NO is "No Netting". Text for NOR is "Netting"</t>
  </si>
  <si>
    <t>nettingEnforcementFlag</t>
  </si>
  <si>
    <t>A flag to indicate if the trades that are under a certain netting set is Netting Enforceable. The key factors affecting netting enforceability are : executed agreement type(s) in place with the counterparty, law of governing jurisdiction, counterparty type, covered products, and covered branches and CS legal entity in signed netting agreement.</t>
  </si>
  <si>
    <t>nettingSetId</t>
  </si>
  <si>
    <t>A pool of trades under an ISDA that are allowed to be netted together from a legal point of view. Applies to closeout netting.</t>
  </si>
  <si>
    <t>nextExerciseDate</t>
  </si>
  <si>
    <t>The next date a Structured Note with a put or call feature can be exercised. Exercise date refers to the date on which a trader decides to exercise an option (Call/Put) on an exchange or with a brokerage whether bought or written/sold where 'exercise' means making use of the actual right specified in the contract.</t>
  </si>
  <si>
    <t>NIIatRiskValue</t>
  </si>
  <si>
    <t>Potential loss due to change in Net Interest Income (NII) under stressed scenarios for Interest Rate Risk in the Banking Book (IRRBB).</t>
  </si>
  <si>
    <t>NIIatRiskValueCurrency</t>
  </si>
  <si>
    <t>The currency in which the Net Interest Income (NII) at risk value is expressed.</t>
  </si>
  <si>
    <t>NIIValue</t>
  </si>
  <si>
    <t>The value of Net Interest Income which is the difference between Gross Interest Income and Gross Interest Expense.</t>
  </si>
  <si>
    <t>NMPLayer</t>
  </si>
  <si>
    <t>A layer is used to split transactions based on a certain amount or threshold into specific groups for Non-Maturing Products (NMPs). The layer 1 is the amount below the threshold which is considered stable while layer 2 is the one above the threshold which is volatile.</t>
  </si>
  <si>
    <t>NMPReplicationPortfolioId</t>
  </si>
  <si>
    <t>A replication portfolio is a grouping of transactions for Non-Maturing Products (NMPs).</t>
  </si>
  <si>
    <t>NOGACode</t>
  </si>
  <si>
    <t>Nomenclature Générale des Activités économiques. 6-digit code specifying the industry the (corporate) client is active in. Used for compliance and risk reporting .</t>
  </si>
  <si>
    <t>nonAccrualDate</t>
  </si>
  <si>
    <t>The date of when a loan is considered as being in a non accrual state. Nonaccrual loans are type of loans which do not generate the stated interest rate due to nonpayment from the borrower.</t>
  </si>
  <si>
    <t>nonPerformanceIndicator</t>
  </si>
  <si>
    <t>The counterparty will be deemed as non performing if they fail to perform their obligation within the defined period. The period could differ based on the different regulator.</t>
  </si>
  <si>
    <t>nonRecourseLoanERCvalue</t>
  </si>
  <si>
    <t>This is the Economic Risk Capital (ERC) value for Non recourse loan calculated during times of stress. It captures the worst case change in fair value of assets over a one year horizon associated with a change in the required yield of the assets.</t>
  </si>
  <si>
    <t>nonTradedCreditSpreadERCValue</t>
  </si>
  <si>
    <t>This value captures market risk associated with non-actively traded credit spread exposures within International Lending portfolio, Counterparty Risk portfolio and some Private Banking portfolios of the Credit Suisse Group.</t>
  </si>
  <si>
    <t>nonTradedCreditSpreadPriceCap</t>
  </si>
  <si>
    <t>The upper limit or cap for loans is defined at 101% for term loan prices and at 100% for revolvers reflecting the fact that loan prices are not traded above par in reality.</t>
  </si>
  <si>
    <t>normalizedIdentifier</t>
  </si>
  <si>
    <t>This attribute currently sourced from MDS for Equity, Credit and Commodity trades serves as the normalized identifier of the underlying in order to ensure that trades with an underlying coming with different names within a netting set are applied correct hedging.</t>
  </si>
  <si>
    <t>notionalCompressFlag</t>
  </si>
  <si>
    <t>This flag indicates the trades for which notional can be compressed/netted.</t>
  </si>
  <si>
    <t>notionalExposureValue</t>
  </si>
  <si>
    <t>The notional exposure on a financial product is the nominal or face amount that is used to calculate payments made on that instrument. Notional exposure is calculated across all products types in Credit Risk. _x000D_
For derivatives, securities financing and prime brokerage products, trade level notional feeds from the Front Office systems directly or is calculated in the credit risk systems using various trade attributes. Trade level notional is then aggregated to a Business Area (BA) level which is then used as exposure metric. _x000D_
For loan and loan type products, notional exposure is the current drawn amount. For on-balance sheet exposure this equals the funded amount. For guarantee type products, notional exposure is the drawn guarantee amount (drawn off-balance sheet amount). </t>
  </si>
  <si>
    <t>notionalWeightedMaturityValue</t>
  </si>
  <si>
    <t>The weighted maturity value based on a securities' notional value. The weight maturity is used to describe maturities in a portfolio of debt securities. These securities are weighted based on the total amount of a security's underlying asset at its spot price.</t>
  </si>
  <si>
    <t>NRWFlag</t>
  </si>
  <si>
    <t>A flag to indicate if the trade is a Non-regular Way trade or not (i.e. the trade is settled beyond its normal settlement cycle). A NRW (Non-regular Way) trade is a XT (Cash) trade which settles beyond the normal settlement cycle and therefore, cannot be tagged under cash securities on the balance sheet.</t>
  </si>
  <si>
    <t>NSFRCategoryCode</t>
  </si>
  <si>
    <t>This field holds the NSFR category code which classifies the assets in different categories (corporate bonds, listed equities, etc)  based on the requirements in NSFR. </t>
  </si>
  <si>
    <t>NTCSIndexValue</t>
  </si>
  <si>
    <t>The Non traded credit spead index data, which is made up of 3 different indices— 3 Yr IG USD Bond, HY Bond, 5 Yr CDS USD weighted on their respective standalone ERC values.</t>
  </si>
  <si>
    <t>numberOfContract</t>
  </si>
  <si>
    <t>For futures kind of trades, the trading happens in the terms of number of contracts. The notional of trade is derived using the number of contracts and the contract size</t>
  </si>
  <si>
    <t>numberOfEmployees</t>
  </si>
  <si>
    <t>The number of active employees in a company.</t>
  </si>
  <si>
    <t>OASId</t>
  </si>
  <si>
    <t>A unique identifier for Option Adjusted Spread (OAS) of underlying collaterals of structured products security (e.g. ABS or MBS). It is a combination of the collateral features, such as asset type (e.g. RMBS, CMBS, Auto Loans, Student Loans, Credit Cards, etc.), credit Rating or maturity, where appropriate.</t>
  </si>
  <si>
    <t>objectGroupID</t>
  </si>
  <si>
    <t>Leasing Category, Used for Asset Class Allocaton and LGD determination via BS2inp_Ctr_Lgd_Leasing. E.G: Trucks,Helicopter, Jet…</t>
  </si>
  <si>
    <t>objectMainGroupCD</t>
  </si>
  <si>
    <t>Leasing Category, Used for Asset Class Allocaton and LGD determination via BS2inp_Ctr_Lgd_Leasing. Aircraft, Investment goods, Cars, Real estate</t>
  </si>
  <si>
    <t>objectTypeCd</t>
  </si>
  <si>
    <t>Leasing sub-category: Mercedes, brand of aircraft etc.</t>
  </si>
  <si>
    <t>obligationAcceleration</t>
  </si>
  <si>
    <t>Obligation Acceleration covers the situation, where the relevant obligation becomes due and payable as a result of a default by the reference entity before the time The Default Requirement builds in a minimum threshold which the relevant sum being accelerated must exceed before the Credit Event occurs.</t>
  </si>
  <si>
    <t>obligationCategory</t>
  </si>
  <si>
    <t>The scope of obligation sets out on what obligations of the reference entity a credit event can occur. Based on 2003 ISDA Credit Derivative Definitions, there are six obligation categories: Payment, Borrowed Money, Bond, Loan, Bond or Loan, and Reference Obligations Only.</t>
  </si>
  <si>
    <t>obligationDefault</t>
  </si>
  <si>
    <t>Obligation Default covers the situation, other than a Failure to Pay, where the relevant obligation becomes capable of being declared due and payable as a result of a default by the reference entity before the time</t>
  </si>
  <si>
    <t>obligationType</t>
  </si>
  <si>
    <t>Further granular categorization of obligation category. The obligation type can indicate whether it is General, Revenue or any such further categorization.</t>
  </si>
  <si>
    <t>OECDCountryFlag</t>
  </si>
  <si>
    <t>Flag to indicate whether a party is incorporated or domicile in an OECD country. Country of incorporation will taken priority over domicile. OECD refers to Organization for Economic Cooperation and Development and it consist of 34 countries. It aim to stimulate economic progress and world trade.</t>
  </si>
  <si>
    <t>OECode</t>
  </si>
  <si>
    <t>It is a code made up of the Business Unit (BU) ID, Business Area and Department Code. It is required to build the Org Chart and assign employees in the HR-system. All attributes of an OE-code are inherited to all employees linked to the OE-code (e.g. line manager, cost center, location etc.). An important consumer of OE-codes is the Org Chart application.</t>
  </si>
  <si>
    <t>OEFunction</t>
  </si>
  <si>
    <t>It is a kind of a role model. An OEFunction can be assigned to a person’s PID or to an OE-code for a team. OE-functions are always used by IT-applications and/or IT-systems for decision making, workflow steering or access decisions.</t>
  </si>
  <si>
    <t>offBalanceSheetExposureToFund</t>
  </si>
  <si>
    <t>Determine off balance sheet exposure against the fund</t>
  </si>
  <si>
    <t>offsettingKey</t>
  </si>
  <si>
    <t>Unique key combination of tenor and coupon generated to identify unique combination of trade that can be offset.</t>
  </si>
  <si>
    <t>openTradeEquity</t>
  </si>
  <si>
    <t>Open Trade Equity (OTE) is the unrealized gain or loss on futures.  OTE may result in margin call if the net value exceeds the margin maintained with the exchange.</t>
  </si>
  <si>
    <t>operatingExpenseAmount</t>
  </si>
  <si>
    <t>The total amount of expenses related to continuing operations for the business and carrying out an organization's day-to-day activities.</t>
  </si>
  <si>
    <t>operationalRiskBIARWAValue</t>
  </si>
  <si>
    <t>The value of Operational Risk RWA calculated under Basic Indicator Approach. It is calculated by taking the positive average of 3 years Net Revenue and multiplied by the BIAMultiplier.</t>
  </si>
  <si>
    <t>operationalRiskERCValue</t>
  </si>
  <si>
    <t>The Operational Risk ERC measure covers the expected losses (EL) as well as the unexpected losses (UL) at the 99.97% percentile level over a 1-year holding period.</t>
  </si>
  <si>
    <t>opRiskAMARWAValue</t>
  </si>
  <si>
    <t>The level of total operational losses over a 1-year time horizon that could occur with a probability of 0.1%. OpRisk RWA is a measure of the riskiness of OpRisk "assets" and is simply defined as OpRisk capital times 12.5.</t>
  </si>
  <si>
    <t>opRiskBookingAmt</t>
  </si>
  <si>
    <t>Amount recorded for each booking type for corresponding booking currency.</t>
  </si>
  <si>
    <t>opRiskBookingCurrency</t>
  </si>
  <si>
    <t>The currency code of the amount entered for an operational risk booking type.</t>
  </si>
  <si>
    <t>opRiskBookingDate</t>
  </si>
  <si>
    <t>The date on which the operational risk related profit and loss for a particular booking type was booked into the general ledger, or an asset (for e.g. receivable) written off.</t>
  </si>
  <si>
    <t>opRiskBookingType</t>
  </si>
  <si>
    <t>Predefined booking type used to determine the account for booking in General Ledger.</t>
  </si>
  <si>
    <t>opRiskdivforreporting</t>
  </si>
  <si>
    <t>Relevant division(s) for regulatory reporiting (derived based on OU/GBM information)</t>
  </si>
  <si>
    <t>opRiskIncidentGrossAmount</t>
  </si>
  <si>
    <t>The aggregated amount of all booking types in an operational risk incident, excluding recovery related booking types.</t>
  </si>
  <si>
    <t>opRiskIncidentId</t>
  </si>
  <si>
    <t>Unique identifier for an operational risk incident.</t>
  </si>
  <si>
    <t>opRiskIncidentInsuranceRecoveriesAmt</t>
  </si>
  <si>
    <t>The aggregated amount of all the insurance related recovery booking types in an operational risk incident.</t>
  </si>
  <si>
    <t>opRiskIncidentOtherRecoveryAmount</t>
  </si>
  <si>
    <t>The aggregated amount of all the other recoveries (non-insurance) related booking types in an operational risk incident.</t>
  </si>
  <si>
    <t>opRiskIncidentRelevantLE</t>
  </si>
  <si>
    <t>External incidents are assessed to determined their materiality and applicability to the CS LEs._x000D_
This field Indicates the CS legal entities which are relevant to a specific external operational risk incident._x000D_
_x000D_
It is determined based on mappings rules of the relevant LE._x000D_
In operational risk AMA model, one external event can be relevant to one or multiple CS legal entities as follows: _x000D_
- LECHRelevant_x000D_
- CSIRelevant_x000D_
- CSSELRelevant_x000D_
- USIHCRelevant_x000D_
- USIHCRelevant</t>
  </si>
  <si>
    <t>opRiskIncidentTotalLegalFee</t>
  </si>
  <si>
    <t>The aggregated amount of all the 'Legal Fee' related booking types in an operational risk incident.</t>
  </si>
  <si>
    <t>opRiskInsuranceCoverageLimit</t>
  </si>
  <si>
    <t>The maximum amount the insurer will pay for a claim that is covered by the insurance policy.</t>
  </si>
  <si>
    <t>opRiskInsuranceCoverageLimitYearly</t>
  </si>
  <si>
    <t>The highest amount within a year that the insurer will pay for the claims that are covered by insurance policy.</t>
  </si>
  <si>
    <t>opRiskInsuranceExcess</t>
  </si>
  <si>
    <t>Excess amount that has to be borne by the insurance policy holder. Insurer only starts paying for the loss amount once the policy holder has paid this excess amount.</t>
  </si>
  <si>
    <t>opRiskInsuranceHairCut</t>
  </si>
  <si>
    <t>The amount of haircut that applies to insurance based on payment uncertainty in the policy coverage, e.g. policy duration, policy cancellation, insurer default, policy mismatch, insurer dispute, payment delay, etc.</t>
  </si>
  <si>
    <t>opRiskRegisterPrimary</t>
  </si>
  <si>
    <t>Indicates the Op Risk Register ID and the Risk Title closely aligned to Incident.</t>
  </si>
  <si>
    <t>opRiskRWAValue</t>
  </si>
  <si>
    <t>opRiskRWAValue refers to the value of a group's exposures arising due to operational risk when weighted according to compliance with regulatory authority.</t>
  </si>
  <si>
    <t>opRiskScenarioValue</t>
  </si>
  <si>
    <t>The evaluated potential loss for a scenario in the OpRisk library, either at remote or possible level</t>
  </si>
  <si>
    <t>opRiskStressLossProjectionValue</t>
  </si>
  <si>
    <t>The amount of predicted total OpRisk loss during a defined period of economic stress.</t>
  </si>
  <si>
    <t>opRiskStressRWAValue</t>
  </si>
  <si>
    <t>The amount of predicted level of OpRisk RWA following a defined period of economic stress.</t>
  </si>
  <si>
    <t>opRisksubdivforreporting</t>
  </si>
  <si>
    <t>Relevant sub-division(s) for regulatory reporiting (derived based on OU/GBM information)</t>
  </si>
  <si>
    <t>opRiskToleranceLevel</t>
  </si>
  <si>
    <t>Quantitative operational risk tolerance levels which are set against economic (i.e. no P/L distortions) operational risk gains and losses on a cumulative and individual loss basis.</t>
  </si>
  <si>
    <t>optionPrice</t>
  </si>
  <si>
    <t>Specifies the current option price. EOD Market price of Option.</t>
  </si>
  <si>
    <t>optionStyle</t>
  </si>
  <si>
    <t>The exercise type of the option contract.</t>
  </si>
  <si>
    <t>OREDivisionalAllocationRatio</t>
  </si>
  <si>
    <t>This refers to the occupancy cost % which is based on floor space % provided by each region for all properties.</t>
  </si>
  <si>
    <t>originationDate</t>
  </si>
  <si>
    <t>Report the origination date of the commitment. The Origination Date is the date the commitment to lend becomes a legally binding commitment.</t>
  </si>
  <si>
    <t>ORXBusinessLineL1</t>
  </si>
  <si>
    <t>Level 1 Business Line code and title defined by ORX Association. ORX Association requires the allocation of all losses to a Level 2 Business Line.</t>
  </si>
  <si>
    <t>ORXCountry</t>
  </si>
  <si>
    <t>Credit Suisse does not have business activities across all Basel business lines, regions and countries across the world. Thus losses of certain business lines, regions, country or event types are not relevant to Credit Suisse must be excluded while preparing the Loss Data set for modelling. This attribute is used to identify the ORX country where an external incident has occured.</t>
  </si>
  <si>
    <t>ORXMemberFlag</t>
  </si>
  <si>
    <t>External loss data is sourced from two sources viz ORX consortium and ORX News. All ORX News data is directly uploaded in external Incident System. To avoid double counting we need to exclude the ORX news events of the Consortium members. This attribute indicates if the entity associated to the External Incident is a member of ORX Consortium. _x000D_
For e.g. removal of an incident of Bank of America’s (an ORX member)losses from external incident database because this would already have received from ORXConsortium.</t>
  </si>
  <si>
    <t>ORXProductTypeL2Code</t>
  </si>
  <si>
    <t>Level 2 product type classification code defined by ORX Association. ORX Association requires the classification of all Operational Risk events against Level 2 of the product type and whether to classify a certain loss to a specific product type depends on what product or service was involved when the event happened.</t>
  </si>
  <si>
    <t>otherDefaultLossAmount</t>
  </si>
  <si>
    <t xml:space="preserve">It refers to the losses arising from the default of countries prescribed by FINMA in the LPA scenario narrative. </t>
  </si>
  <si>
    <t>outstandingExpiryCount</t>
  </si>
  <si>
    <t>In cases where instrument contains multiple expiry features (for example Reverse Knock Out Forwards, Commodity Swaps to name a few), payments at each expiry reduces outstanding notional. This attribute denotes the count of expiries that have not passed yet. </t>
  </si>
  <si>
    <t>overdraftAmount</t>
  </si>
  <si>
    <t>This is the amount overdrawn from an account or a limit.</t>
  </si>
  <si>
    <t>overlayBaseline</t>
  </si>
  <si>
    <t>Base line scenario for hedge overlays used in managing interest rates for the UK cashflow.</t>
  </si>
  <si>
    <t>overlayScenarios</t>
  </si>
  <si>
    <t>Inflation scenarios refers to fluctuation of hedge overlay cashflows under stress scenarios.</t>
  </si>
  <si>
    <t>overlayvalue</t>
  </si>
  <si>
    <t>Delta in capital value that has been determined post model calibration based on governance reviews</t>
  </si>
  <si>
    <t>ownedRealEstateERCValue</t>
  </si>
  <si>
    <t>The value of Owned Real Estate ERC.</t>
  </si>
  <si>
    <t>ownEstimateHaircutRate</t>
  </si>
  <si>
    <t>Own Estimate calculation (includes Own Estimate, Standard Rule &amp; Stressed) will involve calculating the Security Volatility and FX Volatility taking into account the attributes of the collateral security.</t>
  </si>
  <si>
    <t>parentCreditNumber</t>
  </si>
  <si>
    <t>Identifier of the Parent Credit of the particular account/exposure, represents the specific position in the hiererchy</t>
  </si>
  <si>
    <t>parentId</t>
  </si>
  <si>
    <t>A hierarchical party identifier that is used across Credit Suisse and refers to parent level in its hierachy to identify a party's parent.</t>
  </si>
  <si>
    <t>parentTrancheId</t>
  </si>
  <si>
    <t>Identifies the parent tranche of a securitized product.</t>
  </si>
  <si>
    <t>partnerID</t>
  </si>
  <si>
    <t>Identifier of the partner of the Master Agreement</t>
  </si>
  <si>
    <t>paymentAmount</t>
  </si>
  <si>
    <t>Financial amount of a coupon, fee or interest amount, stock dividend, amortized pricipal needs to be settled/paid.</t>
  </si>
  <si>
    <t>paymentCurrency</t>
  </si>
  <si>
    <t>The currency in which a cashflow is denominated.</t>
  </si>
  <si>
    <t>paymentDate</t>
  </si>
  <si>
    <t>Specifies the date on which a cash flow for example: coupon, fee or interest amount, stock dividend needs to be settled/paid.</t>
  </si>
  <si>
    <t>paymentToSupplier</t>
  </si>
  <si>
    <t>Payments paid to supplier of the leasing object</t>
  </si>
  <si>
    <t>payOrReceiveIndicator</t>
  </si>
  <si>
    <t>An indicator to show which leg is receiving (REC) or paying (PAY), and sum of the two legs (SUM).</t>
  </si>
  <si>
    <t>payOutAmount</t>
  </si>
  <si>
    <t>A fixed amount of money to be paid if the underlying instrument moves in the money. Payout converted to USD.</t>
  </si>
  <si>
    <t>PCAType</t>
  </si>
  <si>
    <t>Principal Component Analysis type, setup base on the MDS data expected value: 2 or 3</t>
  </si>
  <si>
    <t>PCContingentDealSuccessProb</t>
  </si>
  <si>
    <t>The probability of deal succeeding as per Product Control convention.</t>
  </si>
  <si>
    <t>PDLGDCorrelationParameters</t>
  </si>
  <si>
    <t>Static parameters used in the PD-LGD correlation framework within IRC.</t>
  </si>
  <si>
    <t>PEIlliquidInvERCValue</t>
  </si>
  <si>
    <t>Refers to the 99% worst case change in fair value of private equity and other equity positions allocated to the illiquid investment category over a one year time horizon.</t>
  </si>
  <si>
    <t>pensionAllocationKey</t>
  </si>
  <si>
    <t>The allocation key represents the percentage of employer’s  contribution for UK, US and Switzerland Pension Scheme plans. This is used by Group Pension Accounting team for transforming the employer’s contribution data into the divisional split in order to get to a legal entity allocation.</t>
  </si>
  <si>
    <t>pensionAssetClass</t>
  </si>
  <si>
    <t>The Classification of Pension Assets into Asset class and Asset sub class to determine the type of asset and associate them with any kind of exposures or shocks. _x000D_
For e.g. AssetSubType- For ShockBasedApproach, the shocks are defined at asset subclass level_x000D_
AssetSubCategory- For Pension Asset summary, the exposures are defined at sub category level_x000D_
These attributes have different input values for different input files.</t>
  </si>
  <si>
    <t>pensionAssetValue</t>
  </si>
  <si>
    <t>Value of the asset that is allocated to each asset class and asset subclass under each pension plan._x000D_
Asset value under funding view specific for Swiss funds used to calculate gone concern haircut</t>
  </si>
  <si>
    <t>pensionEquityFloor</t>
  </si>
  <si>
    <t>A floor that is applied to the Equity moves so that the 10-day move annualised to 1 year is not amplified to a disproportionate move through the annualisation process.</t>
  </si>
  <si>
    <t>pensionPlanMarketValue</t>
  </si>
  <si>
    <t>Market value of sum total of all pension plan assets.</t>
  </si>
  <si>
    <t>pensionRiskERCValue</t>
  </si>
  <si>
    <t>The expected economic loss of pension risk for one-year time horizon at a given confidence level.</t>
  </si>
  <si>
    <t>pensionRiskRefDate</t>
  </si>
  <si>
    <t>Pension Risk Reference date is used to source the respective data version from TSRD and from MaRS.</t>
  </si>
  <si>
    <t>penultimatePayDate</t>
  </si>
  <si>
    <t>Date of penultimate cashflow payment</t>
  </si>
  <si>
    <t>percentageOfDelinquency</t>
  </si>
  <si>
    <t>The percentage of late or overdue payments, expressed as the amount of overdue payments divided by total load amount (in %).</t>
  </si>
  <si>
    <t>percentageOfPrudency</t>
  </si>
  <si>
    <t>Percentage of underlying collateral that is Prudently written and is of lower risk.</t>
  </si>
  <si>
    <t>percentageOfVotingRights</t>
  </si>
  <si>
    <t>Indicates the CS percentage of voting in the position that falls under own holdings category for BFI (Banking, Finance, and Insurance) calculation purpose</t>
  </si>
  <si>
    <t>percentageOwnHoldings</t>
  </si>
  <si>
    <t>Indicates the percentage of the position that falls under own holdings category for BFI (Banking, Finance, and Insurance) calculation purpose.</t>
  </si>
  <si>
    <t>performanceAdjustment</t>
  </si>
  <si>
    <t>The downward adjustment on award balance (in %) if it is a performance-based award.</t>
  </si>
  <si>
    <t>performanceCriteriaFlag</t>
  </si>
  <si>
    <t>Flag to show if performance of the division would affect the delivery of the award.</t>
  </si>
  <si>
    <t>permHeadCount</t>
  </si>
  <si>
    <t>Number of employees which are on the payrole of Credit Suisse organization as of a given day.</t>
  </si>
  <si>
    <t>personnelExpenses</t>
  </si>
  <si>
    <t>Expenses related to employee compensation, such as salaries, fringe benefits, pensions, retirement, special pay, and insurance for full-time and part-time employees of the company.</t>
  </si>
  <si>
    <t>PEValue</t>
  </si>
  <si>
    <t>The Potential Exposure (PE) of a counterparty’s portfolio of transactions represents the credit exposure at a high percentile confidence interval, i.e. it corresponds to high percentile of simulated exposure values at any given tenor point. The percentile is set based on the chosen risk appetite. For ex Investment Banking portfolios usually the 95th percentile is applied for internal purposes, while for regulatory purposes the 99th percentile is used for transactions covered under the RepoVaR waiver. For ex Private Banking portfolios, the 99th percentile is used for internal purposes, except business units BU005 and BU032, which are treated as ex Investment Banking portfolios.</t>
  </si>
  <si>
    <t>pledgeEnforceableFlag</t>
  </si>
  <si>
    <t>This is a flag to indicate if the client signed all the contracts required to pledge his/her collateral and that all the legally binding documents are available to the bank. In the case of default, the bank can take possession of the client's collateral only if the pledge has been signed.</t>
  </si>
  <si>
    <t>pledgeFlag</t>
  </si>
  <si>
    <t>A flag to identify if the cash / security position is pledged as collateral.</t>
  </si>
  <si>
    <t>PMGIndustry</t>
  </si>
  <si>
    <t>Industry assigned by Portfolio Management Group to a specific borrower for the purposes of research coverage and resultant risk management purposes.</t>
  </si>
  <si>
    <t>PnLCostStructureNotes</t>
  </si>
  <si>
    <t>The total amount of spread costs that is accruing in Treasury for the total amount of outstanding Structured Notes, where the business passes the funding to Treasury. This excludes Structured Notes, that are funded by the business itself and do not go through the Treasury PnL and the allocation process.</t>
  </si>
  <si>
    <t>poolTypeCode</t>
  </si>
  <si>
    <t>Pool Type Code represents specific set of securities issued by a particular institution. e.g. “GN” (GNMA I) OR “G2” (GNMA II) OR FH, FN, AC, PS</t>
  </si>
  <si>
    <t>portfolioRiskClassification</t>
  </si>
  <si>
    <t>Identifies risk arising due to monthly and daily adjustmenets to CAV PV depending on positions present in Client Books (C), Strategic (S) and Tactical (S) infrastructure (R=S/S+T). CAV P&amp;L is generated based on the risk classification.</t>
  </si>
  <si>
    <t>positionCurrency</t>
  </si>
  <si>
    <t>The currency the position is denominated in.</t>
  </si>
  <si>
    <t>positionNettingFlag</t>
  </si>
  <si>
    <t xml:space="preserve">Positions in same instrument within a book are expected to have same netting indicator . Positions with same netting indicators provided by RDS are netted for IRC calculations. 
</t>
  </si>
  <si>
    <t>positionRiskAllocated</t>
  </si>
  <si>
    <t>Allocated Position risk at 99.97 percent quantile across business granularity for the previous month.</t>
  </si>
  <si>
    <t>positionRiskERCValue</t>
  </si>
  <si>
    <t>The value of ERC position risk. The level of unexpected loss in economic value on our portfolio of positions over a one-year horizon which is exceeded with a given, small probability (1% for risk management purposes; 0.03% for capital management purposes).</t>
  </si>
  <si>
    <t>positionRiskStandAlone</t>
  </si>
  <si>
    <t>Standalone Position risk at 99.97 percent quantile across business granularity for the previous month.</t>
  </si>
  <si>
    <t>positionType</t>
  </si>
  <si>
    <t>An indicator to identify the type of position, whether it is a physical position (P), a synthetic position (S), or a traded loan (T).</t>
  </si>
  <si>
    <t>postHairCutCollateralValue</t>
  </si>
  <si>
    <t>Represents the value of the collateral after the application of the relevant haircut.</t>
  </si>
  <si>
    <t>postingAmount</t>
  </si>
  <si>
    <t>Posting Amount is the signed amount of the journal entry that is credited or debited to the General Ledger Account.</t>
  </si>
  <si>
    <t>postingCurrency</t>
  </si>
  <si>
    <t>The ISO code of the currency in which the journal entry is credited or debited to the General Ledger Account.</t>
  </si>
  <si>
    <t>preCollateralisedExposureValue</t>
  </si>
  <si>
    <t>Value of Pre Collateralized Exposure. Pre Collateralized Exposure is the net mark to market exposure at netting set level before application of collateral.</t>
  </si>
  <si>
    <t>preferredStockIndicator</t>
  </si>
  <si>
    <t>A flag to indicate if the instrument is a preferred stock. Preferred stock (also called Preferred shares, preference shares or simply preferred) is a type of stock which may have any combination of features not possessed by common stock including properties of both an equity and a debt instrument, and is generally considered a hybrid instrument.</t>
  </si>
  <si>
    <t>premiumExchangeCount</t>
  </si>
  <si>
    <t>The number of times premium will be exchanged in a year in a Credit Default Swap. In the event that the debt issuer defaults or experiences another credit event, the seller pays the buyer the security’s premium as well as all interest payments that would have been paid between that time and the security’s maturity date.</t>
  </si>
  <si>
    <t>premiumIndicator</t>
  </si>
  <si>
    <t>An indicator to identify if the premium has been 'Paid' or 'Held' for a particular transaction.</t>
  </si>
  <si>
    <t>preNetEADAmount</t>
  </si>
  <si>
    <t xml:space="preserve">The value of the estimated exposure against the counterparty in case of its default. This exposure amount is after netting but before collateral application.The exposures would cover various products; such as loans, bonds, securitizations (non-exhaustive), excluding derivatives and SFTs. </t>
  </si>
  <si>
    <t>presentValue</t>
  </si>
  <si>
    <t>The discounted value of expected future cash flows as of a specified date</t>
  </si>
  <si>
    <t>presentValueCurrency</t>
  </si>
  <si>
    <t>The Present Value is associated with a unit of measure, typically a currency ISO code.</t>
  </si>
  <si>
    <t>priceBand</t>
  </si>
  <si>
    <t>The value-setting method to indicate an upper or lower cost range to specify a price within a power price segment window (E.g. Baseload, Peak, Off-peak, Ancillary) in which specifically those power volumes are marketed in the purchase agreement.</t>
  </si>
  <si>
    <t>priceOfUnderlying</t>
  </si>
  <si>
    <t>The market price of the underlying asset(s) as at the applicable Valuation Business Date.</t>
  </si>
  <si>
    <t>pricingMethod</t>
  </si>
  <si>
    <t>It determines whether a position is price shocked or sensitivity shocked. It also determines the spread shocks that are to be applied in calculating MTM.</t>
  </si>
  <si>
    <t>primaryLLK</t>
  </si>
  <si>
    <t>The primary LLK that uniquely identifies the netting group formed by 1 IM LLK, 1 MA LLK and 0 to 1 VM LLK.</t>
  </si>
  <si>
    <t>primaryLLKStatus</t>
  </si>
  <si>
    <t>This attribute defines status of Primary LLK, whether the LLK keys are valid or invalid.</t>
  </si>
  <si>
    <t>primarySecurityType</t>
  </si>
  <si>
    <t>Primary security type of the instrument. This will help identify Risk Class.</t>
  </si>
  <si>
    <t>principalAmount</t>
  </si>
  <si>
    <t>Principal Amount (or Nominal Amount) is the face value of the financial instrument.</t>
  </si>
  <si>
    <t>privateLabelCMBSERCValue</t>
  </si>
  <si>
    <t>This is the Economic Risk Capital (ERC) value for Private Label Commercial Mortgage Backed Securities (CMBS) calculated during times of stress. It captures the worst case change in fair value of assets over a one year horizon associated with a change in the required yield of the assets.</t>
  </si>
  <si>
    <t>privateLabelRMBSERCValue</t>
  </si>
  <si>
    <t>This is the Economic Risk Capital (ERC) value for Private Label Residential Mortgage Backed Securities (RMBS) calculated during times of stress. It captures the worst case change in fair value of assets over a one year horizon associated with a change in the required yield of the assets.</t>
  </si>
  <si>
    <t>probabilityOfDefaultValue</t>
  </si>
  <si>
    <t>The value of the Probability of Default expresses an annualized probability that CS’ counterparty will default.</t>
  </si>
  <si>
    <t>productClassificationCode</t>
  </si>
  <si>
    <t>The code that uniquely identifies the combination of Product hierarchies level 1, 2 and 3.  For e.g., the code LDFUTINT represents E/T Derivatives – Futures – Interest Rate Futures._x000D_
This code is used by sub-ledger to derive appropriate accounting entries.</t>
  </si>
  <si>
    <t>productFileTypeCode</t>
  </si>
  <si>
    <t>Indicates the major category of the product (e.g. Commodity, Debt, Fund, Future Forward, Money Market, Stock, Pool, Swap, Warrant Right). The value can also be used to indicate the type of security; possible values are Single, Index, Basket or Synthetic</t>
  </si>
  <si>
    <t>productHierarchyLevel1</t>
  </si>
  <si>
    <t>An attribute indicating the highest level of product grouping related to the product classification code. Products may be grouped by asset class, credit quality, instrument type, etc.</t>
  </si>
  <si>
    <t>productHierarchyLevel2</t>
  </si>
  <si>
    <t>An attribute indicating the second level of product grouping related to the product classification code Products may be grouped by asset class, credit quality, instrument type, etc.</t>
  </si>
  <si>
    <t>productHierarchyLevel3</t>
  </si>
  <si>
    <t>An attribute indicating the third, or lowest level of product grouping related to the product classification code. Products may be grouped by asset class, credit quality, instrument type, etc.</t>
  </si>
  <si>
    <t>productID</t>
  </si>
  <si>
    <t>Code to identify the securitization transaction</t>
  </si>
  <si>
    <t>productName</t>
  </si>
  <si>
    <t>The product name of the global strategic identifier to uniquely identify a trade product type within Credit Suisse.</t>
  </si>
  <si>
    <t>productUnderlyingExchangeId</t>
  </si>
  <si>
    <t>Underlying Ref entity of an Index CDS</t>
  </si>
  <si>
    <t>projectedCashAwardExpense</t>
  </si>
  <si>
    <t>Projected cash expense relating to Individual Performance Bonus (ie excluding any deferred portion).</t>
  </si>
  <si>
    <t>ProjectedCashVariablePayIPB</t>
  </si>
  <si>
    <t xml:space="preserve">Input-level PCATcapturing projected Cash Variable Pay portion of IPB excluding deferred cash variable pay expense. </t>
  </si>
  <si>
    <t>projectedDeferredAwardExpense</t>
  </si>
  <si>
    <t>Projected Deferred Compensation expense in baseline case for each division</t>
  </si>
  <si>
    <t>projectedFeeAmount</t>
  </si>
  <si>
    <t>Projected revenues arising from recurring fees or commissions earned.</t>
  </si>
  <si>
    <t>ProjectedLeverageExposure</t>
  </si>
  <si>
    <t>Projected value of Total Assets for the Leverage Ratio</t>
  </si>
  <si>
    <t>projectedLeverageExposureValue</t>
  </si>
  <si>
    <t>Projected value of Leverage Exposure. Leverage Exposure is the sum of On balance sheet exposure, derivative exposure at replacement cost, exposure from securities financing transactions and off balance sheet items.</t>
  </si>
  <si>
    <t>ProjectedOperationalRiskExpense</t>
  </si>
  <si>
    <t xml:space="preserve">Projected value of all operational loss items.  For FR Y-14A schedule this is the value reported on A.7.a line 29 </t>
  </si>
  <si>
    <t>projectedPreAdjustedPreTaxIncome</t>
  </si>
  <si>
    <t>It refers to projected Pre Tax Income in baseline scenario for each division</t>
  </si>
  <si>
    <t>projectedPreTaxIncome</t>
  </si>
  <si>
    <t>A forecasted income value before tax, derived by using baseline scenarios (starting point for projection exercise) for each division</t>
  </si>
  <si>
    <t>projectedRWAValue</t>
  </si>
  <si>
    <t>This is projected value of RWA. "Risk-weighted asset is a bank's assets or off-balance-sheet exposures, weighted according to risk. Risk-weighted assets are used
to determine the minimum amount of capital that must be held by banks and other institutions</t>
  </si>
  <si>
    <t>projectedStressedLeverageExposureValue</t>
  </si>
  <si>
    <t>This is the stressed leverage exposure calculated based on projected leverage exposure from financial plan and leverage uplift</t>
  </si>
  <si>
    <t>projectedStressedRWAValue</t>
  </si>
  <si>
    <t>Projected value of stressed RWA. Stressed RWA is arrived at by multiplying the baseline projections with uplift based on specific scenario.</t>
  </si>
  <si>
    <t>projectedStressedShareholderEquity</t>
  </si>
  <si>
    <t>It refers to the projected book value of the equity capital attributable to the shareholders in stressed scenarios</t>
  </si>
  <si>
    <t>projectedTotalNetInterestIncome</t>
  </si>
  <si>
    <t>Projected Total Net Interest Income is difference between Total Interest Income and Total Interest Expense. For FRY-14A schedule it is the value reported A.7.a. line 13</t>
  </si>
  <si>
    <t>projectedTotalNonInterestExpense</t>
  </si>
  <si>
    <t>MI PCAT capturing projected values for Total Non-interest Expense (as reported on FR Y-14A schedule A.7.a. line 38), less Operational Risk Expense (as reported on FR Y-14A schedule A.7.a line 29), less Cash Variable Pay (as reported on FR Y14A schedule A.7.a line 28E).</t>
  </si>
  <si>
    <t>ProjectedTotalNonInterestIncome</t>
  </si>
  <si>
    <t>Projected value of total  Noninterest Income. For FR Y-14A this is the value reported on schedule A.7.a line 26</t>
  </si>
  <si>
    <t>projectionPeriod</t>
  </si>
  <si>
    <t>Time period corresponding to jump-off-point, actuals, and projection data; input-level data is quarterly (e.g., HQ1, PQ0, PQ1, etc.), with yearly aggregations (e.g., PY1, PY2 etc.)."</t>
  </si>
  <si>
    <t>projectionStartQuarter</t>
  </si>
  <si>
    <t>Quarter number of the year in which Gross Revenue projection starts.</t>
  </si>
  <si>
    <t>propertyConstructionQualityStandardCode</t>
  </si>
  <si>
    <t>This refers to the construction quality of the property, which indicates whether it is luxurious, standard, sub-standard and etc. This would show if a real estate has a high standard or low standard. Based on that, the LGD can be defined, which is then used for the RWA calculation.</t>
  </si>
  <si>
    <t>propertyCurrentValue</t>
  </si>
  <si>
    <t>The current value of collateralized property, which may be either an appraisal or an evaluation depending on legal and bank policy requirements._x000D_
Value is prorated based on the bank's ownership interest in a facility. In cases of cross-collateralization, provide the sum of all property values as adjusted for prorated participations.</t>
  </si>
  <si>
    <t>propertyIndexName</t>
  </si>
  <si>
    <t>Name of the particular property index.</t>
  </si>
  <si>
    <t>propertyType</t>
  </si>
  <si>
    <t>Indicates the type of the property.</t>
  </si>
  <si>
    <t>propertyUsedByCode</t>
  </si>
  <si>
    <t>This refers if the property is used by the owner such that the property is self-occupied for residential purposes or if it is rented out.</t>
  </si>
  <si>
    <t>proRataKey</t>
  </si>
  <si>
    <t>Proxy allocation key to allocate ERC from parent level amongst subsequent child nodes.</t>
  </si>
  <si>
    <t>prprtyTrancheFromPct</t>
  </si>
  <si>
    <t>Low level of a property tranche range expressed in percentage. It is used for the Loan to value ratio calculation (LTV), which is the ratio of a loan to the value of an asset purchased. It represent the ratio of the first mortgage line as a percentage of the total appraised value of real property, used in Loss Given Default (LGD) calculations.</t>
  </si>
  <si>
    <t>prprtyTrancheToPct</t>
  </si>
  <si>
    <t>High level of a property tranche range expressed in percentage. It is used for the Loan to value ratio calculation (LTV), which is the ratio of a loan to the value of an asset purchased. It represent the ratio of the first mortgage line as a percentage of the total appraised value of real property, used in Loss Given Default (LGD) calculations.</t>
  </si>
  <si>
    <t>pruValAVAValue</t>
  </si>
  <si>
    <t>Amount of Operational Risk AVA under the Prudent Valuation Calibration per the EBA Regulatory Technical Standard that may be deducted from UK capital models</t>
  </si>
  <si>
    <t>pruValueAdjustmentValue</t>
  </si>
  <si>
    <t>PruVal is the impact from the main accounting valuation adjustment under the stress. For the Prudent Valuation (PruVal) estimate under the stress scenarios the historical time-series of Additional Valuation Adjustments (AVA) is used to produce a stressed estimate. A quarterly historical time-series is generated for each material component AVA, Market Price Uncertainty AVA, Model Risk AVA, Concentration Risk AVA and Close-out-Costs AVA, Future Administrative Cost, Operational Risk AVA, ARU.</t>
  </si>
  <si>
    <t>PSAClawback</t>
  </si>
  <si>
    <t>This is for negative adjustment on PSA awards, provides the losses in absolute CHF terms and the corresponding downward adjustment required on PSA awards. This is sourced from annual report.</t>
  </si>
  <si>
    <t>publiclyTradedSecurity</t>
  </si>
  <si>
    <t>Identifier for whether or not the security is listed publicly in a recognized exchange.</t>
  </si>
  <si>
    <t>putableFlag</t>
  </si>
  <si>
    <t>A flag to indicate if it is a put for bonds with an embedded put option.</t>
  </si>
  <si>
    <t>quantity</t>
  </si>
  <si>
    <t>A number of specific units captured as part of the transaction and can be presented as but not limited to number of shares for stocks, number of contracts for bonds and derivatives, number of units for commodities.</t>
  </si>
  <si>
    <t>ratingModelID</t>
  </si>
  <si>
    <t>Technical ID of applied rating model. It is a number with 3 or 4 digits</t>
  </si>
  <si>
    <t>ratingOverrideCategoryCd</t>
  </si>
  <si>
    <t>Datafield which is used in order to derive the slotting flag. It refelcts the rating override reason</t>
  </si>
  <si>
    <t>ratingsBasedRiskWeightValue</t>
  </si>
  <si>
    <t>ratingsBasedRiskWeightValue refers to the value of risk weight derived with external rating or inferred rating for an unrated securitisation position for RWA Calculation.</t>
  </si>
  <si>
    <t>ratioActiveRetired</t>
  </si>
  <si>
    <t>Percentage of active employees in the pension asset pool.</t>
  </si>
  <si>
    <t>realEstateDebtSecuritiesERCValue</t>
  </si>
  <si>
    <t>This is the calculated ERC value of Commercial loans, Private lable CMBS and Agency CMBS.</t>
  </si>
  <si>
    <t>realEstateUtilizationRate</t>
  </si>
  <si>
    <t>This percentage defines exclusively the usage percentage of a real estate, such as 70 % of a real estate is used for business.</t>
  </si>
  <si>
    <t>realMarketValue</t>
  </si>
  <si>
    <t>The real market value captures the discounted cashflows and settlement amount.</t>
  </si>
  <si>
    <t>reasonablyPossibleLossAmount</t>
  </si>
  <si>
    <t xml:space="preserve">The Group’s estimate of the aggregate range of reasonably possible losses that are not covered by existing provisions for which the Group believes an estimate is possible
</t>
  </si>
  <si>
    <t>rebalancedcollateralvalue</t>
  </si>
  <si>
    <t>Collateral value after rebalancing portfolio post stressing.</t>
  </si>
  <si>
    <t>receiveCurrency</t>
  </si>
  <si>
    <t>Specifies the currency of receive leg in a trade</t>
  </si>
  <si>
    <t>recourseLikeliness</t>
  </si>
  <si>
    <t>In the event where there is still outstanding client debt after the bank has decided to liquidate the client's portfolio, the recourse likeliness is the likelihood that the remaining exposure can be covered by the client's fully pledged portfolio after a legal recourse situation.</t>
  </si>
  <si>
    <t>recoveryRate</t>
  </si>
  <si>
    <t>Recovery rate represents the rate of recovery [0;100%] expected for each transaction, in the event that the obligor defaults on the collateral and the guarantees. Loss Given Default (LGD) % = 1 - recovery rate.</t>
  </si>
  <si>
    <t>recoveryRiskCategory</t>
  </si>
  <si>
    <t>A category consisting of recovery rate grades for a counterparty in the event of a default. Is used along with Transaction Rating to determine LGD for in-scope counterparties.</t>
  </si>
  <si>
    <t>recoveryType</t>
  </si>
  <si>
    <t>Indicates type of recovery used to cover the operational risk incident that has occurred. Recovery can be either insurance or non-insurance related- based on which the recovery amount are grouped/ aggregated.</t>
  </si>
  <si>
    <t>recutVersion</t>
  </si>
  <si>
    <t>Recut version gives indication of the recut date, historical observation period (rolling or specific) specified internally or externally by regulators, used for calculation of a risk measure.</t>
  </si>
  <si>
    <t>referenceEntityId</t>
  </si>
  <si>
    <t>Unique identifier of the reference entity against who the default the protection is bought and sold (A Credit Default Swap is linked to a "reference entity" or "reference obligor").</t>
  </si>
  <si>
    <t>referencePrice</t>
  </si>
  <si>
    <t>Indicates the reference price of the underlying reference security, the credit event (An event occurs when a person or organization defaults on a significant transaction) of which is covered by CDS (Credit Default Swap).</t>
  </si>
  <si>
    <t>referenceSource</t>
  </si>
  <si>
    <t>An attribute indicating the reference source for a given trade. For example, a system might use NTPA as its reference data.</t>
  </si>
  <si>
    <t>region</t>
  </si>
  <si>
    <t>The region where the property is based in.</t>
  </si>
  <si>
    <t>regionCode</t>
  </si>
  <si>
    <t>The mapping used to generate full granularity of Scenario shocks across all Geography for the scenario shocks coverage as required by the downstream execution.</t>
  </si>
  <si>
    <t>regionCodeForLossGivenDefault</t>
  </si>
  <si>
    <t>The region(For LGD) of the counterparty. Valid Values examples are: European Union, Emerging Market, North America, Other, and Default Value (NULL). This field relates to both FINMA and PRA rules.</t>
  </si>
  <si>
    <t>regionOfRisk</t>
  </si>
  <si>
    <t>The region which the entity conducts most of their business. In CS normally would be: Asia, EMEA (Europe, Middle East and Africa) or Americas (Central and South America).</t>
  </si>
  <si>
    <t>regularWayForwardSettlementId</t>
  </si>
  <si>
    <t>An identifier used to distinguish trades which were booked with a regular way settlement and which were booked forward.</t>
  </si>
  <si>
    <t>regulatedFlag</t>
  </si>
  <si>
    <t>A flag to indicate if any substantial legal entity in the consolidated counterparty group is supervised by a regulatory that imposes prudential requirements consistent with international norms. For use in determining if an AVC multipler should be applied.</t>
  </si>
  <si>
    <t>regulatorIndicator</t>
  </si>
  <si>
    <t>This indicates the applicable regulatory authority or body that relates to a particular industry or business activity.</t>
  </si>
  <si>
    <t>regulatoryNotionalValue</t>
  </si>
  <si>
    <t>This is not strictly a regulator defined term - it is an intermediate attribute in SACCR attribute derivations - equivalent to Notinal amout within the meaing of SACCR methdology prior to Supervisory Duration adjustment but post adjustment for amortizing/accreting notionals and binary trade notionals.</t>
  </si>
  <si>
    <t>regulatoryRNiVRWAValue</t>
  </si>
  <si>
    <t>regulatoryRNiVRWAValue refers to the bank's assets or off-balance-sheet exposures weighted according to Regulatory RNIV.</t>
  </si>
  <si>
    <t>regulatoryScope</t>
  </si>
  <si>
    <t>Defines the scope of positions to be captured and for SP model purposes, defines the set of time series and move methodology that is applied.</t>
  </si>
  <si>
    <t>regulatorySettlementFlag</t>
  </si>
  <si>
    <t>This field indicates if any regulatory settlement or fines were issued to the Bank by regulators for the Operational Risk Incident raised.</t>
  </si>
  <si>
    <t>regulatoryVaRRWAValue</t>
  </si>
  <si>
    <t>regulatoryVaRRWAValue refers to the bank's assets or off-balance-sheet exposures weighted according to Regulatory VaR.</t>
  </si>
  <si>
    <t>rehypothecationFlag</t>
  </si>
  <si>
    <t>A flag to indicate the right of re-hypothecation (re-use) of the collateral.</t>
  </si>
  <si>
    <t>relatednessFlag</t>
  </si>
  <si>
    <t>The relatedness flag indicates on an asset level if the client borrowing the loan is related to the collateral position.</t>
  </si>
  <si>
    <t>relationshipManagerId</t>
  </si>
  <si>
    <t>Unique identifier of personnel employed by CS who manages a given client relationship.</t>
  </si>
  <si>
    <t>relevantIssueSize</t>
  </si>
  <si>
    <t>It denotes the market value of bonds with similar maturity bucket as the one in counterparty/client portfolio and issued by the same issuer.</t>
  </si>
  <si>
    <t>replacementCostValue</t>
  </si>
  <si>
    <t>The loss that would incur if the counterparty defaulted today, assuming no price change during close-out of position.</t>
  </si>
  <si>
    <t>repoHedgeBookFlag</t>
  </si>
  <si>
    <t>Flag to identify the Repo hedge books in scope of scenarios.</t>
  </si>
  <si>
    <t>reportingAccount</t>
  </si>
  <si>
    <t>This is a logical group name for a collection of similar accounts (also known as ADAC account number).</t>
  </si>
  <si>
    <t>reportingCurrencyCode</t>
  </si>
  <si>
    <t>Reporting currency code is the currency for an amount presented in a report, as prescribed by the reporting requirements for the specific report</t>
  </si>
  <si>
    <t>reportingDate</t>
  </si>
  <si>
    <t>The date that the specific measure or number is reported. Reporting date can be different from CoB date, as the measure or number can be captured on one CoB date, but reported on different reporting date, e.g. month-end date or quarter-end date.</t>
  </si>
  <si>
    <t>reportTypeIndicator</t>
  </si>
  <si>
    <t>Indicator in RDS for risk classification</t>
  </si>
  <si>
    <t>repoSecurityValue</t>
  </si>
  <si>
    <t>The value of securities that are pledged in a Repo trade.  These securities are valued at current price including accrued coupon interest to date (notional).</t>
  </si>
  <si>
    <t>repoStyleIndicator</t>
  </si>
  <si>
    <t>This flag indicates if the transaction is eligible for Repo style treatment and hence eligible for collateralized haircut approach.</t>
  </si>
  <si>
    <t>repudiationMoratorium</t>
  </si>
  <si>
    <t>Repudiation/Moratorium deals with the situation where the reference entity or a governmental authority disaffirms, disclaims or otherwise challenges the validity of the relevant obligation.</t>
  </si>
  <si>
    <t>requiredStableFundingCategory</t>
  </si>
  <si>
    <t>The categorization of on balance sheet assets and off-balance sheet exposures to the Required Stable Funding denominator components of the NSFR</t>
  </si>
  <si>
    <t>resecuritizationFlag</t>
  </si>
  <si>
    <t>Indicates if a security can be classified as "re-securitization" as per Regulatory definition. This is applicable to "securitization" positons only.</t>
  </si>
  <si>
    <t>resecuritizationSecurityFlag</t>
  </si>
  <si>
    <t>A flag to Indicator of whether a collateral security is applicable for re-securitization. A re-securitization is a securitization where the risk associated with an underlying pool of exposures is tranched and at least one of the underlying exposures is a securitization position.</t>
  </si>
  <si>
    <t>reserveAcc</t>
  </si>
  <si>
    <t>Reserve Account:
Accrued Excess Spread collected by Asset SPV but not paid yet to Swisscard,  money invested in account in the name of SPV with Credit Suisse, payment to SWC beginning of following month</t>
  </si>
  <si>
    <t>resetFrequency</t>
  </si>
  <si>
    <t>The number of days used for identifying tenor</t>
  </si>
  <si>
    <t>residentialLoanERCvalue</t>
  </si>
  <si>
    <t>This is the Economic Risk Capital (ERC) value for Residential Loan calculated during times of stress. It captures the worst case change in fair value of assets over a one year horizon associated with a change in the required yield of the assets.</t>
  </si>
  <si>
    <t>residentialRealEstateERCValue</t>
  </si>
  <si>
    <t>This is the calculated ERC value of Private lable RMBS, Agency RMBS, Residential loans and asset backed securities(ABS).</t>
  </si>
  <si>
    <t>residualExclVAT</t>
  </si>
  <si>
    <t>Residual value of the leasing object excl. VAT after termination of contract. Used for reconciliation reasons</t>
  </si>
  <si>
    <t>residualInt</t>
  </si>
  <si>
    <t>Residual Interest: 
Accrued Excess Spread on billed but unpaid fees to clients</t>
  </si>
  <si>
    <t>restrictedControlFlag</t>
  </si>
  <si>
    <t xml:space="preserve">A flag to indicate whether there are any investment firms that exercise free control over its assets, liabilities and off-balance sheet exposures. </t>
  </si>
  <si>
    <t>restructuringFlag</t>
  </si>
  <si>
    <t>A flag that indicates whether a loan in Credit Default Swap (CDS) needs restructuring to not. A loan restructuring in CDS is done if the given loan has some potential to cause financial harm and to eliminate this, an action to modify the loan is taken to improve the overall business.</t>
  </si>
  <si>
    <t>restructuringLanguage</t>
  </si>
  <si>
    <t>Restructuring covers events as a result of which the terms, as agreed by the reference entity or governmental authority and the holders of the relevant obligation, governing the relevant obligation have become less favourable to the holders that they would otherwise have been.</t>
  </si>
  <si>
    <t>revenueAmount</t>
  </si>
  <si>
    <t>Revenue is the amount of money that is brought into a company by its business activities. There are different ways of calculating revenue, depending on the accounting method a business employs. Revenue is displayed on a company's income statement and expenses are then deducted in order to obtain net income or profit.</t>
  </si>
  <si>
    <t>riskFactors</t>
  </si>
  <si>
    <t>A risk factor result type produced by a FO RMS representing a market data element that can be perturbed to calculate risk sensitivities. There can be multiple sensitivities (e.g. first order sensitivity - Delta - and second order - Gamma) for the same risk factor. In addition there can be different risk factor representations of the same market object – e.g. Zero and Source risk factors for interest rate curves. riskFactors are represented by an RDL instance keyed by the underlying market object. For example this could be RiskFactor.IRSourceRate. For a full glossary see RiskFactor under http://rdf-gb-prod.eu.hedani.net:8080/resources/rdl/rdl-doc/#/</t>
  </si>
  <si>
    <t>riskPortfolioId</t>
  </si>
  <si>
    <t>The Risk portfolio (Department) that the book rolls up to. This is the same as the Atom Code value known in Product Control and is also known as the Book Group in GPL (because a department in CSI legal entity is a book and has sub-books underneath it, hence, grouping of books)_x000D_
_x000D_
The atom code is attached to a department as part of the department/book opening process._x000D_
_x000D_
The atom code is required by GPL to create a book group. A department cannot be submitted without an atom code. The default value for this attribute is Business Unit_DeptID, however it can be overwritten by the user at time of set-up based on FO request. Book Owner is responsible for data integrity of this attribute. _x000D_
_x000D_
The downstream systems (e.g. Opera, CDB, GPL, etc.) will either refer to this attribute as the same value as department id or refer to it as atom code.</t>
  </si>
  <si>
    <t>riskType</t>
  </si>
  <si>
    <t>A risk sensitivity result type produced by a FO RMS. This is represented by an RDL instance keyed by a trade identifier. For example this could be Trade.Result.IRSourceRate.Delta. For a full glossary see Trade.Result under http://rdf-gb-prod.eu.hedani.net:8080/resources/rdl/rdl-doc/#/</t>
  </si>
  <si>
    <t>riskValue</t>
  </si>
  <si>
    <t>Risk results can be scalars, vectors or more complex types. Each result is associated with a minimal set of attributes that uniquely define the risk factor that is perturbed to generate the risk. The precise value of each risk result type is described in the RDL documentation.</t>
  </si>
  <si>
    <t>riskValueCcy</t>
  </si>
  <si>
    <t>Each risk type value is associated with a unit of measure, typically a currency ISO code.</t>
  </si>
  <si>
    <t>riskyDV01</t>
  </si>
  <si>
    <t>Refers to present value of 1bp annuity (present dollar value of future cash flows) of premium leg of a Credit Default Swap received or paid until the occurrence of a credit event or the maturity of the CDS.</t>
  </si>
  <si>
    <t>RMMRecoveryRate</t>
  </si>
  <si>
    <t>The value of the Risk Measurement and Management (RMM) recovery rate to recover the value of a transaction after default of the underlying security.</t>
  </si>
  <si>
    <t>RNIERCRiskType</t>
  </si>
  <si>
    <t>RNIERC is computed for following Risk Types :
•RNIVs - All risk types that have gone live neither in VaR nor in ERC Methodology.
•Additional Risk Types - All risk types that have gone live in VaR but not in ERC Methodology.
. For every RNIV risk type, a proxy risk type – defined as a group of similar risk types within the VaR model – is assigned.</t>
  </si>
  <si>
    <t>RNIERCValue</t>
  </si>
  <si>
    <t>Captures the risks associated with the risk factors in RNIV.Stressed RNIV calculations are leveraged where P&amp;L and XM’s of RNIV’s are annualised and aggregated per proxy risk class associated to the RNIV using a correlation matrix between proxy risk classes.</t>
  </si>
  <si>
    <t>RNIVModelId</t>
  </si>
  <si>
    <t>A global strategic identifier to uniquely identify a RNIV model within Credit Suisse.</t>
  </si>
  <si>
    <t>RNIVModelVersion</t>
  </si>
  <si>
    <t>A version number of a RNIV model being used, implemented or approved.</t>
  </si>
  <si>
    <t>RNIVUplift</t>
  </si>
  <si>
    <t>It refers to the uplift calculated based on stressed RNIV impact over Base RNIV.</t>
  </si>
  <si>
    <t>RNIVValue</t>
  </si>
  <si>
    <t>VaR value of the risk not included in the VaR framework due to some limitation or constraints (e.g. lack of information of risk behavior).</t>
  </si>
  <si>
    <t>RNIVValueCurrency</t>
  </si>
  <si>
    <t>The currency in which the RNIV value is expressed.</t>
  </si>
  <si>
    <t>roleCode</t>
  </si>
  <si>
    <t>Code that denotes the role of the counterparty, agent /principal /indirect principal.</t>
  </si>
  <si>
    <t>RWAAssetClass</t>
  </si>
  <si>
    <t>This refers to the asset classes used for RWA regulatory reporting purposes.</t>
  </si>
  <si>
    <t>RWAExposureCategory</t>
  </si>
  <si>
    <t>Exposure category is defined by the product classification which is derived in FINCES.</t>
  </si>
  <si>
    <t>RWAExposureSubCategory</t>
  </si>
  <si>
    <t>Exposure sub-category is defined by the product classification which is derived in FINCES.</t>
  </si>
  <si>
    <t>RWAMaturityDays</t>
  </si>
  <si>
    <t>This refers to the remaining maturity days that are used for FINMA RWA calculation purposes, where the maturity days are floored at a minimum of 365 days, which is 1 year, and capped at a maximum of 1825 days, which is 5 years. If the short maturity days rules are applied, the maturity can be lower than 1 year.</t>
  </si>
  <si>
    <t>RWAReliefFlag</t>
  </si>
  <si>
    <t>Attribute is used to detemine if any relief is to be given on RWA charge on ABS Whole loans</t>
  </si>
  <si>
    <t>RWARiskWeightMethodology</t>
  </si>
  <si>
    <t>This attribute represents the risk weight calculation methodology that is used for RWA calculation such as LTA, MBA, etc.</t>
  </si>
  <si>
    <t>RWAUplift</t>
  </si>
  <si>
    <t>It refers to the uplift calculated based on stressed RWA impact over spot RWA.</t>
  </si>
  <si>
    <t>RWAValue</t>
  </si>
  <si>
    <t>Risk-weighted asset is a bank's assets or off-balance-sheet exposures, weighted according to risk. Risk-weighted assets are used
to determine the minimum amount of capital that must be held by banks and other institutions to reduce the risk of insolvency. The capital
requirement is based on a risk assessment for each type of bank asset.</t>
  </si>
  <si>
    <t>RWAWeightedAverageLifeDate</t>
  </si>
  <si>
    <t>BASEL (‘Capital Adequacy Directive’) rules permit the use of ‘WAL’ in place of final ‘bullet’ maturity for the purposes of RWA calculation, where infrastructure supports determination of timing of cash flows. This field enables this downstream calculation.</t>
  </si>
  <si>
    <t>SACCRAddonValue</t>
  </si>
  <si>
    <t>The PFE AddOn calcualted at the level of trade / hedging subset / hedging set (as the case may be) by applying SupervisoryFactor on the EffectiveNotional - a component of SACCR EAD</t>
  </si>
  <si>
    <t>saccrAssetClass</t>
  </si>
  <si>
    <t>Asset Class of the trade conforming to SACCR methodology - defined based on primary risk factor of the trade</t>
  </si>
  <si>
    <t>SACCRCorrelationFactor</t>
  </si>
  <si>
    <t>The SACCR correlation factor depicts the relationship (or dependence) between two variables, a specific
requirement for PFE Addon calculations under SACCR.</t>
  </si>
  <si>
    <t>saccrNotional</t>
  </si>
  <si>
    <t>Notional value of the trade conforming to SACCR methodology prior to Supervisory Duration adjustment in case of IR and Credit trades; In other asset classes, it is AdjustedNotional within the meaning of SACCR methodology definitions</t>
  </si>
  <si>
    <t>saccrPotentialFutureExposure</t>
  </si>
  <si>
    <t>PFE value after applying Multiplier - product of AggregateAddOn and Multiplier</t>
  </si>
  <si>
    <t>salaryOrPensionBorrowerAmount</t>
  </si>
  <si>
    <t>The salary or pension amount which the borrower(s) is expected to receive. The income is used to determine credit worthiness and the ability of the borrowers to repay the debt.</t>
  </si>
  <si>
    <t>saleDate</t>
  </si>
  <si>
    <t>The Date by which the event or action is expected to be completed. E.g. Remediation Completion Deadline</t>
  </si>
  <si>
    <t>scalingFactor</t>
  </si>
  <si>
    <t>The multiplier to up-scale or down-scale a given concept value. Some of the reasons for adjustment can be – as per regulatory requirements or to adjust given value for change in confidence interval.</t>
  </si>
  <si>
    <t>scenarioAddOnValue</t>
  </si>
  <si>
    <t>Risk Add-Ons computed based on scenario own estimate haircuts for a risk domain/portfolio.</t>
  </si>
  <si>
    <t>scenarioCollateralValue</t>
  </si>
  <si>
    <t>The collateral value under a certain stress scenario. A stress scenario helps gauge how certain stressors will affect the value of collateral assets.</t>
  </si>
  <si>
    <t>scenarioCurrentExposureValue</t>
  </si>
  <si>
    <t>The combined exposure of a portfolio with all offsets such as (haircut adjusted) collateral taken into account and yields the real economic credit exposure to a counterparty if it defaulted today , in the stressed scenario, and assuming no further price change during close-out of position.</t>
  </si>
  <si>
    <t>scenarioEADValue</t>
  </si>
  <si>
    <t>The value of scenarioEAD in a particular scenario computed using the Tactical approach for Scenario EAD which is later used for but not limited to SFTQ and LPA Process.</t>
  </si>
  <si>
    <t>scenarioExpectedLossValue</t>
  </si>
  <si>
    <t>It refers to the expected loss under stress scenario, arising from either IB lending exposure, counterparty exposures or underlying issuer exposures  .The scenarios can be but not limited to Loss Potential Analysis (LPA) and Severe Flight to Quality (SFTQ).</t>
  </si>
  <si>
    <t>scenarioHairCutValue</t>
  </si>
  <si>
    <t>The value of haircut that is applied to the trade and collateral to reflect the impact due to a certain stress scenario. Haircut is the percentage by which an asset's market value is reduced for the purpose of calculating capital requirement, margin and collateral levels.</t>
  </si>
  <si>
    <t>scenarioMTMValue</t>
  </si>
  <si>
    <t>Mark to market value of the trade under a certain stressed scenario.</t>
  </si>
  <si>
    <t>scenarioName</t>
  </si>
  <si>
    <t>The name of a specific scenario which is also called as scenario ticker in the market data systems, e.g. MDS/ TSRD.</t>
  </si>
  <si>
    <t>scenarioPBCreditLossBufferValue</t>
  </si>
  <si>
    <t>scenario PB Credit Loss value captures expected loss calculation on existing defaulted assets being not modelled. Current provisions scaled up by the uplift of downturn LGD to ACP LGD to those provisions.</t>
  </si>
  <si>
    <t>scenarioPBCreditLossValue</t>
  </si>
  <si>
    <t>The value of the scenario credit position loss that comes from stressing the Private Banking Portfolio. The scenarios can be but not limited to Loss Potential Analysis (LPA) and Severe Flight to Quality (SFTQ).</t>
  </si>
  <si>
    <t>scenarioPEValue</t>
  </si>
  <si>
    <t xml:space="preserve">Potential Exposure(PE) Value is calculated by evaluating existing trades done against the possible market prices in future during the lifetime of transactions. It is the maximum expected credit exposure at certain confidence level.
</t>
  </si>
  <si>
    <t>scenarioPnLValue</t>
  </si>
  <si>
    <t>Scenario PnL refers to the value of potential profit and loss (PnL) resulting from the application of scenario methodology.</t>
  </si>
  <si>
    <t>ScenarioPTIexGMSValue</t>
  </si>
  <si>
    <t>MI PACT capturing projected Pretax income excluding loss from instantaneous global market shock</t>
  </si>
  <si>
    <t>ScenarioPTIValue</t>
  </si>
  <si>
    <t>Refers to sum of all the position risk and non-position risk impacts under stress.</t>
  </si>
  <si>
    <t>ScenarioPTIValueCcy</t>
  </si>
  <si>
    <t>Currency in which Scenario PTI is reported.</t>
  </si>
  <si>
    <t>scenarioYear</t>
  </si>
  <si>
    <t>The year of the scenario for which the shocks are applied.</t>
  </si>
  <si>
    <t>SCVARWAValue</t>
  </si>
  <si>
    <t>This is a charge arising from the CVA calculated using Standard Rules Exposure that covers the risk driven by changes in the credit spreads of the counterparty.</t>
  </si>
  <si>
    <t>secfinModelCategory</t>
  </si>
  <si>
    <t>Specific to Barometer, it groups all Secfin transactions and positions into 3 categories based on various considerations in terms of division / subdivision that booked the trade, source system, type of transaction. Allowed values are “Equity”, “FID”, “TMI</t>
  </si>
  <si>
    <t>secrecyWaiver</t>
  </si>
  <si>
    <t>Credit Suisse Secrecy Waiver Indicator. Indicate whether the counterparty have signed the secrecy waiver form.</t>
  </si>
  <si>
    <t>securedByComRealEstate</t>
  </si>
  <si>
    <t>Determine if exposure is secured by commerical real estate.</t>
  </si>
  <si>
    <t>securedInd</t>
  </si>
  <si>
    <t>An Indicator showing whether or not there are pledged assets attached to a facility. (e.g. LIQ terminology = Collateral Validation).</t>
  </si>
  <si>
    <t>securitizationAmount</t>
  </si>
  <si>
    <t>Securitized Amount of the credit on the respective identification level</t>
  </si>
  <si>
    <t>securitizationFlag</t>
  </si>
  <si>
    <t>Indicates if a security can be classified as "securitization" as per Regulatory definition.</t>
  </si>
  <si>
    <t>securitizationIRBRiskWeightValue</t>
  </si>
  <si>
    <t>securitizationIRBRiskWeightValue refers to the value of risk weight for a securitisation tranche of an IRB pool derived based on the SEC-IRBA rules for RWA Calculation.</t>
  </si>
  <si>
    <t>securitizationStandardizedRiskWeightValue</t>
  </si>
  <si>
    <t>securitizationStandardizedRiskWeightValue refers to the value of risk weight for a securitisation tranche of a standardized approach pool derived based on SEC-ERBA and SEC-SA for RWA Calculation.</t>
  </si>
  <si>
    <t>securitizationType</t>
  </si>
  <si>
    <t>This indicates if a securitization is traditional or synthetic securitization.</t>
  </si>
  <si>
    <t>securitizedAssetClass</t>
  </si>
  <si>
    <t xml:space="preserve">This attribute denotes Securitized Pool Asset Class. </t>
  </si>
  <si>
    <t>securitizedProductsERCValue</t>
  </si>
  <si>
    <t>This value captures market risk associated with Securitized products which are tradable securities backed by various types of contractual debt such as Residential mortgages, commercial mortgages, auto loans, credit card debt obligations etc. SP portfolio also contains Residential, Commercial and Non-recourse loans.</t>
  </si>
  <si>
    <t>securityCashBorrowLendFlag</t>
  </si>
  <si>
    <t xml:space="preserve">This field Indicates if the cash leg or security leg of the transaction is borrowed/received or lent/given. </t>
  </si>
  <si>
    <t>securityCashExclusionFlag</t>
  </si>
  <si>
    <t>This field classifies whether a record should be included for generation of security or cash flows in the downstream reporting.</t>
  </si>
  <si>
    <t>securityVolatilityHaircut</t>
  </si>
  <si>
    <t>The haircut percentage rate applied to collateral of securities based on the volatility. These securities, which are characterized by volatility and price uncertainty, usually have high haircut rates.</t>
  </si>
  <si>
    <t>segmentTypeCode</t>
  </si>
  <si>
    <t>Indicates the segment of the client.</t>
  </si>
  <si>
    <t>segregationIndicator</t>
  </si>
  <si>
    <t>An indicator to differentiate between products traded in US Exchanges, those traded outside US Exchanges and OTC trades.</t>
  </si>
  <si>
    <t>SellerSharePc</t>
  </si>
  <si>
    <t>Seller Share in %, post-CCF</t>
  </si>
  <si>
    <t>seniorFlag</t>
  </si>
  <si>
    <t>Alternative method to determine Payment Rank of the debt.  When the flag is set to Y, it indicates a senior debt else it indicates a junior debt</t>
  </si>
  <si>
    <t>seniority</t>
  </si>
  <si>
    <t>Identifies the seniority level of the bond (Senior Secured, Senior Unsecured, Lower Tier 2, Subordinated, Tier 1). Bond seniority refers to the order of repayment in the event of a sale or bankruptcy of the issuer.</t>
  </si>
  <si>
    <t>servicingFee</t>
  </si>
  <si>
    <t>Servicing fee: 
Accrued Servicing Fee billed but unpaid</t>
  </si>
  <si>
    <t>settlementCurrency</t>
  </si>
  <si>
    <t>The currency in which settlement will take place.</t>
  </si>
  <si>
    <t>settlementDate</t>
  </si>
  <si>
    <t>Specifies the actual date the transfer of asset and/or cash is completed, i.e. when the underlying will be delivered.</t>
  </si>
  <si>
    <t>settlementExposureValue</t>
  </si>
  <si>
    <t>The maximum value of outstanding settlement exposure denominated in Base currency. It is the aggregated value of counterparty exposure reported at Limit level. Settlement exposure arises if payments do not match or if delivery is free of payment.</t>
  </si>
  <si>
    <t>settlementMonth</t>
  </si>
  <si>
    <t>Specifies the actual month the transfer of asset and/or cash is completed, i.e. the month when the underlying will be delivered.</t>
  </si>
  <si>
    <t>settlementQuantity</t>
  </si>
  <si>
    <t>Aggregated number of specific units as part of position expected to be executed on the settlement date and can be presented as but not limited to number of shares for stocks, number of contracts for bonds and derivatives, number of units for commodities. Position is an aggregation of multiple transactions based on logic defined by different purposes.</t>
  </si>
  <si>
    <t>settlementStatusIndicator</t>
  </si>
  <si>
    <t>Indicates the settlement status of of the transaction i.e. where the transaction (cash payment, receipt of stocks, etc.) is settled or not.</t>
  </si>
  <si>
    <t>settlementTypeIndicator</t>
  </si>
  <si>
    <t>Settlement type, ie Cash or Physical (C or P)_x000D_
C(ash) / A(sset)_x000D_
Deliverables Type</t>
  </si>
  <si>
    <t>SFTCollateralHaircutEADValue</t>
  </si>
  <si>
    <t>SFTCollateralHaircutEADValue refers to the Exposure at Default (EAD) value for Secured Financing Transactions (SFT) where it is calculated based on collateral haircut approach.</t>
  </si>
  <si>
    <t>SFTFCCMEADValue</t>
  </si>
  <si>
    <t>SFTFCCMEADValue refers to the Exposure at Default (EAD) value for Secured Financing Transactions (SFT) where it is calculated based on the Financial Collateral Comprehensive Method (FCCM).</t>
  </si>
  <si>
    <t>SFTQPosititonLossAmt</t>
  </si>
  <si>
    <t>Severe Flight to Quality Position Loss Amount refers to the measurement of potential losses resulting from the application of Severe Flight To Quality (SFTQ) scenarios which is a pervasive phenomenon that exacerbates the impact of recessionary shocks. The losses include both market and credit.
Severe Flight to Quality Position Loss Amount  refers to the measurement of aggregated position losses resulting from the application of Severe Flight To Quality (SFTQ) scenarios on position risks (i.e credit risk and market risk scenarios).</t>
  </si>
  <si>
    <t>SFTQPosititonLossAmtCcy</t>
  </si>
  <si>
    <t>Currency in which SFTQPosititonLossAmt is expressed.</t>
  </si>
  <si>
    <t>shipAge</t>
  </si>
  <si>
    <t>Time duration (in years) of when ship started functional activity. Age of the ship will be considered from the time it was built until on date.</t>
  </si>
  <si>
    <t>shipScrapValue</t>
  </si>
  <si>
    <t>Value of ship when it is assumed to be scrapped.</t>
  </si>
  <si>
    <t>shipType</t>
  </si>
  <si>
    <t>the type of the ship which CS has financed (tanker, bulk etc).</t>
  </si>
  <si>
    <t>shipValue</t>
  </si>
  <si>
    <t>Value of ship when ship is functional.</t>
  </si>
  <si>
    <t>shockValue</t>
  </si>
  <si>
    <t>The distressed calibration (in %) applied to stress a measurement. The shock can be either price based or spread based.</t>
  </si>
  <si>
    <t>shortCoverFlag</t>
  </si>
  <si>
    <t>A flag to indicate whether the call is short or covered</t>
  </si>
  <si>
    <t>shortTermClaimFlag</t>
  </si>
  <si>
    <t>Flag to determine asset class and risk weight% for securitization records</t>
  </si>
  <si>
    <t>simpleRiskWeightValue</t>
  </si>
  <si>
    <t>simpleRiskWeightValue refers to the value of risk weight derived based on the classification of equity instruments into two predefined sub-asset classes for RWA Calculation</t>
  </si>
  <si>
    <t>singleClientIdentifier</t>
  </si>
  <si>
    <t>This attribute is used in identifying different type of relationships that a counterparty or borrower can have with Credit Suisse so as to correctly aggregate the exposure to a single name</t>
  </si>
  <si>
    <t>singleNameConcentrationBufferValue</t>
  </si>
  <si>
    <t>singleNameConcentrationBufferValue intends to capture SNC methodology gap. (which is not applicable for earning scenario FTQ Lite due to low severity).</t>
  </si>
  <si>
    <t>singleNameConcentrationLossAmount</t>
  </si>
  <si>
    <t>The concentration risk loss accounts for concentration of positions at single name level.</t>
  </si>
  <si>
    <t>singleNameIndexFlag</t>
  </si>
  <si>
    <t>This attribute currently sourced from MDS is used for Equity and Credit trades in determining the appropriate supervisory factor to be applied in SACCR AddOn calculations</t>
  </si>
  <si>
    <t>skewSurfaceIndicator</t>
  </si>
  <si>
    <t>The indicator of the FXSkew was whether generated from a 3 points surface (HRR, HSP and ATM) or 5 points surface (HRR, HSP, LRR, LSP and ATM) to know if there is any missing information for MIS purpose.</t>
  </si>
  <si>
    <t>skewType</t>
  </si>
  <si>
    <t>The type of curvature which represents the skewness and kurtosis of the implied volatilitiy distribution. Skew Type, depending on Valuation Model of different asset classes. For FX, the accepted values are: HRR, HSP, LRR, LSP, and for Equity, the accepted values are: UP and Down, for Interest Rate the accepted Values are Alpha, Beta and Rho.</t>
  </si>
  <si>
    <t>slottingCriteriaRiskWeightValue</t>
  </si>
  <si>
    <t>slottingCriteriaRiskWeightValue refers to the value of risk weight for specialized lending exposures derived based on internal credit rating, type of specialized lending and residual maturity for RWA Calculation.</t>
  </si>
  <si>
    <t>SOIDate</t>
  </si>
  <si>
    <t>Attribute used to perform equity lookthrough</t>
  </si>
  <si>
    <t>sourceSystemCode</t>
  </si>
  <si>
    <t>A code that indicates the original source system id from where the data is sourced or from where the sourced data is adjusted. If the sourced system is also a receiver of data feeds then the original source system id will be set as a the sourceSystemCode.</t>
  </si>
  <si>
    <t>sovereignDefaultIndicator</t>
  </si>
  <si>
    <t>This indicates whether a sovereign has defaulted on its obligation in the past.</t>
  </si>
  <si>
    <t>specificRiskAddOnValue</t>
  </si>
  <si>
    <t>The capital add on value capturing issuer specific risk calculated for each portfolio of debt and equity positions which are not covered in CS' internal VaR model as well as securitization positions not covered under comprehensive risk calculation.</t>
  </si>
  <si>
    <t>spotLeverageExposurevalue</t>
  </si>
  <si>
    <t>This is the realized leverage exposures value, which is one of the key components, required to calculate Leverage Ratio (Basel III requirement). Leverage exposure is the sum of following exposures,
-  on-balance sheet exposure 
-  derivative exposure at replacement cost 
-  securities financing transactions exposures
-  off balance sheet exposure items</t>
  </si>
  <si>
    <t>SpotRWAAdjustmentsValue</t>
  </si>
  <si>
    <t>Under LPA, it is now required to calculate results on a constant balance sheet basis. This requires to begin with Spot RWA as a starting point and make necessary adjustments to bring it in line with financial plan. These adjustmnets are provided by and discussed with Capital Management team and applied by ERM</t>
  </si>
  <si>
    <t>spreadPercentage</t>
  </si>
  <si>
    <t>The difference (spread) between two related interest rates expressed in percentage.</t>
  </si>
  <si>
    <t>SPVID</t>
  </si>
  <si>
    <t xml:space="preserve">The credit mark comment CID Level A:
Identifies the fund for Columbo reclassifcation
</t>
  </si>
  <si>
    <t>standardApproachPostCollateralizedEADValue</t>
  </si>
  <si>
    <t>This is the Exposure At Default before application of collateral. This is required for the FINMA RWA Standard Approach Floor Calculation.</t>
  </si>
  <si>
    <t>standardApproachPreCollateralizedEADValue</t>
  </si>
  <si>
    <t>standardizedRiskWeightValue</t>
  </si>
  <si>
    <t>standardizedRiskWeightValue refers to the value of risk weight derived based on parameters prescribed by regulator for RWA Calculation.</t>
  </si>
  <si>
    <t>standardLombardFlag</t>
  </si>
  <si>
    <t>This flag is used to indicate if the credit is a standard lombard credit or a non-standard lombard credit.</t>
  </si>
  <si>
    <t>STCFlag</t>
  </si>
  <si>
    <t>This indicates whether a securitization transaction meets the criteria of alternative capital treatment for simple, transparent and comparable (STC) securitizations.</t>
  </si>
  <si>
    <t>strategicTransactionERCValue</t>
  </si>
  <si>
    <t>ERC for renewable energy related deals done by the Strategic Transaction Group</t>
  </si>
  <si>
    <t>strategyStyle</t>
  </si>
  <si>
    <t>Hedge fund zero correlation extreme moves are the percentiles taken from the fund's residual returns which can not be explained from the market risk component (The strategy style of the fund).</t>
  </si>
  <si>
    <t>stressedCapitalValue</t>
  </si>
  <si>
    <t>Refers to the calculation of the CET1 capital ratio and its components under stress scenarios, which is based on stressed CET1 capital over stressed RWA.</t>
  </si>
  <si>
    <t>stressedCompensationRiskValue</t>
  </si>
  <si>
    <t>Represents the risk associated with variable compensation plan provided to its employees in the form of share based compensation, directly captured through adjustments to capital reserves. This is generally modelled as a benefit as Treasury is able to deliver shares to employees at a cheaper price given that Credit Suisse stock would be expected to underperform under a stress scenario.</t>
  </si>
  <si>
    <t>stressedCTM</t>
  </si>
  <si>
    <t>Transition and Default Probabilities of the credit Ratings as calibrated under the Stress Scenario.</t>
  </si>
  <si>
    <t>stressedDARValue</t>
  </si>
  <si>
    <t>The stessed Default At Risk (DAR) value is the loss amount assigned to individual positions in the event of default for various stress scenarios/conditions.</t>
  </si>
  <si>
    <t>stressedDeferredCompensationImpactValue</t>
  </si>
  <si>
    <t>Refer to compensation savings under a stress event. Compensation represents share based employee Credit Suisse’s variable compensation plan provided to its employees at a future date.</t>
  </si>
  <si>
    <t>stressedDeferredTaxAssetsImpactValue</t>
  </si>
  <si>
    <t>Refers to the deferred tax asset (DTA) impact under a stressed event. The DTA would arise firstly due to historic losses and represents a potential future tax benefit that can reduce the tax payable in a tax year that taxable profits are made. In the event of stress the DTA would increase, as it provides a benefit within PnL and will only be utilized in the event of taxable profits, thereby reducing cash tax that needs to be paid.</t>
  </si>
  <si>
    <t>stressedEADValue</t>
  </si>
  <si>
    <t>The amount of the estimated exposure at default that is calculated at a counterparty level for various stress scenarios/conditions.</t>
  </si>
  <si>
    <t>stressedEEPEValue</t>
  </si>
  <si>
    <t>The stressedEEPEValue refers to the EEPE Value calculated under a stressed scenario</t>
  </si>
  <si>
    <t>stressedFXMismatchValue</t>
  </si>
  <si>
    <t>Revenues and expenses are composed of a series of streams denominated in different currencies. This implies a position mismatch that is exposed to changes in the FX rates. Thus FX rate shocks are applied onto those positions in order to assess the losses under stressed market conditions.</t>
  </si>
  <si>
    <t>stressedGroupROE</t>
  </si>
  <si>
    <t>Group ROE, taking into account the adjusted PTI numbers, in stress scenario</t>
  </si>
  <si>
    <t>StressedITSAllocationValue</t>
  </si>
  <si>
    <t>The final output of the ITS computations. ITS (International Trading Solutions)is a Joint Venture between Global Markets (GM), Swiss Universal Bank (SUB) and International Wealth Management (IWM). The business is a trading desk managed and operated within GM division who facilitate trades for the SUB and IWM divisions. A profit share agreement is in place which includes a fixed fee and variable component.</t>
  </si>
  <si>
    <t>stressedLeverageExposureValue</t>
  </si>
  <si>
    <t>Refers to the stressed exposure post the application of scenarios.</t>
  </si>
  <si>
    <t>stressedLGDValue</t>
  </si>
  <si>
    <t>The amount of the loss given default (LGD) value calculated under a stress scenario. A scenario uplift which is a percentage value that is calculated based on the current and stress amount for an instrument and the stressed LGD value is calculated based on the minimum of 1 or scenario uplift * LGD
 Stressed LGD = MIN (1, scenario uplift *LGD).</t>
  </si>
  <si>
    <t>stressedLongevityCashFlow</t>
  </si>
  <si>
    <t>Cashflow with mortality stress used in Pension ERC.</t>
  </si>
  <si>
    <t>StressedNSFRValue</t>
  </si>
  <si>
    <t>Net stable funding ratio (NSFR) is a measure that looks to limit the over-reliance on short term wholesale funding, e.g. short term deposits funding long term mortgages. It is computed as ratio of ‘available stable funding’ and ‘required stable funding’. LPA NSFR denotes the value of NSFR after experiencing the impact of a hypothetical FINMA specified LPA (Loss Potential Analysis) Scenario. LPA is computed twice annually and submitted to FINMA.</t>
  </si>
  <si>
    <t>stressedOpRiskImpact</t>
  </si>
  <si>
    <t xml:space="preserve">It refers to the impact value calculated based on the stresses and base losses arising from operational risk </t>
  </si>
  <si>
    <t>stressedPDValue</t>
  </si>
  <si>
    <t>Stressed PD value is the Probability of default under the stress scenario.</t>
  </si>
  <si>
    <t>stressedPensionRiskPTIImpact</t>
  </si>
  <si>
    <t>In case of under-funding of the CS CH Pension Fund, CS CH AG as recovery plan sponsor is required to increase its contributions to the Fund. Stressed Pension Risk PTI Impact also called as Additional Employer Contributions are Pre-Tax Income (PTI) relevant for CS CH AG and impact capital indirectly via the income statement.</t>
  </si>
  <si>
    <t>stressedRevenueDecline</t>
  </si>
  <si>
    <t>It refers to the decline in revenue under crisis circumstances.</t>
  </si>
  <si>
    <t>stressedRNiVRWAValue</t>
  </si>
  <si>
    <t>stressedRNiVRWAValue refers to the bank's assets or off-balance-sheet exposures weighted according to Stressed RNIV.</t>
  </si>
  <si>
    <t>stressedRWAExtrapolated</t>
  </si>
  <si>
    <t>StressedRWAExtrapolated is generated by the initial three year stressed RWA calculated by each Legal entity combined with RWA path for recovery period derived to reach the same terminal value under baseline scenario.</t>
  </si>
  <si>
    <t>stressedTaxImpact</t>
  </si>
  <si>
    <t>A gain related to a reduction of the tax expense driven by a lower stressed PTI.</t>
  </si>
  <si>
    <t>stressedTreasuryPnLCcy</t>
  </si>
  <si>
    <t>Currency in which stressed Treasury P&amp;L is expressed.</t>
  </si>
  <si>
    <t>stressedTreasuryPnLValue</t>
  </si>
  <si>
    <t>The stressed Treasury P&amp;L provides a comprehensive view on how the Treasury P&amp;L will evolve during and after a stress event. It allows for the identification of specific factors that would have a significant impact on the Bank’s P&amp;L (e.g. change in market rates, credit spreads, regulatory requirements).</t>
  </si>
  <si>
    <t>stressedVaRRWAValue</t>
  </si>
  <si>
    <t>stressedVaRRWAValue refers to the bank's assets or off-balance-sheet exposures weighted according to Stressed VaR.</t>
  </si>
  <si>
    <t>StressedVarValue</t>
  </si>
  <si>
    <t>The VaR calculated on a 2Y historical and 1Y simulated time series representing the highest period of stress for the current position, and used for regulatory capital purpose.</t>
  </si>
  <si>
    <t>strike</t>
  </si>
  <si>
    <t>Specifies the strike of the option, i.e. the price/level at which the option will be exercised</t>
  </si>
  <si>
    <t>strikeccy</t>
  </si>
  <si>
    <t>Currency code of the strike price of the option.</t>
  </si>
  <si>
    <t>strikePriceMultiplier</t>
  </si>
  <si>
    <t>Factor by which Strike Price is multiplied</t>
  </si>
  <si>
    <t>strikeRate</t>
  </si>
  <si>
    <t>This is the value at which the CDS will be activated for calculation.Strike price of the option on CDE. Sample value can be .75</t>
  </si>
  <si>
    <t>structureIdOrderNumberExternalId</t>
  </si>
  <si>
    <t>The identifier for the structure / deal. This identification code should be applied across all trade records that are component parts of a single trade / transaction with a counterpart.</t>
  </si>
  <si>
    <t>subAccountNostroID</t>
  </si>
  <si>
    <t>The identification code to an account that a bank holds in a foreign currency in another bank.</t>
  </si>
  <si>
    <t>subAllocationPercentage</t>
  </si>
  <si>
    <t>It is the percentage of exposure to be allocated to different SUB divisions.</t>
  </si>
  <si>
    <t>subLimitAmount</t>
  </si>
  <si>
    <t>Maximum amount of the lenders' commitment to be drawn in the form of different facilities ( letter of credit, swingline or an overdraft) within a revolving credit line.</t>
  </si>
  <si>
    <t>subNettingSet</t>
  </si>
  <si>
    <t>It is a partition associated with an interseciton of netting set and margin agreement - used as an AddOn calculation unit conforming to SACCR methodology</t>
  </si>
  <si>
    <t>subOrdinationFlag</t>
  </si>
  <si>
    <t>Applicable for Debit instruments - If it is sub ordinated or not</t>
  </si>
  <si>
    <t>subParticipationFlag</t>
  </si>
  <si>
    <t>A flag to exclude sub-participation data.</t>
  </si>
  <si>
    <t>supervisoryDelta</t>
  </si>
  <si>
    <t>Introduced and defined by SACCR, Supervisory Delta is a factor to multiply the Regulatory Notional based on the delta of the transaction. Delta is a measure for showing product's sensitivity to a change in price of the underlying asset.</t>
  </si>
  <si>
    <t>supervisoryDuration</t>
  </si>
  <si>
    <t>Supervisory Duration is an adjustment made to the Notional in case of IR &amp; Credit asset clases only under SACCR methodology before deriving Effective Notional. SupervisoryDuraiton is calcualted using trade's StartDate and EndDate</t>
  </si>
  <si>
    <t>supervisoryFormulaRiskWeightValue</t>
  </si>
  <si>
    <t>supervisoryFormulaRiskWeightValue refers to the value of risk weight derived where PD and LGD approach can be applied to the underlying exposures when external or inferred rating is not available for RWA Calculation.</t>
  </si>
  <si>
    <t>supervisorySecuritizationRole</t>
  </si>
  <si>
    <t>This indicates if CS is an originator, sponsor, underwriter, marketer, or investor with regard to a securitization transaction.</t>
  </si>
  <si>
    <t>swaptionId</t>
  </si>
  <si>
    <t>An unique identifier for CDS index option derived in RDS by concatenating Book, MDS Curve, Maturity/Expiry date, Option Expiry Date, Call/Put and Strike.</t>
  </si>
  <si>
    <t>SWWRCollateralHaircutValue</t>
  </si>
  <si>
    <t>The value of haircut applied to collateral due to 1) legal connection between Ultimate Parents of Collateral and Counterparty posting the collateral and/or 2) Correlation between Collateral and the Counterparty.</t>
  </si>
  <si>
    <t>systematicFactorCorrelationMatrix</t>
  </si>
  <si>
    <t>Correlation matrix structure between systematic factor loading types.</t>
  </si>
  <si>
    <t>taxExpenseValue</t>
  </si>
  <si>
    <t>It refers to the tax expense calculated based on the level of pre tax income</t>
  </si>
  <si>
    <t>tenor</t>
  </si>
  <si>
    <t>The term of repayment or the original maturity date of the loan.</t>
  </si>
  <si>
    <t>tenorBucket</t>
  </si>
  <si>
    <t>Time periods used for grouping of amounts to be reported (examples: 1-3 months, 1-2 years, above 5 years etc.).</t>
  </si>
  <si>
    <t>thresholdValue</t>
  </si>
  <si>
    <t>The value of the threshold against which the exposures will be monitored.</t>
  </si>
  <si>
    <t>tickerCode</t>
  </si>
  <si>
    <t>An internal Identifier to uniquely identify instrument.</t>
  </si>
  <si>
    <t>tickSize</t>
  </si>
  <si>
    <t>A tick size is the minimum price movement of a trading instrument. The price movements of different trading instruments vary with the tick size representing the minimum incremental price movement that can be experienced on an exchange. 
A tick is a minimum upward or downward movement in the price of a security.</t>
  </si>
  <si>
    <t>tickValue</t>
  </si>
  <si>
    <t>Cash value of one tick. For every up/down price movement equal to one tick size, the profit or loss of a trade would increase/decrease by the tick value.</t>
  </si>
  <si>
    <t>timeBucket</t>
  </si>
  <si>
    <t>Generalized time to maturity breakdowns based on methodology.</t>
  </si>
  <si>
    <t>timeBucketOption</t>
  </si>
  <si>
    <t>Pre-defined time to expiry tenor breakdowns, defined based on methodology, of an option in use (Term to expiry bucket of the option).</t>
  </si>
  <si>
    <t>timeSeriesDate</t>
  </si>
  <si>
    <t>The date for which time series market data was applicable.</t>
  </si>
  <si>
    <t>timeSeriesERCValue</t>
  </si>
  <si>
    <t>Time Series ERC is a component of ERC calculated by VaR methodology that is derived from time series P&amp;L strips of aggregated risk factors. The P&amp;L strip is subjected to pre-determined conditions (i.e. confidence level, holding period, time horizon, lambda, scaling method) to give the Time Series ERC.</t>
  </si>
  <si>
    <t>timeSeriesValue</t>
  </si>
  <si>
    <t>The value of the time series which can represent prices, rates or implied volatilities depending on what is being sourced from the upstream.</t>
  </si>
  <si>
    <t>topUpLikeliness</t>
  </si>
  <si>
    <t>This is the likeliness that the client succeeds in providing additional collateral value or reducing the drawn exposure in order to cover a collateral value shortfall.</t>
  </si>
  <si>
    <t>totalAssetValue</t>
  </si>
  <si>
    <t>The value of total assets held. Total assets are the sum of all current and noncurrent assets and must equal to the sum of total liabilities and stockholders' equity combined. For use in determining if an AVC multipler should be applied</t>
  </si>
  <si>
    <t>totalCapitalLossRWAUplift</t>
  </si>
  <si>
    <t>Refers to 10% of stressed risk weighted assets under capital scenarios.</t>
  </si>
  <si>
    <t>totalCapitaLossAmount</t>
  </si>
  <si>
    <t>The value of total losses arising from a stress event under Capital Scenarios including 
a. US Economic Crisis
b. Bond Market Crash
c. EM Hard landing
d. Forward looking SFTQ
e. Swiss recession
f. SFTQ</t>
  </si>
  <si>
    <t>totalCapitaLossAmountCcy</t>
  </si>
  <si>
    <t>Currency in which total capital loss amount is reported.</t>
  </si>
  <si>
    <t>totalCashInflowValue</t>
  </si>
  <si>
    <t>totalCashInflow refers to the value of the total expected cash inflow over a certain period.</t>
  </si>
  <si>
    <t>totalCashOutflowValue</t>
  </si>
  <si>
    <t>TotalCashOutflow refers to the value of the total expected cash outflow over a certain period.</t>
  </si>
  <si>
    <t>totalCreditLimit</t>
  </si>
  <si>
    <t>The maximum amount of credit extended to the client for all CS financed facilities.</t>
  </si>
  <si>
    <t>totalEquityValue</t>
  </si>
  <si>
    <t>Total value of equity is a value available to owners or shareholders of a company. It includes enterprise value, all cash and cash equivalents, short and long-term investments except all short-term debt, long-term debt and minority interests.</t>
  </si>
  <si>
    <t>totalERCValue</t>
  </si>
  <si>
    <t>Economic Risk Capital (ERC), estimates the amount of capital required by Credit Suisse based on the risks that are running or planning to take on through the course of business activities. It covers position risk and non-position risks . It is an internal assessment of true risk exposure in terms of economic realities rather than regulatory or accounting rules.</t>
  </si>
  <si>
    <t>totalFlaggedExpsre</t>
  </si>
  <si>
    <t>according to Balance Sheet of Swisscard</t>
  </si>
  <si>
    <t>totalIssuanceSpread</t>
  </si>
  <si>
    <t>This is the credit spread that CS needs to pay that is on top of underlying reference rate.  Investors expect a certain "credit spread" or additional yield to underlying reference rate such as LIBOR.</t>
  </si>
  <si>
    <t>totalLiabilities</t>
  </si>
  <si>
    <t>Total liabilities are the aggregate debt and financial obligations (short and long-term plus off balance sheet liabilities) owed by a business to individuals and organizations at any specific period of time.</t>
  </si>
  <si>
    <t>totalPortfolioMarketValue</t>
  </si>
  <si>
    <t>Market Value of Middle Market Loan (MML) Portfolio against which Credit Suisse lend as per the pre-defined.</t>
  </si>
  <si>
    <t>totalSubParticipationAmount</t>
  </si>
  <si>
    <t>This is how much the sub-participating banks are participating in the drawn amount by the client. CS must be the leading bank for this sub-participation loan.</t>
  </si>
  <si>
    <t>totalSubParticipationLimitCarrierLimitValue</t>
  </si>
  <si>
    <t>This is the total loan amount of a specific sub-participated credit facility on limit carrier level. As such, it comprises not only the CS part but also the part of the sub-participations in all cases where CS is leading.</t>
  </si>
  <si>
    <t>TPVLastDoneOn</t>
  </si>
  <si>
    <t>Attribute used to determine aging for equity lookthrough</t>
  </si>
  <si>
    <t>tradeCurrency</t>
  </si>
  <si>
    <t>Specifies the trade currency of the instrument/leg</t>
  </si>
  <si>
    <t>tradeDate</t>
  </si>
  <si>
    <t>The date that the parties formally agree to make the trade / transaction / deal.</t>
  </si>
  <si>
    <t>tradeDeltaValue</t>
  </si>
  <si>
    <t>In case of linear trades, this input data attribute represetns the direction of the trade</t>
  </si>
  <si>
    <t>tradedRiskERCValue</t>
  </si>
  <si>
    <t>Captures all traded positions risk @ 99% for all the risk factors with historical simulation approach_x000D_
Traded Risk ERC is a historical simulation model. _x000D_
Base methodology is 99% VaR with additional components to project higher percentiles and one-year holding period.</t>
  </si>
  <si>
    <t>tradeGroup</t>
  </si>
  <si>
    <t>Credit Suisse defined name to describe group of trades. Trades are grouped based on similar characteristics like maturity, risk profile, interest rate etc.</t>
  </si>
  <si>
    <t>tradeId</t>
  </si>
  <si>
    <t>An unique identifier for the trade (TCN / DEAL ID).</t>
  </si>
  <si>
    <t>tradeNotionalPrincipal</t>
  </si>
  <si>
    <t>The notional amount of a derivative contract is a reference figure for the underlying, determined at inception, used together with or without other potentially variable quantities to calculate cashflows under the contract.</t>
  </si>
  <si>
    <t>tradeStatus</t>
  </si>
  <si>
    <t>The status of the trade/position/deal through its trade lifecycle (active, inactive, open, settled, partially settled, matured, failed etc.).</t>
  </si>
  <si>
    <t>tradingBookSecuritizationExposureValue</t>
  </si>
  <si>
    <t>tradingBookSecuritizationExposureValue refers to the notional or market value of the Securitization exposures booked in the Trading Books.</t>
  </si>
  <si>
    <t>tradingIssuerDefaultLossAmount</t>
  </si>
  <si>
    <t>This CDE measures the final trading book losses due to issuer defaults (jump to default event) exclusively for non-securitized credit sensitive products.</t>
  </si>
  <si>
    <t>trancheId</t>
  </si>
  <si>
    <t>A unique identifier assigned to a tranche. For securitized products, a tranche identifies the portion of loan or security that has been split up into smaller pieces to be subsequently sold to investors.</t>
  </si>
  <si>
    <t>trancheMaturityDate</t>
  </si>
  <si>
    <t>This refers to the maturity of the tranche either due to full payments or end of protection.</t>
  </si>
  <si>
    <t>trancheMaturityDateType</t>
  </si>
  <si>
    <t>This refers to the method used to derive tranche maturity date. Tranche maturity can be measured using either the contractual cash flows of the tranche or the final legal maturity of the tranche.</t>
  </si>
  <si>
    <t>trancheRating</t>
  </si>
  <si>
    <t>This refers to the credit rating of the tranche. For securitized products, a tranche identifies the portion of loan or security that has been split up into smaller pieces to be subsequently sold to investors.</t>
  </si>
  <si>
    <t>transferPricingExpenses</t>
  </si>
  <si>
    <t>The transfer pricing expenses are broadly recognized in two components, cost plus basis and revenue sharing split. For the revenue sharing split, a change in revenues would change the transfer pricing costs as well.</t>
  </si>
  <si>
    <t>treasuryHeldShares</t>
  </si>
  <si>
    <t>Number of CSG shares which CS treasury currently holds.</t>
  </si>
  <si>
    <t>treasuryPutCallComboOutstanding</t>
  </si>
  <si>
    <t>The number of put-call option combination(s) with expiry within next 1 year, entered into by Treasury to cover future obligations of CS stocks to relevant employees. This can be interpreted as forwards where almost half price is accounted for at the time of purchase (premium) and remaining at time of delivery (strike). The total price is usually close to the running market price.</t>
  </si>
  <si>
    <t>triggerContractFlag</t>
  </si>
  <si>
    <t>This flag is used to indicate trigger contracts, which are typically large single positions made up of primarily equities that requires special monitoring.</t>
  </si>
  <si>
    <t>triggerLoanToValue</t>
  </si>
  <si>
    <t>This indicates the loan to value ratio used for trigger contracts or trigger assets, where the collateral value would be equal to the trigger loan to value multiplied by the market value of the trigger contract or trigger asset used as collateral.</t>
  </si>
  <si>
    <t>triggerProbability</t>
  </si>
  <si>
    <t>The percentage value of the probability that product or instrument will be triggered or called at each potential exercise date.</t>
  </si>
  <si>
    <t>underlyingAssetClass</t>
  </si>
  <si>
    <t>This attribute shows the underlying asset classification of the instrument.</t>
  </si>
  <si>
    <t>underlyingCurrency</t>
  </si>
  <si>
    <t>The currency of the underlying which is being used as a market object.</t>
  </si>
  <si>
    <t>underlyingEffectiveDate</t>
  </si>
  <si>
    <t>Specifies the date from which the underlying of the trade is effective</t>
  </si>
  <si>
    <t>underlyingId</t>
  </si>
  <si>
    <t>The identification code of the specific security underlying the financial instrument. For example - this will be the bond identifier for a bond option</t>
  </si>
  <si>
    <t>underlyingProductExchangeId</t>
  </si>
  <si>
    <t>A unique identifier for the exchange(s) where the underlying product of the trade is traded on For example NYSE The underlying product is the instrument (such as stock, futures, commodity, a currency or an index) on which a derivative's price is based.</t>
  </si>
  <si>
    <t>underlyingTypeCode</t>
  </si>
  <si>
    <t>A code describing if there are single or multiple underlyers to the trade, and if the multiple underlyers take the form of a basket or index.</t>
  </si>
  <si>
    <t>unfundedAmount</t>
  </si>
  <si>
    <t>The difference of Committed capital and the Paid-In Capital of the fund.</t>
  </si>
  <si>
    <t>unityFXTKey</t>
  </si>
  <si>
    <t>Proxy allocation key to allocate FXT risk with CS Group LE, to allocate FXT ERC from CS group business level to Corporate center.</t>
  </si>
  <si>
    <t>unityKey</t>
  </si>
  <si>
    <t>Proxy allocation key that allows the upstream ERC model output to pass as it is in ERC framework without any additional gap fill.</t>
  </si>
  <si>
    <t>unstressedProvisionBufferValue</t>
  </si>
  <si>
    <t>For unstressedProvisionBufferValue, the model captures expected loss calculation on existing defaulted assets which are not modelled. Current provisions scaled up by ratio of stressed LGD to base LGD.</t>
  </si>
  <si>
    <t>USGAAPValue</t>
  </si>
  <si>
    <t>Fair value of investments based on US GAAP standards.</t>
  </si>
  <si>
    <t>valuationModelName</t>
  </si>
  <si>
    <t>This is a name of the model used for valuation</t>
  </si>
  <si>
    <t>valueToLoan</t>
  </si>
  <si>
    <t xml:space="preserve">Given that the CECL LGD is implemented at the credit frame level.
VTL at the credit frame level needs to be used in the CECL LGD calculation model.
Represents value to Loan Ratio at Credit Frame level.
</t>
  </si>
  <si>
    <t>VaRCalculationMethod</t>
  </si>
  <si>
    <t>Method in which the VaR value is being calculated, e.g. Unscaled Percentile, Basket Scaled Percentile, Expected Shortfall, etc.</t>
  </si>
  <si>
    <t>variationHeld</t>
  </si>
  <si>
    <t>The additional collateral amount received from the counterparty to ensure that the initial margin requirement keeps up with any losses.</t>
  </si>
  <si>
    <t>variationMarginCALLK</t>
  </si>
  <si>
    <t>The variation margin collateral annex legal linkage key which relates to the primary LLK.</t>
  </si>
  <si>
    <t>variationPledged</t>
  </si>
  <si>
    <t>The additional collateral amount pledged from the counterparty to ensure that the initial margin requirement keeps up with any losses.</t>
  </si>
  <si>
    <t>VaRValue</t>
  </si>
  <si>
    <t>VaR value is the estimated potential loss given normal market conditions for a time period. It is indicated by percentile of expected loss at certain confidence level.</t>
  </si>
  <si>
    <t>VaRValueCurrency</t>
  </si>
  <si>
    <t>The currency in which the VaR value is expressed.</t>
  </si>
  <si>
    <t>vegaType</t>
  </si>
  <si>
    <t>Indicates what type of volatility modelling the Vega calculation was performed with, e.g. Normal or LogNormal.</t>
  </si>
  <si>
    <t>versionLGD</t>
  </si>
  <si>
    <t>Version of the ldg calculation formula</t>
  </si>
  <si>
    <t>volatilityFactor</t>
  </si>
  <si>
    <t>The volatility factor depict the dispersion level of a sets of data class. For SACCR, It is the parameter specified to each asset class used to convert the effective notional amount into PFE based on the measured volatility of the asset class.</t>
  </si>
  <si>
    <t>volatilityFlag</t>
  </si>
  <si>
    <t>A flag to indicate if it is a volatility derivative, where the payoff explicitly depends on some measure of the volatility of an underlying asset.</t>
  </si>
  <si>
    <t>volatilityTrade</t>
  </si>
  <si>
    <t>Whether the trade is a volatility transaction within the meaning of SACCR methodology</t>
  </si>
  <si>
    <t>volckerAdjustment</t>
  </si>
  <si>
    <t xml:space="preserve">The amount provided by Asset Management Compliance or in any other authority through monthly report, to avoid double counting (Capital team deducted from Tier 1 capital). In particular, BMR deducts this amount from EIF exposure. </t>
  </si>
  <si>
    <t>watchlistEndDate</t>
  </si>
  <si>
    <t>The date on which counterparty has been removed from watchlist.</t>
  </si>
  <si>
    <t>watchlistFlag</t>
  </si>
  <si>
    <t>Flag indicating if any counterparty falls under Watchlist category.</t>
  </si>
  <si>
    <t>watchlistStartDate</t>
  </si>
  <si>
    <t>The date on which counterparty has been added to watchlist.</t>
  </si>
  <si>
    <t>weightedAverageLife</t>
  </si>
  <si>
    <t>Weighted Average Life of Corporate Bank Loans</t>
  </si>
  <si>
    <t>weightedAverageMaturity</t>
  </si>
  <si>
    <t>This is notional weighted maturity of treasury products, Calculation of maturity is done considering the notional weights</t>
  </si>
  <si>
    <t>wrongWayRiskFlag</t>
  </si>
  <si>
    <t>A flag to identify Wrong Way Risk. Wrong way risk arises when credit exposure to counterparty during the life of trade is adversely correlated to the counterparty's credit quality.</t>
  </si>
  <si>
    <t>WWRExposureAddOnValue</t>
  </si>
  <si>
    <t>Add On Exposure value derived as a result of application of any of the Wrong Way Risk calculations - General, Trade Correlation, Trade Legal Connection, Correlated Collateral, Collateral Legal Connection.</t>
  </si>
  <si>
    <t>XMValue</t>
  </si>
  <si>
    <t>XM stands for '(Non-Directional) Extreme Move' which is the extreme move for both long and short positions for certain calculations, i.e. some term-structure aggregation methods.</t>
  </si>
  <si>
    <t>yearEndCleardownDate</t>
  </si>
  <si>
    <t>The business date on which the P&amp;L balances were cleared down in the detailed ledger as part of the year end process (moving P&amp;L to retained earnings to enable the reporting of P&amp;L on a year-to-date basis).</t>
  </si>
  <si>
    <t>yieldRate</t>
  </si>
  <si>
    <t>The income return on an investment. This refers to the interest or dividend received from a security and is expressed annually as a percentage based on the investment's cost, its current market value or its face value.</t>
  </si>
  <si>
    <t>ZCXMValue</t>
  </si>
  <si>
    <t>ZCXM stands for 'Zero Correlation (Non-Directional) Extreme Move' which is the extreme move for both long and short positions for some term-structure aggregation methods used in regression model, representing the residual component for the specific risk.</t>
  </si>
  <si>
    <t>zeroRiskWeightEntity</t>
  </si>
  <si>
    <t>To flag entities where % risk weight is applicable</t>
  </si>
  <si>
    <t>CIFNumber</t>
  </si>
  <si>
    <t>The CIF number is the unique identifier for a Client Information File (CIF).</t>
  </si>
  <si>
    <t>initialReceivedMargin</t>
  </si>
  <si>
    <t>Actual Initial Margin received by Credit Suisse from counterparty</t>
  </si>
  <si>
    <t>Tab</t>
  </si>
  <si>
    <t>File</t>
  </si>
  <si>
    <t>Status</t>
  </si>
  <si>
    <t>Legend</t>
  </si>
  <si>
    <t>Dataset 1 fx_schredder</t>
  </si>
  <si>
    <t>fx_schredder</t>
  </si>
  <si>
    <t>fx_shredder_@DATE@.csv</t>
  </si>
  <si>
    <t>Mandatory Field</t>
  </si>
  <si>
    <t>Dataset 2 vix_prices</t>
  </si>
  <si>
    <t>vix_prices</t>
  </si>
  <si>
    <t>vix_prices_@DATE@.csv</t>
  </si>
  <si>
    <t>Mandatory for Data Delivery Team</t>
  </si>
  <si>
    <t>Dataset 3 fx_rates</t>
  </si>
  <si>
    <t>fx_rates</t>
  </si>
  <si>
    <t>FX_Rates_@DATE@.dat</t>
  </si>
  <si>
    <t>Best Effort</t>
  </si>
  <si>
    <t>Dataset 4 vix_prices_archive</t>
  </si>
  <si>
    <t>vix_prices_archive</t>
  </si>
  <si>
    <t>vix_prices_archive@DATE@.csv</t>
  </si>
  <si>
    <t>Dataset 5 traded_loan_price</t>
  </si>
  <si>
    <t>traded_loan_price</t>
  </si>
  <si>
    <t>traded_loan_price_@DATE@.csv</t>
  </si>
  <si>
    <t>Dataset 6 market_cds_price</t>
  </si>
  <si>
    <t>market_cds_price</t>
  </si>
  <si>
    <t>market_cds_price_@DATE@.csv</t>
  </si>
  <si>
    <t>Dataset 7 trader_cds_price</t>
  </si>
  <si>
    <t>trader_cds_price</t>
  </si>
  <si>
    <t>trader_cds_price_@DATE@.csv</t>
  </si>
  <si>
    <t>Dataset 8 eq_rt_pr</t>
  </si>
  <si>
    <t>eq_rt_pr</t>
  </si>
  <si>
    <t>eq_rt_pr_@DATE@.csv</t>
  </si>
  <si>
    <t>Dataset 9 market_index_price</t>
  </si>
  <si>
    <t>market_index_price</t>
  </si>
  <si>
    <t>market_index_price_@DATE@.csv</t>
  </si>
  <si>
    <t>Dataset 10 eq_rt_pr_adj_factor</t>
  </si>
  <si>
    <t>eq_rt_pr_adj_factor</t>
  </si>
  <si>
    <t>eq_rt_pr_adj_factor_@DATE@.csv</t>
  </si>
  <si>
    <t>Dataset 11 reference_entity</t>
  </si>
  <si>
    <t>reference_entity</t>
  </si>
  <si>
    <t>reference_entity_@DATE@.csv</t>
  </si>
  <si>
    <t>Dataset 12 debt_bb_pr</t>
  </si>
  <si>
    <t>debt_bb_pr</t>
  </si>
  <si>
    <t>debt_bb_pr_@DATE@.csv</t>
  </si>
  <si>
    <t>Dataset 13 entity_csid</t>
  </si>
  <si>
    <t>entity_csid</t>
  </si>
  <si>
    <t xml:space="preserve">entity_csid_@DATE@.csv </t>
  </si>
  <si>
    <t>Dataset 14 fx_zur</t>
  </si>
  <si>
    <t>fx_zur</t>
  </si>
  <si>
    <t>fx_zur_@DATE@.csv </t>
  </si>
  <si>
    <t>Dataset 15 trader</t>
  </si>
  <si>
    <t>trader</t>
  </si>
  <si>
    <t>trader_@DATE@.csv</t>
  </si>
  <si>
    <t>Dataset 16 fbtrader</t>
  </si>
  <si>
    <t>fbtrader</t>
  </si>
  <si>
    <t>fbtrader_@DATE@.csv</t>
  </si>
  <si>
    <t>Dataset 17 contoption</t>
  </si>
  <si>
    <t>contoption</t>
  </si>
  <si>
    <t>contoption_@DATE@.csv</t>
  </si>
  <si>
    <t>Dataset 18 index_bb_pr</t>
  </si>
  <si>
    <t>index_bb_pr</t>
  </si>
  <si>
    <t>index_bb_pr_@DATE@.csv </t>
  </si>
  <si>
    <t>Dataset 19 ma_cr_idx_pr</t>
  </si>
  <si>
    <t>ma_cr_idx_pr</t>
  </si>
  <si>
    <t>ma_cr_idx_pr_@DATE@.csv </t>
  </si>
  <si>
    <t>Dataset 20 commod_bb_pr</t>
  </si>
  <si>
    <t>commod_bb_pr</t>
  </si>
  <si>
    <t>commod_bb_pr_@DATE@.csv </t>
  </si>
  <si>
    <t>Dataset 21 cmtfix</t>
  </si>
  <si>
    <t>cmtfix</t>
  </si>
  <si>
    <t>cmtfix_@DATE@.csv </t>
  </si>
  <si>
    <t>Field Name</t>
  </si>
  <si>
    <t>RACI Tasks</t>
  </si>
  <si>
    <t>OK</t>
  </si>
  <si>
    <t>EDOAlgo</t>
  </si>
  <si>
    <t>SettingsMtx</t>
  </si>
  <si>
    <t>Lookups2</t>
  </si>
  <si>
    <t>AllDatasets</t>
  </si>
  <si>
    <t>Tempset</t>
  </si>
  <si>
    <t>0.Audit</t>
  </si>
  <si>
    <t>1.Data Source</t>
  </si>
  <si>
    <t>1 required cell(s) not filled:E19</t>
  </si>
  <si>
    <t>2.Approvals</t>
  </si>
  <si>
    <t>3.Contacts</t>
  </si>
  <si>
    <t>4.Interface</t>
  </si>
  <si>
    <t>5.Technical</t>
  </si>
  <si>
    <t>Data Element Lookup</t>
  </si>
  <si>
    <t>Short</t>
  </si>
  <si>
    <t>Data Set description</t>
  </si>
  <si>
    <t>(All)</t>
  </si>
  <si>
    <t/>
  </si>
  <si>
    <t>Full</t>
  </si>
  <si>
    <t>data set long description</t>
  </si>
  <si>
    <t>Defintition</t>
  </si>
  <si>
    <t>Data Type (generic)</t>
  </si>
  <si>
    <t>General</t>
  </si>
  <si>
    <t>Constraints</t>
  </si>
  <si>
    <t>Sensitivity</t>
  </si>
  <si>
    <t>Index</t>
  </si>
  <si>
    <t>Ver.</t>
  </si>
  <si>
    <t>Type</t>
  </si>
  <si>
    <t>Auto Generated Col</t>
  </si>
  <si>
    <t>Format</t>
  </si>
  <si>
    <t>Source name</t>
  </si>
  <si>
    <t xml:space="preserve">Description </t>
  </si>
  <si>
    <t>Data Element Definition</t>
  </si>
  <si>
    <t>Primary key</t>
  </si>
  <si>
    <t>Nullable</t>
  </si>
  <si>
    <t>FK</t>
  </si>
  <si>
    <t>Ref Dataset</t>
  </si>
  <si>
    <t>Ref Attribute</t>
  </si>
  <si>
    <t>CID</t>
  </si>
  <si>
    <t>Category</t>
  </si>
  <si>
    <t>Classification</t>
  </si>
  <si>
    <t>Anonymized</t>
  </si>
  <si>
    <t>Consistency</t>
  </si>
  <si>
    <t>Algo Class</t>
  </si>
  <si>
    <t>Algo</t>
  </si>
  <si>
    <t>Dataset</t>
  </si>
  <si>
    <t>File Pattern</t>
  </si>
  <si>
    <t>File Pattern Date</t>
  </si>
  <si>
    <t>Business Meaning</t>
  </si>
  <si>
    <t>Buisness Objective LVL 1</t>
  </si>
  <si>
    <t>Buisness Objective LVL 2</t>
  </si>
  <si>
    <t>Data Category</t>
  </si>
  <si>
    <t>Institutional Client</t>
  </si>
  <si>
    <t>Individual Client</t>
  </si>
  <si>
    <t>Employee/Candidate</t>
  </si>
  <si>
    <t>Third party</t>
  </si>
  <si>
    <t>Other data</t>
  </si>
  <si>
    <t>if other data, which</t>
  </si>
  <si>
    <t>CID Classification</t>
  </si>
  <si>
    <t>File Details</t>
  </si>
  <si>
    <t>File Size</t>
  </si>
  <si>
    <t>App</t>
  </si>
  <si>
    <t>App Id</t>
  </si>
  <si>
    <t>IFMS</t>
  </si>
  <si>
    <t>Interface Id</t>
  </si>
  <si>
    <t>Version</t>
  </si>
  <si>
    <t>Availability schedule (SLA agreement)</t>
  </si>
  <si>
    <t>Periodicity</t>
  </si>
  <si>
    <t>Calendar</t>
  </si>
  <si>
    <t>Processing time</t>
  </si>
  <si>
    <t>Time Zone</t>
  </si>
  <si>
    <t>SLA</t>
  </si>
  <si>
    <t>Reaction Time</t>
  </si>
  <si>
    <t>Availability Description</t>
  </si>
  <si>
    <t>Database</t>
  </si>
  <si>
    <t>Table/View Name</t>
  </si>
  <si>
    <t xml:space="preserve">Ingestion schedule </t>
  </si>
  <si>
    <t>Planned Go Live Date</t>
  </si>
  <si>
    <t>Effective Production Date</t>
  </si>
  <si>
    <t>Information about originating source (Applicable when ingested data routes via data warehouse)</t>
  </si>
  <si>
    <t>General Information Originating Data Source</t>
  </si>
  <si>
    <t>ICTO</t>
  </si>
  <si>
    <t>Application Name</t>
  </si>
  <si>
    <t>Short Name</t>
  </si>
  <si>
    <t>Availability schedule Originating Data Source (SLA agreement between originating source and DWH)</t>
  </si>
  <si>
    <t>IFMS Originating Source</t>
  </si>
  <si>
    <t>IFMS ID</t>
  </si>
  <si>
    <t>Database table Originating Source</t>
  </si>
  <si>
    <t>Query</t>
  </si>
  <si>
    <t>Audit</t>
  </si>
  <si>
    <t>Template info</t>
  </si>
  <si>
    <t>Change history</t>
  </si>
  <si>
    <t>RACI</t>
  </si>
  <si>
    <t>Template</t>
  </si>
  <si>
    <t>Update date</t>
  </si>
  <si>
    <t>Updated by</t>
  </si>
  <si>
    <t>Role</t>
  </si>
  <si>
    <t>Template version</t>
  </si>
  <si>
    <t>3.0</t>
  </si>
  <si>
    <t>Tobias Kley</t>
  </si>
  <si>
    <t>general adjustments in alignment with BA Team</t>
  </si>
  <si>
    <t>Enzyme Version</t>
  </si>
  <si>
    <t>Improvements in technical part to run Enzyme script - aligned with Henrique Castro</t>
  </si>
  <si>
    <t>EDO Algo Class and Algorithm adjustments</t>
  </si>
  <si>
    <t>Removed "column 3" in Dataset Tab</t>
  </si>
  <si>
    <t>Maria Rusaikin</t>
  </si>
  <si>
    <t>New data set with VIX daily prices has been added</t>
  </si>
  <si>
    <t>Maria Rusaikiun</t>
  </si>
  <si>
    <t>New data set vix_prices_archive has been added. Ingestion type for vix_prices has been chenged from all files to latest file.</t>
  </si>
  <si>
    <t>Liubomyr Fedyniak</t>
  </si>
  <si>
    <t>Refactored fx_rates data set. Added reverted currencies (I have placed email regarding this into DDA folder- RE: FX conversion dataset)</t>
  </si>
  <si>
    <t>Maja Masiak</t>
  </si>
  <si>
    <t xml:space="preserve">Added new dataset - reference_entity for EWI project. </t>
  </si>
  <si>
    <t>Added one column - "qualifier"  to market_cds_price dataset </t>
  </si>
  <si>
    <t>Added new dataset - fx_zur (dataset 14)</t>
  </si>
  <si>
    <t>VishnuPrasad</t>
  </si>
  <si>
    <t>Updated with Trader/FBTrader &amp; Contoption for GIBS</t>
  </si>
  <si>
    <t xml:space="preserve">Added new datasets 18-21 for EWI project. </t>
  </si>
  <si>
    <t>Brijesh Patel</t>
  </si>
  <si>
    <t>Metadata Uplift</t>
  </si>
  <si>
    <t>Arjun Marla</t>
  </si>
  <si>
    <t>Updated the daily prices for the indices CSLLGTOP, CSLLGTOT in index_bb_pr dataset. Links avalable in Description -&gt;Full section</t>
  </si>
  <si>
    <t>Data Source</t>
  </si>
  <si>
    <t>General Information</t>
  </si>
  <si>
    <t>General Info</t>
  </si>
  <si>
    <t>Production Status</t>
  </si>
  <si>
    <t>Sending and Receiving Legal Entity</t>
  </si>
  <si>
    <t xml:space="preserve">ICTO </t>
  </si>
  <si>
    <t>ICTO-6970</t>
  </si>
  <si>
    <t>Sending Legal Entity</t>
  </si>
  <si>
    <t xml:space="preserve">Application Name </t>
  </si>
  <si>
    <t>MDS</t>
  </si>
  <si>
    <t>Receiving Legal Entity</t>
  </si>
  <si>
    <t>Credit Suisse AG Schweiz</t>
  </si>
  <si>
    <t xml:space="preserve">Short Name </t>
  </si>
  <si>
    <t>ZZBJFG</t>
  </si>
  <si>
    <t>Initial request</t>
  </si>
  <si>
    <t>Application Details</t>
  </si>
  <si>
    <t>Data scope</t>
  </si>
  <si>
    <t>Originating LEs</t>
  </si>
  <si>
    <t>Initiative</t>
  </si>
  <si>
    <t>Family</t>
  </si>
  <si>
    <t>Scope Division / Region</t>
  </si>
  <si>
    <t>Legal entity</t>
  </si>
  <si>
    <t>Requester Squad</t>
  </si>
  <si>
    <t>Domain</t>
  </si>
  <si>
    <t>Request date</t>
  </si>
  <si>
    <t>Sub Domain</t>
  </si>
  <si>
    <t xml:space="preserve">Sourcing Team </t>
  </si>
  <si>
    <t>Timeframe</t>
  </si>
  <si>
    <t>Client data</t>
  </si>
  <si>
    <t>Available since</t>
  </si>
  <si>
    <t>Institutional</t>
  </si>
  <si>
    <t>Ingested since</t>
  </si>
  <si>
    <t>Individual</t>
  </si>
  <si>
    <t>Sensitivity class</t>
  </si>
  <si>
    <t xml:space="preserve">CDO </t>
  </si>
  <si>
    <t>Delivery</t>
  </si>
  <si>
    <t>Data Type</t>
  </si>
  <si>
    <t>via</t>
  </si>
  <si>
    <t>as</t>
  </si>
  <si>
    <t>at</t>
  </si>
  <si>
    <t>18:30 EST</t>
  </si>
  <si>
    <t>18:30 EST +2h</t>
  </si>
  <si>
    <t>1 h</t>
  </si>
  <si>
    <t>Documentation</t>
  </si>
  <si>
    <t>Confluence</t>
  </si>
  <si>
    <t>URL</t>
  </si>
  <si>
    <t>Interface chain (for example File Broker)</t>
  </si>
  <si>
    <t>Origin Interface</t>
  </si>
  <si>
    <t>Short name</t>
  </si>
  <si>
    <t>Approvals and Sign-offs</t>
  </si>
  <si>
    <t>Approvals</t>
  </si>
  <si>
    <t>Sign-offs</t>
  </si>
  <si>
    <t>Approval</t>
  </si>
  <si>
    <t>Date</t>
  </si>
  <si>
    <t>Purpose</t>
  </si>
  <si>
    <t>Attachment</t>
  </si>
  <si>
    <t>Comment</t>
  </si>
  <si>
    <t>Sign-off Name</t>
  </si>
  <si>
    <t>EDO peer review performed by Nikos</t>
  </si>
  <si>
    <t>EDO peer review</t>
  </si>
  <si>
    <t>Delivery BA</t>
  </si>
  <si>
    <t>EDO peer review performed by Frederic</t>
  </si>
  <si>
    <t>EDO peer review performed by Maria</t>
  </si>
  <si>
    <t>Contacts</t>
  </si>
  <si>
    <t>Contact group</t>
  </si>
  <si>
    <t>Name/Group</t>
  </si>
  <si>
    <t>SDP Support-L2</t>
  </si>
  <si>
    <t>list.cstl2sdpch@credit-suisse.com</t>
  </si>
  <si>
    <t>SDP Support-L3</t>
  </si>
  <si>
    <t>CCRO Data Ingestion</t>
  </si>
  <si>
    <t>list.ccrodataingestion@credit-suisse.com</t>
  </si>
  <si>
    <t>GM_RTMC_L1_MDS_GLOB</t>
  </si>
  <si>
    <t>proceduralsupport.itfidg2@credit-suisse.</t>
  </si>
  <si>
    <t>Source-IT</t>
  </si>
  <si>
    <t>DD IT IB PTG FID MDS</t>
  </si>
  <si>
    <t>list.dit-mds-support@credit-suisse.com</t>
  </si>
  <si>
    <t>Source-L2 Support</t>
  </si>
  <si>
    <t>DD Quant Strats MDAM Production</t>
  </si>
  <si>
    <t>list.quantstratsmdamproduction@credit-suisse.com</t>
  </si>
  <si>
    <t>Source interface</t>
  </si>
  <si>
    <t>Params / Environments</t>
  </si>
  <si>
    <t>DEV</t>
  </si>
  <si>
    <t>UAT</t>
  </si>
  <si>
    <t>PROD</t>
  </si>
  <si>
    <t>Interface type</t>
  </si>
  <si>
    <t>https://mdsnav.csintra.net/?class=EQ_RT_PR&amp;qual=.VIX&amp;cat=T&amp;ident=%40.VIX&amp;mds=ny_mds_prd1.fir.fbc.com_33300_service</t>
  </si>
  <si>
    <t xml:space="preserve">Quality Requirements Business </t>
  </si>
  <si>
    <t>Data Requirements</t>
  </si>
  <si>
    <t>Reproducible</t>
  </si>
  <si>
    <t>Data Content</t>
  </si>
  <si>
    <t>Content</t>
  </si>
  <si>
    <t xml:space="preserve">All files generated contain same number of data elements and contains the correct requested data </t>
  </si>
  <si>
    <t>File Format maintained</t>
  </si>
  <si>
    <t>Header Format (if applicable)</t>
  </si>
  <si>
    <t>Footer format (if applicable)</t>
  </si>
  <si>
    <t>Data Integrity</t>
  </si>
  <si>
    <t>Fit for use and no duplicate records of data</t>
  </si>
  <si>
    <r>
      <rPr>
        <sz val="7"/>
        <rFont val="Times New Roman"/>
        <family val="1"/>
      </rPr>
      <t xml:space="preserve"> </t>
    </r>
    <r>
      <rPr>
        <sz val="13"/>
        <color rgb="FF000000"/>
        <rFont val="Credit Suisse Type Light"/>
        <family val="2"/>
        <scheme val="minor"/>
      </rPr>
      <t>Data Completeness</t>
    </r>
  </si>
  <si>
    <t>Mandatory fields not missed</t>
  </si>
  <si>
    <t>Corrections</t>
  </si>
  <si>
    <t>Corrections Handling</t>
  </si>
  <si>
    <t xml:space="preserve">Technical </t>
  </si>
  <si>
    <t>Ingestion Formats</t>
  </si>
  <si>
    <t xml:space="preserve">Platform Name: </t>
  </si>
  <si>
    <t>Landing File Format</t>
  </si>
  <si>
    <t>Locations</t>
  </si>
  <si>
    <t xml:space="preserve">PTA </t>
  </si>
  <si>
    <t>File Type</t>
  </si>
  <si>
    <t>Field separator</t>
  </si>
  <si>
    <t>,</t>
  </si>
  <si>
    <t>Landing</t>
  </si>
  <si>
    <t>/cs/data/landing/marketdata</t>
  </si>
  <si>
    <t>Row separator</t>
  </si>
  <si>
    <t>\n</t>
  </si>
  <si>
    <t>Staging</t>
  </si>
  <si>
    <t>/cs/data/staging/marketdata</t>
  </si>
  <si>
    <t>Quote character</t>
  </si>
  <si>
    <t>\"</t>
  </si>
  <si>
    <t>HDFS</t>
  </si>
  <si>
    <t>/data/polaris/raw/marketdata</t>
  </si>
  <si>
    <t>Header row</t>
  </si>
  <si>
    <t>Channel</t>
  </si>
  <si>
    <t>Encoding</t>
  </si>
  <si>
    <t>UTF-8</t>
  </si>
  <si>
    <t>Foundry</t>
  </si>
  <si>
    <t>Staging File Format</t>
  </si>
  <si>
    <t>Magritte sync</t>
  </si>
  <si>
    <t>cs/marketdata/raw</t>
  </si>
  <si>
    <t>Path</t>
  </si>
  <si>
    <t>cs/marketdata</t>
  </si>
  <si>
    <t>~</t>
  </si>
  <si>
    <t>Rundeck</t>
  </si>
  <si>
    <t>ETL</t>
  </si>
  <si>
    <t>"</t>
  </si>
  <si>
    <t>Group</t>
  </si>
  <si>
    <t>Schedule</t>
  </si>
  <si>
    <t>midnight (daily)</t>
  </si>
  <si>
    <t>Access</t>
  </si>
  <si>
    <t>AURA</t>
  </si>
  <si>
    <t>Scope</t>
  </si>
  <si>
    <t>Attribute</t>
  </si>
  <si>
    <t>Viewer value</t>
  </si>
  <si>
    <t>Editor value</t>
  </si>
  <si>
    <t>Value description</t>
  </si>
  <si>
    <t>Enter Source Name in cell A38:</t>
  </si>
  <si>
    <t>marketdata</t>
  </si>
  <si>
    <t>FX-SHREDDER</t>
  </si>
  <si>
    <t>This qualifier contains FX Spot rates maintained by the product control team. Has a greater universe of FX rates than FX-FX.
One of the wider used sources of FX rates, please also refer to FX-FX for FX rates.
DD IB PCIT FXShredder Support  is the contact list for Product Control (saver team).
Data is created from Bloomberg, Wallstreet GFX, Wallstreet EMG, MDS and Manual Entries and saved to this class. Only Shredder team can advise as to what source was used for which rate on a given day.
MDS source: FX-FX (DIPCCRO-1214)
Wallstreet contact: # WSS SUPPORT  Navigator links: https://mdsnav.csintra.net/?class=FX&amp;qual=GFXSPOT_RNYC&amp;cat=R&amp;ident=10Jun2005&amp;mds=ny_mds_prd1.fir.fbc.com_33300_service,  https://mdsnav.csintra.net/?class=FX&amp;qual=SHREDDER&amp;cat=R&amp;ident=30Sep2019&amp;mds=ny_mds_prd1.fir.fbc.com_33300_service</t>
  </si>
  <si>
    <t>FX Shredder</t>
  </si>
  <si>
    <t>ccy</t>
  </si>
  <si>
    <t>Currency represents information related to form of currency used in any country and encompasses details of the national currency of the country such as the 3 digit ISO code.</t>
  </si>
  <si>
    <t>rate</t>
  </si>
  <si>
    <t>It denotes to the exchange rate used for FX transactions.For example for outright transaction USD Delaer will take rate from Reuters Platform and apply to get the equivalent amount.</t>
  </si>
  <si>
    <t>mds_date</t>
  </si>
  <si>
    <t>yyyy-MM-dd</t>
  </si>
  <si>
    <t>MDS trade date</t>
  </si>
  <si>
    <t>ddMMMyyyy</t>
  </si>
  <si>
    <t>n/a</t>
  </si>
  <si>
    <t>COB ZRH</t>
  </si>
  <si>
    <t>Daily connect to web service endpoint using provided details and load the data to SFI NAS landing.
Calendar/business day: Mon-Fri (weekdays) 
Time: 03:00 CET</t>
  </si>
  <si>
    <t>Apr 24, 2020</t>
  </si>
  <si>
    <t>VIX prices - timeseries for the last year</t>
  </si>
  <si>
    <t>Volatility index prices from MDS timeseries, the prices for the lats year                                                                                                                          Class: EQ_RT_PR
Qualifier: .VIX</t>
  </si>
  <si>
    <t>VIX prices</t>
  </si>
  <si>
    <t>unadj_high</t>
  </si>
  <si>
    <t>Unadjusted high</t>
  </si>
  <si>
    <t>unadj_low</t>
  </si>
  <si>
    <t>Unadjusted low</t>
  </si>
  <si>
    <t>price_official_close</t>
  </si>
  <si>
    <t>This denotes to the listed closing price.The listed closing price is the last price anyone paid for a share of that stock during the business hours of the exchange where the stock trades.</t>
  </si>
  <si>
    <t>price_open</t>
  </si>
  <si>
    <t>The opening price is the price from the first transaction of a business day.</t>
  </si>
  <si>
    <t>&lt;1Mb</t>
  </si>
  <si>
    <t>03:00 CET</t>
  </si>
  <si>
    <t>Daily connect to web service endpoint using provided details and load the data to SFI NAS landing.
Calendar/business day: Mon-Fri (weekdays) 
Time: 03:00 CET
DIPCCRO-1840</t>
  </si>
  <si>
    <t>Foreign Exchange Rates</t>
  </si>
  <si>
    <t xml:space="preserve">Date of the currency exchange rate </t>
  </si>
  <si>
    <t>Y</t>
  </si>
  <si>
    <t>N</t>
  </si>
  <si>
    <t xml:space="preserve">Currenciesin FX_rates data set show conversion from UAD into local currencies. 
MDS data source maintain reversed rates for few currencies (from local currency to USD). For FX_rates they will be reverted back (original rate will be calculated as 1/rate from source) and will be still represented in USD_&lt;local currency&gt;. List of reversed currencies:  
AUD
CYP
ECU
GBP
GHS
GIP
NZD
XAG
XAU
XPD
XPT
XEU
EUR
IEP
</t>
  </si>
  <si>
    <t xml:space="preserve">Currency exchange rate </t>
  </si>
  <si>
    <t>yyyyMMdd</t>
  </si>
  <si>
    <t>1.6 MB</t>
  </si>
  <si>
    <t>VIX archived prices</t>
  </si>
  <si>
    <t>Volatility index prices from MDS archive</t>
  </si>
  <si>
    <t>MDS_DATE</t>
  </si>
  <si>
    <t>UNADJ_HIGH</t>
  </si>
  <si>
    <t>UNADJ_LOW</t>
  </si>
  <si>
    <t>PRICE_OFFICIAL_CLOSE</t>
  </si>
  <si>
    <t>PRICE_OPEN</t>
  </si>
  <si>
    <t>TradedLoan price details from MDS</t>
  </si>
  <si>
    <t>Lthis dataset describe about the LoanPrice data from MDS that can be fetched via API service.</t>
  </si>
  <si>
    <t>LOAN_ID</t>
  </si>
  <si>
    <t>The LOAN_ID is an external identifier for the traded loans.
This is coming from external source MARKIT.</t>
  </si>
  <si>
    <t>BID</t>
  </si>
  <si>
    <t>Bid price of the traded loan.</t>
  </si>
  <si>
    <t>OFFER</t>
  </si>
  <si>
    <t>Offer price of the traded loan.</t>
  </si>
  <si>
    <t>DEPTH</t>
  </si>
  <si>
    <t>Depth of market (DOM) is a measure of the supply and demand for liquid, tradeable assets. It is based on the number of open buy and sell orders for a given asset such as a stock or futures contract. The greater the quantity of those orders, the deeper or more liquid, the market is considered to be.</t>
  </si>
  <si>
    <t>CONTRIBUTED</t>
  </si>
  <si>
    <t>This is the price that shareholders paid for their stake in the company.</t>
  </si>
  <si>
    <t>Daily connect to web service endpoint using provided details and load the data to SFI NAS landing.
Calendar/business day: Mon-Fri (weekdays) 
Time: 03:00 CET.
TBD</t>
  </si>
  <si>
    <t>CDS price available in Market</t>
  </si>
  <si>
    <t xml:space="preserve">This dataset contains price of CDS ( CreditDefaultSwap) which is coming from external market sources ( mainly MarkIT) to MDS.
</t>
  </si>
  <si>
    <t>INSTANCE</t>
  </si>
  <si>
    <t>Instance</t>
  </si>
  <si>
    <t>SENIORITY</t>
  </si>
  <si>
    <t>Seniority Indicator of swaps</t>
  </si>
  <si>
    <t>RESTRUCT</t>
  </si>
  <si>
    <t>Restruct</t>
  </si>
  <si>
    <t>YC</t>
  </si>
  <si>
    <t xml:space="preserve">Yield Curve Faily Prices </t>
  </si>
  <si>
    <t>NAME</t>
  </si>
  <si>
    <t>Name of the buyer and seller who entered into swap agreement.</t>
  </si>
  <si>
    <t>CSFB_CODE</t>
  </si>
  <si>
    <t>CSFB Code</t>
  </si>
  <si>
    <t>MARKIT_CODE</t>
  </si>
  <si>
    <t>Code of the market</t>
  </si>
  <si>
    <t>TYPE</t>
  </si>
  <si>
    <t>Type of Swap</t>
  </si>
  <si>
    <t>INDUSTRY</t>
  </si>
  <si>
    <t>Industry code signifying the kind of business the client is in (for companies) or if the client is an individual</t>
  </si>
  <si>
    <t>RATING</t>
  </si>
  <si>
    <t>Predicting the debtor's ability/willingness to pay back the debt;</t>
  </si>
  <si>
    <t>RED_CODE</t>
  </si>
  <si>
    <t>Unique alphanumeric RED codes are assigned to all reference entities and reference obligations and are also mapped to LEI and MiFID II ISIN and metadata. RED codes are used to confirm trades on MarkitSERV and other trade matching and clearing platforms, facilitating straight-through processing.</t>
  </si>
  <si>
    <t>IMPLIED_RATING</t>
  </si>
  <si>
    <t>A market-implied rating estimates the market observed default probability of an individual, corporation, or even a country</t>
  </si>
  <si>
    <t>REGION</t>
  </si>
  <si>
    <t>The region or province component of this address</t>
  </si>
  <si>
    <t>SECTOR</t>
  </si>
  <si>
    <t>Client (Banking Relationship) Sector. Mandatory for any new clients.</t>
  </si>
  <si>
    <t>COMPOSITE_DEPTH5Y</t>
  </si>
  <si>
    <t>Composite Depth 5 year</t>
  </si>
  <si>
    <t>BACKWARDATION</t>
  </si>
  <si>
    <t>Backwardation can occur as a result of a higherdemand for an asset currently than the contracts maturing in the coming months through the futures market.Trader uses backwardation to make a profit by selling short at the current price and buy at the lower futures price.</t>
  </si>
  <si>
    <t>YEARS</t>
  </si>
  <si>
    <t>Number of years</t>
  </si>
  <si>
    <t>SOURCE</t>
  </si>
  <si>
    <t>To identify the source system to derive FX rates to convert balances</t>
  </si>
  <si>
    <t>DEF_SPREAD</t>
  </si>
  <si>
    <t>DEF Spread</t>
  </si>
  <si>
    <t>MDS_DATE_</t>
  </si>
  <si>
    <t>REJECTED</t>
  </si>
  <si>
    <t>Rejected</t>
  </si>
  <si>
    <t>KEY_COL</t>
  </si>
  <si>
    <t>Key Col</t>
  </si>
  <si>
    <t>LEVEL_</t>
  </si>
  <si>
    <t>LEVEL</t>
  </si>
  <si>
    <t>DISTANCE</t>
  </si>
  <si>
    <t>Distance</t>
  </si>
  <si>
    <t>IS_FLAT</t>
  </si>
  <si>
    <t>Is Flat</t>
  </si>
  <si>
    <t>IS_OUTLIER</t>
  </si>
  <si>
    <t>Is Outlier</t>
  </si>
  <si>
    <t>IS_STALE</t>
  </si>
  <si>
    <t>Kind of flag to check if quoted price for loan is stale or not as Y/N.</t>
  </si>
  <si>
    <t>SPREAD_OR_RATE</t>
  </si>
  <si>
    <t>Base rate is the rate below which the bank cannot lend, and spread is the margin based on customer.</t>
  </si>
  <si>
    <t>T_TEST</t>
  </si>
  <si>
    <t>T_Test</t>
  </si>
  <si>
    <t>STALE_DAYS</t>
  </si>
  <si>
    <t xml:space="preserve">Loan prices that do not change for days </t>
  </si>
  <si>
    <t>CARRY_FWD</t>
  </si>
  <si>
    <t>Carry forward of balances</t>
  </si>
  <si>
    <t>QUALIFIER</t>
  </si>
  <si>
    <t>The set of parameters to identify if borrower can repay loans.</t>
  </si>
  <si>
    <r>
      <t xml:space="preserve">Daily connect to web service endpoint using provided details and load the data to SFI NAS landing.
Calendar/business day: Mon-Fri (weekdays) 
Time: 03:00 CET.
</t>
    </r>
    <r>
      <rPr>
        <b/>
        <sz val="9"/>
        <color rgb="FFFF0000"/>
        <rFont val="Arial"/>
        <family val="2"/>
      </rPr>
      <t>TBD</t>
    </r>
  </si>
  <si>
    <t>TraderCDS spread values</t>
  </si>
  <si>
    <r>
      <t xml:space="preserve">This dataset contain details about the CDS spread details that are available in MDS under 2 different classes.
</t>
    </r>
    <r>
      <rPr>
        <b/>
        <u/>
        <sz val="9"/>
        <color theme="5" tint="-0.499984740745262"/>
        <rFont val="Arial"/>
        <family val="2"/>
      </rPr>
      <t/>
    </r>
  </si>
  <si>
    <t>Qualifier</t>
  </si>
  <si>
    <t>LABEL</t>
  </si>
  <si>
    <t>Label</t>
  </si>
  <si>
    <t>The price to buy securities ex: 0.00156611556366611</t>
  </si>
  <si>
    <t>MID</t>
  </si>
  <si>
    <t>MID of Bid and Ask ex: 0.00156611556366611</t>
  </si>
  <si>
    <t>ASK</t>
  </si>
  <si>
    <t>The price to sell securities ex: 0.00156611556366611</t>
  </si>
  <si>
    <t>SYNTHETIC</t>
  </si>
  <si>
    <t>Synthetic</t>
  </si>
  <si>
    <t>MDS_CHAIN_ORDER</t>
  </si>
  <si>
    <t>MDS chain order</t>
  </si>
  <si>
    <t>MDS tarde date</t>
  </si>
  <si>
    <t>SPOT_LABEL</t>
  </si>
  <si>
    <t>SPOT Label</t>
  </si>
  <si>
    <t>SPOT_BID</t>
  </si>
  <si>
    <t>SPOT Bid</t>
  </si>
  <si>
    <t>SPOT_MID</t>
  </si>
  <si>
    <t>SPOT Mid</t>
  </si>
  <si>
    <t>SPOT_ASK</t>
  </si>
  <si>
    <t>SPOT Ask</t>
  </si>
  <si>
    <t>UPFRONT_BID</t>
  </si>
  <si>
    <t>UPFRONT_MID</t>
  </si>
  <si>
    <t>UPFRONT_ASK</t>
  </si>
  <si>
    <t>QUOTE_BID</t>
  </si>
  <si>
    <t>QUOTE_MID</t>
  </si>
  <si>
    <t>QUOTE_ASK</t>
  </si>
  <si>
    <t>MARKING_METHOD</t>
  </si>
  <si>
    <t>USER_SPREAD_IND</t>
  </si>
  <si>
    <t>User spread indicator</t>
  </si>
  <si>
    <t>RUNNING_COUPON</t>
  </si>
  <si>
    <t>Details of current coupon payments</t>
  </si>
  <si>
    <t>QUOTE_RECOVERY</t>
  </si>
  <si>
    <t>It provide details of the actions to take when the quoted price becomes stale.</t>
  </si>
  <si>
    <t>This dataset contains MDS eq_rt_pr information</t>
  </si>
  <si>
    <t>ric_code</t>
  </si>
  <si>
    <t>A ticker like code to identify financial instrument and indices.</t>
  </si>
  <si>
    <t>currency</t>
  </si>
  <si>
    <t>Currency of the tarde</t>
  </si>
  <si>
    <t>price_bid</t>
  </si>
  <si>
    <t>Bid price, price to buy securities</t>
  </si>
  <si>
    <t>price_mid</t>
  </si>
  <si>
    <t>Mid price</t>
  </si>
  <si>
    <t>price_ask</t>
  </si>
  <si>
    <t>Ask Price</t>
  </si>
  <si>
    <t>price_last</t>
  </si>
  <si>
    <t>Closing price</t>
  </si>
  <si>
    <t>price_alt_close</t>
  </si>
  <si>
    <t>Price alt close</t>
  </si>
  <si>
    <t>volume</t>
  </si>
  <si>
    <t>The quantity of the trade. Total unscaled accumulated volume for the instrument for the day. So this doesn’t include any price or currency.</t>
  </si>
  <si>
    <t>yyyy-MM-dd'T'HH:mm</t>
  </si>
  <si>
    <t>MDS tradedate</t>
  </si>
  <si>
    <t>Unadjusted High</t>
  </si>
  <si>
    <t>unadj_vwap</t>
  </si>
  <si>
    <t>Unadjusted Volume weighted average price (calculated for the lifetime of the order – i.e., from order entry to the latest time of execution).</t>
  </si>
  <si>
    <t>Market index prices from MDS</t>
  </si>
  <si>
    <t>This dataset describe about the index prices from Market to be fetched from MDS.</t>
  </si>
  <si>
    <t>price_bid_grade</t>
  </si>
  <si>
    <t>Price Bid Grade</t>
  </si>
  <si>
    <t>Mid of Bid and Ask</t>
  </si>
  <si>
    <t>price_mid_grade</t>
  </si>
  <si>
    <t>Price Mid Grade</t>
  </si>
  <si>
    <t>Price to sell securities</t>
  </si>
  <si>
    <t>price_ask_grade</t>
  </si>
  <si>
    <t>Price Ask Grade</t>
  </si>
  <si>
    <t>Closing price of the day for transaction</t>
  </si>
  <si>
    <t>price_last_grade</t>
  </si>
  <si>
    <t>Price last grade</t>
  </si>
  <si>
    <t>price_alt_close_grade</t>
  </si>
  <si>
    <t>Price alt close grade</t>
  </si>
  <si>
    <t>The quantity of the trade</t>
  </si>
  <si>
    <t>volume_grade</t>
  </si>
  <si>
    <t>Volume Grade</t>
  </si>
  <si>
    <t>YYYY-MM-DD</t>
  </si>
  <si>
    <t>unadj_high_grade</t>
  </si>
  <si>
    <t>Unadjusted High Grade</t>
  </si>
  <si>
    <t>unadj_low_grade</t>
  </si>
  <si>
    <t>Unadjusted Low Grade</t>
  </si>
  <si>
    <t>unadj_vwap_grade</t>
  </si>
  <si>
    <t>Unadjusted Volume weighted average price grade.</t>
  </si>
  <si>
    <t>price_open_grade</t>
  </si>
  <si>
    <t>Price Open Grade</t>
  </si>
  <si>
    <t>Stock splits, including reverse stock splits (consolidations)</t>
  </si>
  <si>
    <t>This dataset describes about stock splits and reverse stock splits.A stock split is when a company increases the number of shares outstanding by splitting them into multiple shares.A reverse stock split results in an increase in the price per share.A reverse stock split is also known as a stock consolidation, stock merge, or share rollback and is the opposite exercise of a stock split, where a share is divided (split) into multiple parts</t>
  </si>
  <si>
    <t>ric</t>
  </si>
  <si>
    <t>split_date</t>
  </si>
  <si>
    <t>Date when a share is divided or split into multiple parts.</t>
  </si>
  <si>
    <t>split_factor</t>
  </si>
  <si>
    <t>It describes about the factors considered while splitting the share into multiple shares.For ex: Factors-
1.A stock split is usually done by companies that have seen their share price increase to levels that are either too high or are beyond the price levels of similar companies in their sector.
2.A stock split can also result in a stock price increase following the decrease immediately after the split</t>
  </si>
  <si>
    <t>active</t>
  </si>
  <si>
    <t>To check the most active stocks looking at the overall market as well as by market exchange.</t>
  </si>
  <si>
    <t>date_added</t>
  </si>
  <si>
    <t>yyyy-MM-dd HH:mm:ss</t>
  </si>
  <si>
    <t>DATE_ADDED</t>
  </si>
  <si>
    <t>date_changed</t>
  </si>
  <si>
    <t>DATE_CHANGED</t>
  </si>
  <si>
    <t>comment</t>
  </si>
  <si>
    <t>COMMENT</t>
  </si>
  <si>
    <t>adjust_volume</t>
  </si>
  <si>
    <t>ADJUST_VOLUME</t>
  </si>
  <si>
    <t>A reference entity—which can be a corporation, government, or other legal entity that issues debt of any kind—is the party upon which two counterparties in a credit derivative transaction are speculating.</t>
  </si>
  <si>
    <t>unique_entity_id</t>
  </si>
  <si>
    <t>Unique Entity ID ex: 003CE4</t>
  </si>
  <si>
    <t>long_name</t>
  </si>
  <si>
    <t>Long Name of an entity ex: SLMA 2000-3 A2L</t>
  </si>
  <si>
    <t>ownership_book</t>
  </si>
  <si>
    <t>Ownership Book ex: IAN1</t>
  </si>
  <si>
    <t>bb_ticker_id</t>
  </si>
  <si>
    <t>Symbol assigned by Bloomberg to a security for trading purposes. ex: 003CE4</t>
  </si>
  <si>
    <t>bb_company_id</t>
  </si>
  <si>
    <t>Bloomberg Identifier for the entity. ex: 003CE4</t>
  </si>
  <si>
    <t>red_code</t>
  </si>
  <si>
    <t>MDS trade date  ex: 2020-12-12; contains instance date </t>
  </si>
  <si>
    <t>type</t>
  </si>
  <si>
    <t>The entity type is a collection of the entity having similar attributes ex: SINGLE</t>
  </si>
  <si>
    <t>last_changed_by</t>
  </si>
  <si>
    <t>Last Changed By ex:	brandon_marty 9/7/2007 6:28:57 PM</t>
  </si>
  <si>
    <t>red_code_type</t>
  </si>
  <si>
    <t>RED CODE TYPE</t>
  </si>
  <si>
    <t>ofs_stub</t>
  </si>
  <si>
    <t>OFC STUB</t>
  </si>
  <si>
    <t>Bond Prices</t>
  </si>
  <si>
    <t>This datset descibe about the MDS class DEBT_BB_PR which contains inforfmation about Bond prices.</t>
  </si>
  <si>
    <t>isin</t>
  </si>
  <si>
    <t>An International Securities Identification Number (ISIN) is a code that uniquely identifies a specific securities issue.</t>
  </si>
  <si>
    <t>name</t>
  </si>
  <si>
    <t>The currency code associated with a given account type</t>
  </si>
  <si>
    <t>market_sector</t>
  </si>
  <si>
    <t>The market sector of the future.</t>
  </si>
  <si>
    <t>settle_date</t>
  </si>
  <si>
    <t>Settlement date of the trade where all funds have been cleared and corresponding accounts have been identified</t>
  </si>
  <si>
    <t>bid_yield</t>
  </si>
  <si>
    <t>For fixed income products, the yield is as of the time of the Bid Price, expressed as a percentage.</t>
  </si>
  <si>
    <t>mid_yield</t>
  </si>
  <si>
    <t>Mid Yield for Fixed Income</t>
  </si>
  <si>
    <t>ask_yield</t>
  </si>
  <si>
    <t>Ask Yield percentage for Fixed Income</t>
  </si>
  <si>
    <t>bid_price</t>
  </si>
  <si>
    <t>The bid price is the amount of money a buyer is willing to pay for a security. ex.: 3.6728</t>
  </si>
  <si>
    <t>mid_price</t>
  </si>
  <si>
    <t>In financial markets, the mid-price is the price between the best price of the sellers of the stock or commodity offer price or ask price and the best price of the buyers of the stock or commodity bid price. It can simply be defined as the average of the current bid and ask prices being quoted. ex.:  3.67315</t>
  </si>
  <si>
    <t>ask_price</t>
  </si>
  <si>
    <t>The amount a seller is willing to sell a security for. ex.:  3.6735</t>
  </si>
  <si>
    <t>last_price</t>
  </si>
  <si>
    <t>Last trading price</t>
  </si>
  <si>
    <t>accrued_interest</t>
  </si>
  <si>
    <t>Accrued interest refers to the amount of interest that has been incurred, as of a specific date, on a loan or other financial obligation but has not yet been paid out. Accrued interest can either be in the form of accrued interest revenue, for the lender, or accrued interest expense, for the borrower</t>
  </si>
  <si>
    <t>dirty_clean_price</t>
  </si>
  <si>
    <t>The clean price is the price of a coupon bond not including any accrued interest. That is, it doesn't include the accrued interest between coupon payments. The clean price is typically the quoted price on financial news sites. Dirty price is the price of a bond that includes accrued interest between coupon payments.The dirty clean price can be find by subtracting accrued interest from dirty price.</t>
  </si>
  <si>
    <t>last_updated_date</t>
  </si>
  <si>
    <t>The last_updated date</t>
  </si>
  <si>
    <t>exchange_code</t>
  </si>
  <si>
    <t>This is the Exchange Code for the primary trading market for the security. It is displayed as a 3 digit alphabetical mnemonic. e.g. for the London Stock Exchange, the Exchange Code is 'LSE'.</t>
  </si>
  <si>
    <t>source</t>
  </si>
  <si>
    <t>Source ex:NSE, BSE</t>
  </si>
  <si>
    <t>price_source</t>
  </si>
  <si>
    <t>Price Source ex: Bloomberg</t>
  </si>
  <si>
    <t>idx_ratio</t>
  </si>
  <si>
    <t>IDX_RATIO</t>
  </si>
  <si>
    <t>days_acc</t>
  </si>
  <si>
    <t>DAYS_ACC</t>
  </si>
  <si>
    <t>security_typ</t>
  </si>
  <si>
    <t>SECURITY_TYPE</t>
  </si>
  <si>
    <t>trade_crncy</t>
  </si>
  <si>
    <t>Trade Currency</t>
  </si>
  <si>
    <t>product_type</t>
  </si>
  <si>
    <t>Identifier of the Oracle client-specified type within the high-level product category for the security associated with this trade execution.</t>
  </si>
  <si>
    <t>                                                                       
This dataset describes about the MDS class entity_csid which contains the mapping of the UNIQUE_ENTITY_ID and the CS id.</t>
  </si>
  <si>
    <t>Unique entity id ex: FREGR3</t>
  </si>
  <si>
    <t>red code ex: DF9B6J</t>
  </si>
  <si>
    <t>csid</t>
  </si>
  <si>
    <t>A party identifier assigned to a client for representation in a hierarchical construct of several parties, e.g. for the purpose of calculating total exposure in credit risk management. ex: 79328</t>
  </si>
  <si>
    <t>ddMMyyyy</t>
  </si>
  <si>
    <t>markit_name</t>
  </si>
  <si>
    <t>It denotes to the markit name for ex: FRESENIUS SE &amp; CO. KGAA</t>
  </si>
  <si>
    <t>cs_name</t>
  </si>
  <si>
    <t>It denotes to the CS name for ex: FRESENIUS SE AND CO KGAA</t>
  </si>
  <si>
    <t>dtd_name</t>
  </si>
  <si>
    <t>It denotes the dtd name for ex: FRESENIUS SE &amp; CO. KGAA</t>
  </si>
  <si>
    <t>mds_load_date</t>
  </si>
  <si>
    <t>It denotes to the date when the rate loaded for ex: 2011-05-18</t>
  </si>
  <si>
    <t>It denotes to the last changed by for ex:  lpmbatch</t>
  </si>
  <si>
    <t>last_change_date</t>
  </si>
  <si>
    <t>Last change date for ex: 2015-04-06</t>
  </si>
  <si>
    <r>
      <t xml:space="preserve">Daily connect to web service endpoint using provided details and load the data to SFI NAS landing.
Calendar/business day: Mon-Fri (weekdays) 
Time: 03:00 CET.
</t>
    </r>
    <r>
      <rPr>
        <b/>
        <sz val="9"/>
        <color rgb="FFFF0000"/>
        <rFont val="Calibri"/>
        <family val="2"/>
      </rPr>
      <t>TBD</t>
    </r>
  </si>
  <si>
    <t>This dataset describes about the MDS class and ZUR fx rates.</t>
  </si>
  <si>
    <t>CCY</t>
  </si>
  <si>
    <t>Currency ex.: AED</t>
  </si>
  <si>
    <t>MDS trade dateex.:  15.04.2021</t>
  </si>
  <si>
    <t>MDS_RKEY</t>
  </si>
  <si>
    <t>MDS Referrence key ex.: AED</t>
  </si>
  <si>
    <t xml:space="preserve">Daily connect to web service endpoint using provided details and load the data to SFI NAS landing.
Calendar/business day: Mon-Fri (weekdays) 
Time: 03:00 CET.
</t>
  </si>
  <si>
    <t xml:space="preserve">18:00 pm </t>
  </si>
  <si>
    <t>Dataset contaiins Credit-Suisse Trader information</t>
  </si>
  <si>
    <t>MDS class for reference: 
https://mdsnav.csintra.net/?class=TRADER&amp;qual=ACTIVE&amp;cat=O&amp;mds=ny_mds_prd1.fir.fbc.com_33300_service</t>
  </si>
  <si>
    <t>code</t>
  </si>
  <si>
    <t>CS trader name</t>
  </si>
  <si>
    <t>Trader details</t>
  </si>
  <si>
    <t>Dataset contains Credit-Suisse trader</t>
  </si>
  <si>
    <t>MDS Class:
https://mdsnav.csintra.net/?class=FBTRADER&amp;qual=ACTIVE&amp;cat=O&amp;mds=ny_mds_prd1.fir.fbc.com_33300_service</t>
  </si>
  <si>
    <t>Option contract data form MDS</t>
  </si>
  <si>
    <t>MDS class : https://mdsnav.csintra.net/?class=CONTOPTION&amp;qual=&amp;cat=O&amp;mds=ny_mds_prd1.fir.fbc.com_33300_service</t>
  </si>
  <si>
    <t>contract_id</t>
  </si>
  <si>
    <t>string</t>
  </si>
  <si>
    <t>firm_contract_type</t>
  </si>
  <si>
    <t>integer</t>
  </si>
  <si>
    <t>short_name</t>
  </si>
  <si>
    <t>holiday_calendar_id</t>
  </si>
  <si>
    <t>delivery_code</t>
  </si>
  <si>
    <t>trading_code</t>
  </si>
  <si>
    <t>exchange_id</t>
  </si>
  <si>
    <t>trading_months</t>
  </si>
  <si>
    <t>spot_trading_months</t>
  </si>
  <si>
    <t>notional_maturity_start</t>
  </si>
  <si>
    <t>float</t>
  </si>
  <si>
    <t>notional_maturity_end</t>
  </si>
  <si>
    <t>notional_coupon</t>
  </si>
  <si>
    <t>contract_size</t>
  </si>
  <si>
    <t>double</t>
  </si>
  <si>
    <t>quote_type</t>
  </si>
  <si>
    <t>Option data - Marketdata</t>
  </si>
  <si>
    <t>price_dec_places</t>
  </si>
  <si>
    <t>price_tick_size</t>
  </si>
  <si>
    <t>units_in_quote</t>
  </si>
  <si>
    <t>tick_value</t>
  </si>
  <si>
    <t>back_office_code</t>
  </si>
  <si>
    <t>last_trading_date_rule</t>
  </si>
  <si>
    <t>expiry_date_rule</t>
  </si>
  <si>
    <t>root_ric_symbol</t>
  </si>
  <si>
    <t>min_fluctuation</t>
  </si>
  <si>
    <t>notional_maturity_units</t>
  </si>
  <si>
    <t>max_contracts</t>
  </si>
  <si>
    <t>default_executing_broker</t>
  </si>
  <si>
    <t>default_clearing_broker</t>
  </si>
  <si>
    <t>underlying_instr</t>
  </si>
  <si>
    <t>underlying_instr_string</t>
  </si>
  <si>
    <t>future_code</t>
  </si>
  <si>
    <t>domicile</t>
  </si>
  <si>
    <t>underlying_ric</t>
  </si>
  <si>
    <t>contract_type</t>
  </si>
  <si>
    <t>date</t>
  </si>
  <si>
    <t>version_number</t>
  </si>
  <si>
    <t>version_user_id</t>
  </si>
  <si>
    <t>version_date</t>
  </si>
  <si>
    <t>default_executing_ny</t>
  </si>
  <si>
    <t>default_clearing_ny</t>
  </si>
  <si>
    <t>default_executing_tk</t>
  </si>
  <si>
    <t>default_clearing_tk</t>
  </si>
  <si>
    <t>default_executing_hk</t>
  </si>
  <si>
    <t>default_clearing_hk</t>
  </si>
  <si>
    <t>min_ctd_bonds</t>
  </si>
  <si>
    <t>max_ctd_bonds</t>
  </si>
  <si>
    <t>duration</t>
  </si>
  <si>
    <t>coupon_freq</t>
  </si>
  <si>
    <t>price_for_tick</t>
  </si>
  <si>
    <t>margined</t>
  </si>
  <si>
    <t>settlement_type</t>
  </si>
  <si>
    <t>expiry_time</t>
  </si>
  <si>
    <t>contract_multiplier</t>
  </si>
  <si>
    <t>cash_in_lieu</t>
  </si>
  <si>
    <t>related_contfuture_code</t>
  </si>
  <si>
    <t>fut_expiry_year</t>
  </si>
  <si>
    <t>strike_divisor</t>
  </si>
  <si>
    <t>root_ric_override</t>
  </si>
  <si>
    <t>This dataset contains price data of the Hedge Fund indices. https://mdsnav.csintra.net/?class=INDEX_BB_PR&amp;mds=ln_mds_prd1.eu.hedani.net_33300_service&amp;page=0.
https://mdsnav.csintra.net/?class=INDEX_BB_PR&amp;qual=CSLLGTOP&amp;cat=T&amp;ident=%40CSLLGTOP&amp;mds=ny_mds_prd1.fir.fbc.com_33300_service                               https://mdsnav.csintra.net/?class=INDEX_BB_PR&amp;qual=CSLLGTOT&amp;cat=T&amp;ident=%40CSLLGTOT&amp;mds=ny_mds_prd1.fir.fbc.com_33300_service  </t>
  </si>
  <si>
    <t>ticker</t>
  </si>
  <si>
    <t xml:space="preserve">This dataset contains CDS Index prices. Please find Markit RED code for your index and then look for its price in the class. https://mdsnav.csintra.net/?class=MA_CR_IDX_PR&amp;mds=ln_mds_prd1.eu.hedani.net_33300_service </t>
  </si>
  <si>
    <t>redcode</t>
  </si>
  <si>
    <t xml:space="preserve">The 9 digit RED Code associated with the underlying index for the associated instrument. </t>
  </si>
  <si>
    <t>index_id</t>
  </si>
  <si>
    <t xml:space="preserve">A Markit identifier for the instrument. </t>
  </si>
  <si>
    <t xml:space="preserve">The abbreviated name of the index. </t>
  </si>
  <si>
    <t>series</t>
  </si>
  <si>
    <t xml:space="preserve">The index series of the associated instrument. </t>
  </si>
  <si>
    <t>version</t>
  </si>
  <si>
    <t xml:space="preserve">The index version of the associated instrument. </t>
  </si>
  <si>
    <t>term</t>
  </si>
  <si>
    <t xml:space="preserve">The tenor of associated instrument. </t>
  </si>
  <si>
    <t>maturity_date</t>
  </si>
  <si>
    <t xml:space="preserve">The maturity date of the index instrument. </t>
  </si>
  <si>
    <t>ontherun</t>
  </si>
  <si>
    <t xml:space="preserve">A Y/N flag that indicates if the instrument is part of the on the run index. </t>
  </si>
  <si>
    <t>compositeprice</t>
  </si>
  <si>
    <t xml:space="preserve">The composite price of the index instrument calculated from the combination of clearing contributions, observed quotes from Markit Parsing and books of record contributions. </t>
  </si>
  <si>
    <t>compositespread</t>
  </si>
  <si>
    <t xml:space="preserve">The composite spread of the index instrument calculated from the combination of clearing contributions, observed quotes from Markit Parsing and books of record contributions. </t>
  </si>
  <si>
    <t>modelprice</t>
  </si>
  <si>
    <t xml:space="preserve">The intrinsic price of the instrument calculated from the composite CDS spreads of the underlying index constituents for the matching trade terms. </t>
  </si>
  <si>
    <t>modelspread</t>
  </si>
  <si>
    <t xml:space="preserve">The intrinsic spread of the instrument calculated from the composite CDS spreads of the underlying index constituents for the matching trade terms. </t>
  </si>
  <si>
    <t>depth</t>
  </si>
  <si>
    <t xml:space="preserve">The number of contributors who had submitted prices to the associated index instrument. </t>
  </si>
  <si>
    <t>heat</t>
  </si>
  <si>
    <t xml:space="preserve">A measure of volatility in the price of the instrument over the past 30 days. </t>
  </si>
  <si>
    <t>coupon</t>
  </si>
  <si>
    <t>indexfactor</t>
  </si>
  <si>
    <t>indexfactor_date</t>
  </si>
  <si>
    <t>price</t>
  </si>
  <si>
    <t>reset_date</t>
  </si>
  <si>
    <t>resetdate_price</t>
  </si>
  <si>
    <t>libor</t>
  </si>
  <si>
    <t>This dataset contains CL1 Commodity price. https://mdsnav.csintra.net/?class=COMMOD_BB_PR&amp;mds=ln_mds_prd1.eu.hedani.net_33300_service</t>
  </si>
  <si>
    <t>This dataset contains US bond yield. You can look at qualifier CMT. https://mdsnav.csintra.net/?class=CMTFIX&amp;mds=ln_mds_prd1.eu.hedani.net_33300_service</t>
  </si>
  <si>
    <t>period</t>
  </si>
  <si>
    <t>mds_rkey</t>
  </si>
  <si>
    <t xml:space="preserve">Since the data from various MDS datasets is available at different times it was decided to run the pipeline 3 times a day: at 6:00 AM, 12:00, 18:00 PM CH time.  We will be able to deliver the data earlier to Foundry for fx_zur as the project team requested (at 18:00 PM) and we will not cause the delay of delivering the data for the other projects. </t>
  </si>
  <si>
    <t>Radoslav Strba</t>
  </si>
  <si>
    <t>Request to implement inverted currency rate for fx_zur dataset: not_to_invert = ['AUD', 'BWP', 'EUR', 'FJD', 'FKP', 'GBP', 'GIP', 'NZD', 'PGK', 'SBD', 'SHP', 'TOP', 'WST', 'XAG', 'XAU', 'XCU', 'XPD', 'XPT', 'XRH']</t>
  </si>
  <si>
    <t>Source-Data Owner</t>
  </si>
  <si>
    <t>Burroughs, Tom (CQDM) &lt;thomas.burroughs@credit-suisse.com&gt;</t>
  </si>
  <si>
    <t>DSG MDAM</t>
  </si>
  <si>
    <t>Ahmad, Raza (VIRM 111) &lt;raza.ahmad@credit-suisse.com&gt;</t>
  </si>
  <si>
    <t>REFERENCE DATA</t>
  </si>
  <si>
    <t>Market Data Repository for official prices sourced from both external vendor and internal data sources.
It includes FX rates, commodity prices, and info on global markets</t>
  </si>
  <si>
    <t>This dataset describe about the currency conversion for FX Transactions for USD</t>
  </si>
  <si>
    <t>This dataset describe about the currency conversion for FX Transactions for udi_xp_xa</t>
  </si>
  <si>
    <t>fx_rates_udi_xp_xa</t>
  </si>
  <si>
    <t>fx_rates_historical</t>
  </si>
  <si>
    <t>This dataset describe about the currency conversion for FX Transactions (historic records)</t>
  </si>
  <si>
    <t>ID of the Contract</t>
  </si>
  <si>
    <t>Firm Contract Type</t>
  </si>
  <si>
    <t>Short Name of the Contract</t>
  </si>
  <si>
    <t>Long Name of the Contract</t>
  </si>
  <si>
    <t>Holiday Calendar ID</t>
  </si>
  <si>
    <t>Code of Delivery</t>
  </si>
  <si>
    <t>Trading Code</t>
  </si>
  <si>
    <t>Exchange ID</t>
  </si>
  <si>
    <t>Trading Months</t>
  </si>
  <si>
    <t>Spot Trading Months</t>
  </si>
  <si>
    <t>Notional Maturity Start</t>
  </si>
  <si>
    <t>Notional Maturity End</t>
  </si>
  <si>
    <t>Notional Coupon</t>
  </si>
  <si>
    <t>Contract Size</t>
  </si>
  <si>
    <t>Currency</t>
  </si>
  <si>
    <t>Quote Type</t>
  </si>
  <si>
    <t>Price Dec Places</t>
  </si>
  <si>
    <t>Price Tick Size</t>
  </si>
  <si>
    <t>Units In Quote</t>
  </si>
  <si>
    <t>Tick Value</t>
  </si>
  <si>
    <t>Back Office Code</t>
  </si>
  <si>
    <t>Last Trading Date Rule</t>
  </si>
  <si>
    <t>Expiry Date Rule</t>
  </si>
  <si>
    <t>Root Ric Symbol</t>
  </si>
  <si>
    <t>Min Fluctuation</t>
  </si>
  <si>
    <t>Notional Maturity Units</t>
  </si>
  <si>
    <t>Max Contracts</t>
  </si>
  <si>
    <t>Default Executing Broker</t>
  </si>
  <si>
    <t>Default Clearing Broker</t>
  </si>
  <si>
    <t>Underlying Instr</t>
  </si>
  <si>
    <t>Underlying Instr String</t>
  </si>
  <si>
    <t>Future Code</t>
  </si>
  <si>
    <t>Domicile</t>
  </si>
  <si>
    <t>Underlying Ric</t>
  </si>
  <si>
    <t>Contract Type</t>
  </si>
  <si>
    <t>Mds Date</t>
  </si>
  <si>
    <t>Active</t>
  </si>
  <si>
    <t>Version Number</t>
  </si>
  <si>
    <t>Version User Id</t>
  </si>
  <si>
    <t>Version Date</t>
  </si>
  <si>
    <t>Default Executing Ny</t>
  </si>
  <si>
    <t>Default Clearing Ny</t>
  </si>
  <si>
    <t>Default Executing Tk</t>
  </si>
  <si>
    <t>Default Clearing Tk</t>
  </si>
  <si>
    <t>Default Executing Hk</t>
  </si>
  <si>
    <t>Default Clearing Hk</t>
  </si>
  <si>
    <t>Min Ctd Bonds</t>
  </si>
  <si>
    <t>Max Ctd Bonds</t>
  </si>
  <si>
    <t>Duration</t>
  </si>
  <si>
    <t>Coupon Freq</t>
  </si>
  <si>
    <t>Price For Tick</t>
  </si>
  <si>
    <t>Margined</t>
  </si>
  <si>
    <t>Settlement Type</t>
  </si>
  <si>
    <t>Expiry Time</t>
  </si>
  <si>
    <t>Contract Multiplier</t>
  </si>
  <si>
    <t>Cash In Lieu</t>
  </si>
  <si>
    <t>Related Contfuture Code</t>
  </si>
  <si>
    <t>Fut Expiry Year</t>
  </si>
  <si>
    <t>Strike Divisor</t>
  </si>
  <si>
    <t>Root Ric Override</t>
  </si>
  <si>
    <t>Peer review for DIPCCRO-8019</t>
  </si>
  <si>
    <t>De Sagun, Minerva (CDTH 72)</t>
  </si>
  <si>
    <t>Daily connect to web service endpoint using provided details and load the data to SFI NAS landing.
Calendar/business day: Mon-Fri (weekdays) 
Time: 03:00 CET</t>
  </si>
  <si>
    <t xml:space="preserve">The data from various MDS datasets is available at different times. For this dataset it was decided to run the pipeline at 3:00 AM based on data availability.  
Calendar/business day: Mon-Fri (weekdays) 
Time: 03:00 CET                                                                      </t>
  </si>
  <si>
    <t>Cross Projects</t>
  </si>
  <si>
    <t>DDA sign-off</t>
  </si>
  <si>
    <t>Dataset 3 fx_rates_usd</t>
  </si>
  <si>
    <t>Dataset 22 fx_rates_udi_xp_xa</t>
  </si>
  <si>
    <t>Dataset 23 fx_rates_historical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</si>
</sst>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x14ac:knownFonts="1">
    <font>
      <sz val="10"/>
      <color theme="1"/>
      <name val="Credit Suisse Type Light"/>
      <family val="2"/>
      <scheme val="minor"/>
    </font>
    <font>
      <sz val="11"/>
      <color theme="1"/>
      <name val="Credit Suisse Type Light"/>
      <family val="2"/>
    </font>
    <font>
      <sz val="11"/>
      <color theme="1"/>
      <name val="Credit Suisse Type Light"/>
      <family val="2"/>
    </font>
    <font>
      <sz val="11"/>
      <color theme="1"/>
      <name val="Credit Suisse Type Light"/>
      <family val="2"/>
      <scheme val="minor"/>
    </font>
    <font>
      <sz val="11"/>
      <color theme="1"/>
      <name val="Credit Suisse Type Light"/>
      <family val="2"/>
    </font>
    <font>
      <sz val="11"/>
      <color theme="1"/>
      <name val="Credit Suisse Type Light"/>
      <family val="2"/>
      <scheme val="minor"/>
    </font>
    <font>
      <sz val="11"/>
      <color theme="1"/>
      <name val="Credit Suisse Type Light"/>
      <family val="2"/>
      <scheme val="minor"/>
    </font>
    <font>
      <sz val="11"/>
      <color theme="1"/>
      <name val="Credit Suisse Type Light"/>
      <family val="2"/>
      <scheme val="minor"/>
    </font>
    <font>
      <sz val="11"/>
      <color theme="1"/>
      <name val="Credit Suisse Type Light"/>
      <family val="2"/>
      <scheme val="minor"/>
    </font>
    <font>
      <sz val="11"/>
      <color theme="1"/>
      <name val="Credit Suisse Type Light"/>
      <family val="2"/>
      <scheme val="minor"/>
    </font>
    <font>
      <b/>
      <sz val="10"/>
      <color rgb="FFFA7D00"/>
      <name val="Credit Suisse Type Light"/>
      <family val="2"/>
      <scheme val="minor"/>
    </font>
    <font>
      <b/>
      <sz val="10"/>
      <color theme="0"/>
      <name val="Credit Suisse Type Light"/>
      <family val="2"/>
      <scheme val="minor"/>
    </font>
    <font>
      <sz val="10"/>
      <color rgb="FF9C6500"/>
      <name val="Credit Suisse Type Light"/>
      <family val="2"/>
      <scheme val="minor"/>
    </font>
    <font>
      <sz val="10"/>
      <color rgb="FF9C0006"/>
      <name val="Credit Suisse Type Light"/>
      <family val="2"/>
      <scheme val="minor"/>
    </font>
    <font>
      <sz val="10"/>
      <color rgb="FF006100"/>
      <name val="Credit Suisse Type Light"/>
      <family val="2"/>
      <scheme val="minor"/>
    </font>
    <font>
      <b/>
      <sz val="10"/>
      <color rgb="FF3F3F3F"/>
      <name val="Credit Suisse Type Light"/>
      <family val="2"/>
      <scheme val="minor"/>
    </font>
    <font>
      <sz val="10"/>
      <color rgb="FFFF0000"/>
      <name val="Credit Suisse Type Light"/>
      <family val="2"/>
      <scheme val="minor"/>
    </font>
    <font>
      <sz val="10"/>
      <color theme="1"/>
      <name val="Credit Suisse Type Light"/>
      <family val="2"/>
      <scheme val="minor"/>
    </font>
    <font>
      <sz val="10"/>
      <color rgb="FFFA7D00"/>
      <name val="Credit Suisse Type Light"/>
      <family val="2"/>
      <scheme val="minor"/>
    </font>
    <font>
      <sz val="10"/>
      <color rgb="FF3F3F76"/>
      <name val="Credit Suisse Type Light"/>
      <family val="2"/>
      <scheme val="minor"/>
    </font>
    <font>
      <i/>
      <sz val="10"/>
      <color rgb="FF7F7F7F"/>
      <name val="Credit Suisse Type Light"/>
      <family val="2"/>
      <scheme val="minor"/>
    </font>
    <font>
      <b/>
      <sz val="10"/>
      <name val="Credit Suisse Type Light"/>
      <family val="2"/>
      <scheme val="minor"/>
    </font>
    <font>
      <b/>
      <sz val="10"/>
      <color theme="0" tint="-0.34998626667073579"/>
      <name val="Credit Suisse Type Light"/>
      <family val="2"/>
      <scheme val="minor"/>
    </font>
    <font>
      <b/>
      <sz val="10"/>
      <color theme="1"/>
      <name val="Credit Suisse Type Light"/>
      <family val="2"/>
      <scheme val="minor"/>
    </font>
    <font>
      <b/>
      <sz val="14"/>
      <name val="Credit Suisse Type Light"/>
      <family val="2"/>
      <scheme val="major"/>
    </font>
    <font>
      <sz val="9"/>
      <color theme="1"/>
      <name val="Arial"/>
      <family val="2"/>
    </font>
    <font>
      <b/>
      <sz val="9"/>
      <name val="Arial"/>
      <family val="2"/>
    </font>
    <font>
      <b/>
      <sz val="9"/>
      <color theme="5" tint="-0.499984740745262"/>
      <name val="Arial"/>
      <family val="2"/>
    </font>
    <font>
      <b/>
      <sz val="9"/>
      <color theme="1" tint="0.34998626667073579"/>
      <name val="Arial"/>
      <family val="2"/>
    </font>
    <font>
      <sz val="9"/>
      <name val="Arial"/>
      <family val="2"/>
    </font>
    <font>
      <sz val="16"/>
      <color theme="0"/>
      <name val="Arial"/>
      <family val="2"/>
    </font>
    <font>
      <sz val="9"/>
      <color theme="7" tint="-0.499984740745262"/>
      <name val="Arial"/>
      <family val="2"/>
    </font>
    <font>
      <sz val="10"/>
      <color theme="7" tint="-0.499984740745262"/>
      <name val="Credit Suisse Type Light"/>
      <family val="2"/>
      <scheme val="minor"/>
    </font>
    <font>
      <sz val="9"/>
      <color theme="5" tint="-0.24994659260841701"/>
      <name val="Arial"/>
      <family val="2"/>
    </font>
    <font>
      <sz val="9"/>
      <color theme="5" tint="-0.499984740745262"/>
      <name val="Arial"/>
      <family val="2"/>
    </font>
    <font>
      <sz val="12"/>
      <name val="Arial"/>
      <family val="2"/>
    </font>
    <font>
      <sz val="12"/>
      <color theme="5" tint="-0.499984740745262"/>
      <name val="Arial"/>
      <family val="2"/>
    </font>
    <font>
      <sz val="9"/>
      <color indexed="81"/>
      <name val="Tahoma"/>
      <family val="2"/>
    </font>
    <font>
      <sz val="10"/>
      <color theme="1"/>
      <name val="Arial"/>
      <family val="2"/>
    </font>
    <font>
      <sz val="10"/>
      <color rgb="FF000000"/>
      <name val="Segoe UI"/>
      <family val="2"/>
    </font>
    <font>
      <u/>
      <sz val="10"/>
      <color theme="10"/>
      <name val="Credit Suisse Type Light"/>
      <family val="2"/>
      <scheme val="minor"/>
    </font>
    <font>
      <b/>
      <sz val="9"/>
      <color indexed="81"/>
      <name val="Tahoma"/>
      <family val="2"/>
    </font>
    <font>
      <sz val="13"/>
      <color rgb="FF000000"/>
      <name val="Credit Suisse Type Light"/>
      <family val="2"/>
      <scheme val="minor"/>
    </font>
    <font>
      <sz val="7"/>
      <name val="Times New Roman"/>
      <family val="1"/>
    </font>
    <font>
      <b/>
      <sz val="9"/>
      <color theme="1"/>
      <name val="Arial"/>
      <family val="2"/>
    </font>
    <font>
      <sz val="11"/>
      <color theme="1"/>
      <name val="Credit Suisse Type Light"/>
      <family val="2"/>
    </font>
    <font>
      <sz val="10"/>
      <color rgb="FFC00000"/>
      <name val="Credit Suisse Type Light"/>
      <family val="2"/>
      <scheme val="minor"/>
    </font>
    <font>
      <b/>
      <sz val="10"/>
      <color rgb="FFC00000"/>
      <name val="Credit Suisse Type Light"/>
      <family val="2"/>
      <scheme val="minor"/>
    </font>
    <font>
      <b/>
      <sz val="12"/>
      <color rgb="FFFF0000"/>
      <name val="Arial"/>
      <family val="2"/>
    </font>
    <font>
      <sz val="10"/>
      <color theme="0"/>
      <name val="Credit Suisse Type Light"/>
      <family val="2"/>
      <scheme val="minor"/>
    </font>
    <font>
      <b/>
      <sz val="11"/>
      <color theme="0"/>
      <name val="Credit Suisse Type Light"/>
      <family val="2"/>
    </font>
    <font>
      <sz val="10"/>
      <color rgb="FF00FF00"/>
      <name val="Credit Suisse Type Light"/>
      <family val="2"/>
      <scheme val="minor"/>
    </font>
    <font>
      <b/>
      <sz val="11"/>
      <color theme="1"/>
      <name val="Credit Suisse Type Light"/>
      <family val="2"/>
    </font>
    <font>
      <sz val="10"/>
      <color rgb="FF000000"/>
      <name val="Credit Suisse Type Light"/>
      <family val="2"/>
      <scheme val="minor"/>
    </font>
    <font>
      <sz val="9"/>
      <color theme="5" tint="-0.499984740745262"/>
      <name val="Calibri"/>
      <family val="2"/>
    </font>
    <font>
      <u/>
      <sz val="10"/>
      <color theme="10"/>
      <name val="Calibri"/>
      <family val="2"/>
    </font>
    <font>
      <sz val="10"/>
      <color theme="1"/>
      <name val="Calibri"/>
      <family val="2"/>
    </font>
    <font>
      <sz val="9"/>
      <color theme="1"/>
      <name val="Calibri"/>
      <family val="2"/>
    </font>
    <font>
      <sz val="9"/>
      <color rgb="FFFF0000"/>
      <name val="Arial"/>
      <family val="2"/>
    </font>
    <font>
      <b/>
      <sz val="9"/>
      <color rgb="FFFF0000"/>
      <name val="Arial"/>
      <family val="2"/>
    </font>
    <font>
      <b/>
      <sz val="9"/>
      <color rgb="FFC00000"/>
      <name val="Calibri"/>
      <family val="2"/>
    </font>
    <font>
      <b/>
      <u/>
      <sz val="9"/>
      <color theme="5" tint="-0.499984740745262"/>
      <name val="Arial"/>
      <family val="2"/>
    </font>
    <font>
      <sz val="9"/>
      <color rgb="FF000000"/>
      <name val="Calibri"/>
      <family val="2"/>
    </font>
    <font>
      <sz val="9"/>
      <color rgb="FFFF0000"/>
      <name val="Calibri"/>
      <family val="2"/>
    </font>
    <font>
      <b/>
      <sz val="9"/>
      <color rgb="FFFF0000"/>
      <name val="Calibri"/>
      <family val="2"/>
    </font>
    <font>
      <sz val="9"/>
      <name val="Calibri"/>
      <family val="2"/>
    </font>
  </fonts>
  <fills count="2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FC000"/>
        <bgColor indexed="64"/>
      </patternFill>
    </fill>
    <fill>
      <patternFill patternType="solid">
        <fgColor theme="5" tint="-0.49998474074526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gray0625">
        <bgColor theme="7" tint="0.79998168889431442"/>
      </patternFill>
    </fill>
    <fill>
      <patternFill patternType="solid">
        <fgColor theme="7" tint="0.79998168889431442"/>
        <bgColor indexed="64"/>
      </patternFill>
    </fill>
    <fill>
      <patternFill patternType="solid">
        <fgColor indexed="65"/>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bgColor indexed="64"/>
      </patternFill>
    </fill>
    <fill>
      <patternFill patternType="solid">
        <fgColor rgb="FFFFCC00"/>
        <bgColor indexed="64"/>
      </patternFill>
    </fill>
    <fill>
      <patternFill patternType="gray0625">
        <bgColor rgb="FF92D050"/>
      </patternFill>
    </fill>
    <fill>
      <patternFill patternType="solid">
        <fgColor theme="9" tint="0.79998168889431442"/>
        <bgColor indexed="64"/>
      </patternFill>
    </fill>
    <fill>
      <patternFill patternType="solid">
        <fgColor theme="4"/>
        <bgColor indexed="64"/>
      </patternFill>
    </fill>
    <fill>
      <patternFill patternType="solid">
        <fgColor theme="3" tint="0.59999389629810485"/>
        <bgColor indexed="64"/>
      </patternFill>
    </fill>
    <fill>
      <patternFill patternType="solid">
        <fgColor theme="0" tint="-0.14999847407452621"/>
        <bgColor theme="0" tint="-0.14999847407452621"/>
      </patternFill>
    </fill>
  </fills>
  <borders count="4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auto="1"/>
      </bottom>
      <diagonal/>
    </border>
    <border>
      <left/>
      <right/>
      <top/>
      <bottom style="thin">
        <color theme="4" tint="0.499984740745262"/>
      </bottom>
      <diagonal/>
    </border>
    <border>
      <left style="thin">
        <color indexed="64"/>
      </left>
      <right style="thin">
        <color indexed="64"/>
      </right>
      <top style="thin">
        <color indexed="64"/>
      </top>
      <bottom style="thin">
        <color indexed="64"/>
      </bottom>
      <diagonal/>
    </border>
    <border>
      <left style="thin">
        <color theme="5" tint="-0.24994659260841701"/>
      </left>
      <right style="thin">
        <color theme="5" tint="-0.24994659260841701"/>
      </right>
      <top style="thin">
        <color theme="5" tint="-0.24994659260841701"/>
      </top>
      <bottom style="thin">
        <color theme="5" tint="-0.24994659260841701"/>
      </bottom>
      <diagonal/>
    </border>
    <border>
      <left style="thin">
        <color theme="5" tint="-0.24994659260841701"/>
      </left>
      <right/>
      <top style="thin">
        <color theme="5" tint="-0.24994659260841701"/>
      </top>
      <bottom style="thin">
        <color theme="5" tint="-0.24994659260841701"/>
      </bottom>
      <diagonal/>
    </border>
    <border>
      <left/>
      <right/>
      <top style="thin">
        <color theme="5" tint="-0.24994659260841701"/>
      </top>
      <bottom style="thin">
        <color theme="5" tint="-0.24994659260841701"/>
      </bottom>
      <diagonal/>
    </border>
    <border>
      <left/>
      <right style="thin">
        <color theme="5" tint="-0.24994659260841701"/>
      </right>
      <top style="thin">
        <color theme="5" tint="-0.24994659260841701"/>
      </top>
      <bottom style="thin">
        <color theme="5" tint="-0.24994659260841701"/>
      </bottom>
      <diagonal/>
    </border>
    <border>
      <left style="thin">
        <color theme="5" tint="-0.24994659260841701"/>
      </left>
      <right style="thin">
        <color theme="5" tint="-0.24994659260841701"/>
      </right>
      <top style="thin">
        <color theme="5" tint="-0.24994659260841701"/>
      </top>
      <bottom/>
      <diagonal/>
    </border>
    <border>
      <left style="thin">
        <color theme="5" tint="-0.24994659260841701"/>
      </left>
      <right style="thin">
        <color theme="5" tint="-0.24994659260841701"/>
      </right>
      <top/>
      <bottom style="thin">
        <color theme="5" tint="-0.24994659260841701"/>
      </bottom>
      <diagonal/>
    </border>
    <border>
      <left/>
      <right/>
      <top/>
      <bottom style="thin">
        <color theme="5" tint="-0.24994659260841701"/>
      </bottom>
      <diagonal/>
    </border>
    <border>
      <left style="thin">
        <color theme="5" tint="-0.24994659260841701"/>
      </left>
      <right/>
      <top style="thin">
        <color theme="5" tint="-0.24994659260841701"/>
      </top>
      <bottom/>
      <diagonal/>
    </border>
    <border>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top/>
      <bottom/>
      <diagonal/>
    </border>
    <border>
      <left style="thin">
        <color theme="5" tint="-0.24994659260841701"/>
      </left>
      <right/>
      <top/>
      <bottom style="thin">
        <color theme="5" tint="-0.24994659260841701"/>
      </bottom>
      <diagonal/>
    </border>
    <border>
      <left/>
      <right style="thin">
        <color theme="5" tint="-0.24994659260841701"/>
      </right>
      <top/>
      <bottom style="thin">
        <color theme="5" tint="-0.24994659260841701"/>
      </bottom>
      <diagonal/>
    </border>
    <border>
      <left style="thin">
        <color theme="5" tint="-0.24994659260841701"/>
      </left>
      <right style="thin">
        <color theme="5" tint="-0.24994659260841701"/>
      </right>
      <top style="thin">
        <color theme="5" tint="-0.24994659260841701"/>
      </top>
      <bottom style="thin">
        <color indexed="64"/>
      </bottom>
      <diagonal/>
    </border>
    <border>
      <left/>
      <right style="thin">
        <color theme="5" tint="-0.2499465926084170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theme="5" tint="-0.24994659260841701"/>
      </left>
      <right style="thin">
        <color theme="5" tint="-0.24994659260841701"/>
      </right>
      <top/>
      <bottom style="thin">
        <color indexed="64"/>
      </bottom>
      <diagonal/>
    </border>
    <border>
      <left style="thin">
        <color theme="5" tint="-0.24994659260841701"/>
      </left>
      <right style="thin">
        <color indexed="64"/>
      </right>
      <top style="thin">
        <color theme="5" tint="-0.24994659260841701"/>
      </top>
      <bottom/>
      <diagonal/>
    </border>
    <border>
      <left style="thin">
        <color theme="5" tint="-0.24994659260841701"/>
      </left>
      <right style="thin">
        <color indexed="64"/>
      </right>
      <top/>
      <bottom/>
      <diagonal/>
    </border>
    <border>
      <left style="thin">
        <color theme="5" tint="-0.24994659260841701"/>
      </left>
      <right style="thin">
        <color indexed="64"/>
      </right>
      <top/>
      <bottom style="thin">
        <color theme="5" tint="-0.2499465926084170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theme="5" tint="-0.24994659260841701"/>
      </right>
      <top style="thin">
        <color theme="5" tint="-0.24994659260841701"/>
      </top>
      <bottom style="thin">
        <color indexed="64"/>
      </bottom>
      <diagonal/>
    </border>
    <border>
      <left style="thin">
        <color indexed="64"/>
      </left>
      <right/>
      <top style="thin">
        <color theme="5" tint="-0.24994659260841701"/>
      </top>
      <bottom style="thin">
        <color theme="5" tint="-0.24994659260841701"/>
      </bottom>
      <diagonal/>
    </border>
    <border>
      <left/>
      <right style="thin">
        <color theme="5" tint="-0.24994659260841701"/>
      </right>
      <top/>
      <bottom style="thin">
        <color indexed="64"/>
      </bottom>
      <diagonal/>
    </border>
    <border>
      <left style="thin">
        <color theme="5" tint="-0.24994659260841701"/>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rgb="FF999999"/>
      </left>
      <right style="thin">
        <color rgb="FF999999"/>
      </right>
      <top style="thin">
        <color rgb="FF999999"/>
      </top>
      <bottom style="thin">
        <color rgb="FF999999"/>
      </bottom>
      <diagonal/>
    </border>
    <border>
      <left style="thin">
        <color rgb="FF000000"/>
      </left>
      <right style="thin">
        <color rgb="FF000000"/>
      </right>
      <top style="thin">
        <color rgb="FF000000"/>
      </top>
      <bottom style="thin">
        <color rgb="FF000000"/>
      </bottom>
      <diagonal/>
    </border>
  </borders>
  <cellStyleXfs count="33">
    <xf numFmtId="0" fontId="0" fillId="0" borderId="0"/>
    <xf numFmtId="0" fontId="21" fillId="0" borderId="7" applyNumberFormat="0" applyFill="0" applyAlignment="0" applyProtection="0"/>
    <xf numFmtId="0" fontId="22" fillId="0" borderId="8" applyNumberFormat="0" applyFill="0" applyAlignment="0" applyProtection="0"/>
    <xf numFmtId="0" fontId="21" fillId="0" borderId="0" applyNumberFormat="0" applyFill="0" applyBorder="0" applyAlignment="0" applyProtection="0"/>
    <xf numFmtId="0" fontId="22" fillId="0" borderId="0" applyNumberFormat="0" applyFill="0" applyBorder="0" applyAlignment="0" applyProtection="0"/>
    <xf numFmtId="0" fontId="14" fillId="2" borderId="0" applyNumberFormat="0" applyBorder="0" applyAlignment="0" applyProtection="0"/>
    <xf numFmtId="0" fontId="13" fillId="3" borderId="0" applyNumberFormat="0" applyBorder="0" applyAlignment="0" applyProtection="0"/>
    <xf numFmtId="0" fontId="12" fillId="4" borderId="0" applyNumberFormat="0" applyBorder="0" applyAlignment="0" applyProtection="0"/>
    <xf numFmtId="0" fontId="19" fillId="5" borderId="1" applyNumberFormat="0" applyAlignment="0" applyProtection="0"/>
    <xf numFmtId="0" fontId="15" fillId="6" borderId="2" applyNumberFormat="0" applyAlignment="0" applyProtection="0"/>
    <xf numFmtId="0" fontId="10" fillId="6" borderId="1" applyNumberFormat="0" applyAlignment="0" applyProtection="0"/>
    <xf numFmtId="0" fontId="18" fillId="0" borderId="3" applyNumberFormat="0" applyFill="0" applyAlignment="0" applyProtection="0"/>
    <xf numFmtId="0" fontId="11" fillId="7" borderId="4" applyNumberFormat="0" applyAlignment="0" applyProtection="0"/>
    <xf numFmtId="0" fontId="16" fillId="0" borderId="0" applyNumberFormat="0" applyFill="0" applyBorder="0" applyAlignment="0" applyProtection="0"/>
    <xf numFmtId="0" fontId="17" fillId="8" borderId="5" applyNumberFormat="0" applyAlignment="0" applyProtection="0"/>
    <xf numFmtId="0" fontId="20" fillId="0" borderId="0" applyNumberFormat="0" applyFill="0" applyBorder="0" applyAlignment="0" applyProtection="0"/>
    <xf numFmtId="0" fontId="23" fillId="0" borderId="6" applyNumberFormat="0" applyFill="0" applyAlignment="0" applyProtection="0"/>
    <xf numFmtId="0" fontId="24" fillId="0" borderId="0" applyNumberFormat="0" applyFill="0" applyBorder="0" applyAlignment="0" applyProtection="0"/>
    <xf numFmtId="0" fontId="33" fillId="11" borderId="0"/>
    <xf numFmtId="0" fontId="17" fillId="0" borderId="0"/>
    <xf numFmtId="0" fontId="9" fillId="0" borderId="0"/>
    <xf numFmtId="0" fontId="9" fillId="0" borderId="0"/>
    <xf numFmtId="0" fontId="40" fillId="0" borderId="0" applyNumberFormat="0" applyFill="0" applyBorder="0" applyAlignment="0" applyProtection="0"/>
    <xf numFmtId="0" fontId="8"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5" fillId="0" borderId="0"/>
    <xf numFmtId="0" fontId="3" fillId="0" borderId="0"/>
  </cellStyleXfs>
  <cellXfs count="377">
    <xf numFmtId="0" fontId="0" fillId="0" borderId="0" xfId="0"/>
    <xf numFmtId="0" fontId="25" fillId="0" borderId="0" xfId="0" applyFont="1"/>
    <xf numFmtId="0" fontId="29" fillId="0" borderId="0" xfId="0" applyFont="1" applyAlignment="1">
      <alignment horizontal="left" vertical="top"/>
    </xf>
    <xf numFmtId="0" fontId="29" fillId="0" borderId="0" xfId="0" applyFont="1"/>
    <xf numFmtId="0" fontId="26" fillId="0" borderId="0" xfId="0" applyFont="1" applyAlignment="1">
      <alignment horizontal="left" vertical="top"/>
    </xf>
    <xf numFmtId="0" fontId="29" fillId="0" borderId="0" xfId="0" applyFont="1" applyFill="1"/>
    <xf numFmtId="0" fontId="32" fillId="0" borderId="0" xfId="0" applyFont="1"/>
    <xf numFmtId="0" fontId="28" fillId="9" borderId="9" xfId="0" applyFont="1" applyFill="1" applyBorder="1"/>
    <xf numFmtId="0" fontId="31" fillId="0" borderId="0" xfId="0" applyFont="1" applyBorder="1" applyAlignment="1">
      <alignment horizontal="left" indent="1"/>
    </xf>
    <xf numFmtId="0" fontId="29" fillId="0" borderId="0" xfId="0" applyFont="1" applyBorder="1" applyAlignment="1">
      <alignment horizontal="left" vertical="top"/>
    </xf>
    <xf numFmtId="0" fontId="34" fillId="0" borderId="10" xfId="0" applyFont="1" applyBorder="1" applyAlignment="1">
      <alignment horizontal="left" vertical="top" indent="1"/>
    </xf>
    <xf numFmtId="0" fontId="34" fillId="0" borderId="10" xfId="0" applyFont="1" applyBorder="1" applyAlignment="1">
      <alignment horizontal="left" vertical="top"/>
    </xf>
    <xf numFmtId="0" fontId="34" fillId="0" borderId="10" xfId="0" applyFont="1" applyBorder="1"/>
    <xf numFmtId="0" fontId="35" fillId="0" borderId="0" xfId="0" applyFont="1" applyFill="1" applyAlignment="1">
      <alignment vertical="center"/>
    </xf>
    <xf numFmtId="0" fontId="34" fillId="0" borderId="0" xfId="0" applyFont="1" applyFill="1" applyBorder="1" applyAlignment="1">
      <alignment vertical="center"/>
    </xf>
    <xf numFmtId="0" fontId="36" fillId="0" borderId="0" xfId="0" applyFont="1" applyFill="1" applyAlignment="1">
      <alignment vertical="center"/>
    </xf>
    <xf numFmtId="0" fontId="34" fillId="0" borderId="0" xfId="0" applyFont="1" applyBorder="1" applyAlignment="1">
      <alignment horizontal="left" vertical="top" indent="1"/>
    </xf>
    <xf numFmtId="0" fontId="34" fillId="0" borderId="0" xfId="0" applyFont="1" applyBorder="1" applyAlignment="1">
      <alignment horizontal="left" vertical="top"/>
    </xf>
    <xf numFmtId="0" fontId="34" fillId="0" borderId="0" xfId="0" applyFont="1" applyBorder="1" applyAlignment="1">
      <alignment horizontal="left" vertical="top" indent="2"/>
    </xf>
    <xf numFmtId="0" fontId="34" fillId="0" borderId="0" xfId="0" applyFont="1" applyBorder="1" applyAlignment="1">
      <alignment vertical="top"/>
    </xf>
    <xf numFmtId="0" fontId="36" fillId="0" borderId="0" xfId="0" applyFont="1" applyFill="1" applyBorder="1" applyAlignment="1">
      <alignment vertical="center"/>
    </xf>
    <xf numFmtId="0" fontId="34" fillId="0" borderId="0" xfId="0" applyFont="1" applyBorder="1" applyAlignment="1">
      <alignment horizontal="left" indent="1"/>
    </xf>
    <xf numFmtId="0" fontId="34" fillId="0" borderId="0" xfId="0" applyFont="1" applyBorder="1"/>
    <xf numFmtId="0" fontId="0" fillId="0" borderId="9" xfId="0" applyBorder="1"/>
    <xf numFmtId="0" fontId="0" fillId="13" borderId="9" xfId="0" applyFill="1" applyBorder="1"/>
    <xf numFmtId="0" fontId="0" fillId="0" borderId="9" xfId="0" applyFont="1" applyBorder="1"/>
    <xf numFmtId="0" fontId="0" fillId="0" borderId="0" xfId="0" applyBorder="1"/>
    <xf numFmtId="0" fontId="0" fillId="0" borderId="9" xfId="0" applyFill="1" applyBorder="1"/>
    <xf numFmtId="0" fontId="34" fillId="0" borderId="23" xfId="0" applyFont="1" applyBorder="1"/>
    <xf numFmtId="0" fontId="27" fillId="0" borderId="9" xfId="0" applyFont="1" applyBorder="1" applyAlignment="1">
      <alignment horizontal="left" vertical="top" indent="1"/>
    </xf>
    <xf numFmtId="0" fontId="34" fillId="0" borderId="9" xfId="0" applyFont="1" applyBorder="1" applyAlignment="1">
      <alignment horizontal="left" vertical="top" indent="2"/>
    </xf>
    <xf numFmtId="0" fontId="0" fillId="12" borderId="9" xfId="0" applyFill="1" applyBorder="1" applyAlignment="1">
      <alignment wrapText="1"/>
    </xf>
    <xf numFmtId="0" fontId="34" fillId="0" borderId="9" xfId="0" applyFont="1" applyBorder="1" applyAlignment="1">
      <alignment horizontal="left" vertical="top"/>
    </xf>
    <xf numFmtId="0" fontId="28" fillId="0" borderId="0" xfId="0" applyFont="1" applyFill="1" applyBorder="1" applyAlignment="1">
      <alignment vertical="center"/>
    </xf>
    <xf numFmtId="0" fontId="30" fillId="10" borderId="0" xfId="0" applyFont="1" applyFill="1" applyAlignment="1">
      <alignment vertical="center"/>
    </xf>
    <xf numFmtId="0" fontId="0" fillId="0" borderId="0" xfId="0" applyAlignment="1"/>
    <xf numFmtId="0" fontId="34" fillId="0" borderId="0" xfId="0" applyFont="1" applyBorder="1" applyAlignment="1">
      <alignment horizontal="left"/>
    </xf>
    <xf numFmtId="0" fontId="28" fillId="0" borderId="20" xfId="0" applyFont="1" applyFill="1" applyBorder="1" applyAlignment="1">
      <alignment vertical="center"/>
    </xf>
    <xf numFmtId="0" fontId="38" fillId="0" borderId="0" xfId="0" applyFont="1"/>
    <xf numFmtId="0" fontId="38" fillId="0" borderId="0" xfId="0" applyFont="1" applyBorder="1"/>
    <xf numFmtId="0" fontId="28" fillId="9" borderId="10" xfId="0" applyFont="1" applyFill="1" applyBorder="1" applyAlignment="1">
      <alignment horizontal="center" vertical="center"/>
    </xf>
    <xf numFmtId="0" fontId="0" fillId="0" borderId="28" xfId="0" applyFill="1" applyBorder="1"/>
    <xf numFmtId="0" fontId="40" fillId="0" borderId="10" xfId="22" applyBorder="1"/>
    <xf numFmtId="0" fontId="25" fillId="15" borderId="10" xfId="0" applyFont="1" applyFill="1" applyBorder="1" applyAlignment="1">
      <alignment horizontal="left" vertical="top" indent="1"/>
    </xf>
    <xf numFmtId="0" fontId="25" fillId="14" borderId="10" xfId="0" applyFont="1" applyFill="1" applyBorder="1" applyAlignment="1">
      <alignment horizontal="left" vertical="top" indent="1"/>
    </xf>
    <xf numFmtId="14" fontId="34" fillId="0" borderId="0" xfId="0" applyNumberFormat="1" applyFont="1" applyBorder="1" applyAlignment="1">
      <alignment horizontal="right"/>
    </xf>
    <xf numFmtId="0" fontId="34" fillId="0" borderId="0" xfId="0" applyFont="1" applyBorder="1" applyAlignment="1"/>
    <xf numFmtId="0" fontId="25" fillId="14" borderId="11" xfId="0" applyFont="1" applyFill="1" applyBorder="1" applyAlignment="1">
      <alignment horizontal="left" vertical="top" indent="1"/>
    </xf>
    <xf numFmtId="0" fontId="34" fillId="0" borderId="0" xfId="0" applyFont="1" applyFill="1" applyBorder="1" applyAlignment="1">
      <alignment vertical="top"/>
    </xf>
    <xf numFmtId="0" fontId="34" fillId="0" borderId="29" xfId="0" applyFont="1" applyBorder="1"/>
    <xf numFmtId="0" fontId="34" fillId="0" borderId="9" xfId="0" applyFont="1" applyBorder="1"/>
    <xf numFmtId="0" fontId="29" fillId="0" borderId="0" xfId="0" applyFont="1" applyBorder="1" applyAlignment="1">
      <alignment vertical="top"/>
    </xf>
    <xf numFmtId="20" fontId="0" fillId="0" borderId="9" xfId="0" applyNumberFormat="1" applyBorder="1"/>
    <xf numFmtId="0" fontId="28" fillId="9" borderId="14" xfId="0" applyFont="1" applyFill="1" applyBorder="1" applyAlignment="1">
      <alignment vertical="center"/>
    </xf>
    <xf numFmtId="0" fontId="34" fillId="0" borderId="35" xfId="0" applyFont="1" applyBorder="1"/>
    <xf numFmtId="0" fontId="34" fillId="0" borderId="27" xfId="0" applyFont="1" applyBorder="1"/>
    <xf numFmtId="0" fontId="34" fillId="0" borderId="14" xfId="0" applyFont="1" applyBorder="1" applyAlignment="1">
      <alignment horizontal="left" vertical="top" indent="1"/>
    </xf>
    <xf numFmtId="0" fontId="28" fillId="9" borderId="21" xfId="0" applyFont="1" applyFill="1" applyBorder="1" applyAlignment="1">
      <alignment vertical="center"/>
    </xf>
    <xf numFmtId="0" fontId="34" fillId="0" borderId="15" xfId="0" applyFont="1" applyBorder="1" applyAlignment="1">
      <alignment horizontal="left" vertical="top"/>
    </xf>
    <xf numFmtId="0" fontId="34" fillId="0" borderId="9" xfId="0" applyFont="1" applyBorder="1" applyAlignment="1">
      <alignment horizontal="left" vertical="top" indent="1"/>
    </xf>
    <xf numFmtId="0" fontId="38" fillId="0" borderId="9" xfId="0" applyFont="1" applyBorder="1"/>
    <xf numFmtId="0" fontId="0" fillId="0" borderId="11" xfId="0" applyBorder="1" applyAlignment="1">
      <alignment horizontal="left" indent="1"/>
    </xf>
    <xf numFmtId="0" fontId="0" fillId="0" borderId="33" xfId="0" applyBorder="1"/>
    <xf numFmtId="0" fontId="0" fillId="0" borderId="0" xfId="0"/>
    <xf numFmtId="0" fontId="0" fillId="0" borderId="10" xfId="0" applyBorder="1"/>
    <xf numFmtId="0" fontId="28" fillId="9" borderId="11" xfId="0" applyFont="1" applyFill="1" applyBorder="1" applyAlignment="1">
      <alignment vertical="center"/>
    </xf>
    <xf numFmtId="0" fontId="28" fillId="9" borderId="13" xfId="0" applyFont="1" applyFill="1" applyBorder="1" applyAlignment="1">
      <alignment vertical="center"/>
    </xf>
    <xf numFmtId="0" fontId="0" fillId="0" borderId="10" xfId="0" applyBorder="1" applyAlignment="1">
      <alignment horizontal="left" indent="1"/>
    </xf>
    <xf numFmtId="0" fontId="0" fillId="0" borderId="15" xfId="0" applyBorder="1"/>
    <xf numFmtId="0" fontId="28" fillId="9" borderId="19" xfId="0" applyFont="1" applyFill="1" applyBorder="1" applyAlignment="1">
      <alignment vertical="center"/>
    </xf>
    <xf numFmtId="0" fontId="39" fillId="0" borderId="9" xfId="0" applyFont="1" applyBorder="1"/>
    <xf numFmtId="0" fontId="0" fillId="0" borderId="9" xfId="0" applyBorder="1" applyAlignment="1">
      <alignment horizontal="left" indent="1"/>
    </xf>
    <xf numFmtId="0" fontId="0" fillId="0" borderId="11" xfId="0" applyBorder="1"/>
    <xf numFmtId="0" fontId="39" fillId="0" borderId="0" xfId="0" applyFont="1" applyBorder="1"/>
    <xf numFmtId="0" fontId="0" fillId="0" borderId="0" xfId="0" applyFill="1" applyBorder="1"/>
    <xf numFmtId="0" fontId="0" fillId="17" borderId="0" xfId="0" applyFill="1"/>
    <xf numFmtId="0" fontId="34" fillId="0" borderId="10" xfId="0" applyFont="1" applyBorder="1" applyAlignment="1">
      <alignment horizontal="center" vertical="top" wrapText="1"/>
    </xf>
    <xf numFmtId="0" fontId="29" fillId="0" borderId="9" xfId="0" applyFont="1" applyFill="1" applyBorder="1"/>
    <xf numFmtId="14" fontId="29" fillId="0" borderId="9" xfId="0" applyNumberFormat="1" applyFont="1" applyFill="1" applyBorder="1"/>
    <xf numFmtId="14" fontId="34" fillId="0" borderId="9" xfId="0" applyNumberFormat="1" applyFont="1" applyBorder="1" applyAlignment="1"/>
    <xf numFmtId="0" fontId="45" fillId="0" borderId="0" xfId="31" applyFont="1"/>
    <xf numFmtId="0" fontId="25" fillId="14" borderId="31" xfId="0" applyFont="1" applyFill="1" applyBorder="1" applyAlignment="1">
      <alignment horizontal="left" vertical="top" indent="1"/>
    </xf>
    <xf numFmtId="0" fontId="25" fillId="14" borderId="32" xfId="0" applyFont="1" applyFill="1" applyBorder="1" applyAlignment="1">
      <alignment horizontal="left" vertical="top" indent="1"/>
    </xf>
    <xf numFmtId="49" fontId="34" fillId="0" borderId="14" xfId="0" applyNumberFormat="1" applyFont="1" applyBorder="1" applyAlignment="1">
      <alignment horizontal="left" vertical="top"/>
    </xf>
    <xf numFmtId="0" fontId="34" fillId="0" borderId="10" xfId="0" applyFont="1" applyBorder="1" applyAlignment="1" applyProtection="1">
      <alignment horizontal="left" vertical="top"/>
      <protection locked="0"/>
    </xf>
    <xf numFmtId="0" fontId="34" fillId="0" borderId="10" xfId="0" applyFont="1" applyBorder="1" applyAlignment="1" applyProtection="1">
      <alignment horizontal="left" vertical="top" wrapText="1"/>
      <protection locked="0"/>
    </xf>
    <xf numFmtId="0" fontId="0" fillId="0" borderId="0" xfId="0" applyProtection="1">
      <protection locked="0"/>
    </xf>
    <xf numFmtId="0" fontId="0" fillId="0" borderId="10" xfId="0" applyBorder="1" applyProtection="1">
      <protection locked="0"/>
    </xf>
    <xf numFmtId="0" fontId="34" fillId="0" borderId="10" xfId="0" applyFont="1" applyBorder="1" applyAlignment="1" applyProtection="1">
      <alignment horizontal="right"/>
      <protection locked="0"/>
    </xf>
    <xf numFmtId="14" fontId="34" fillId="0" borderId="14" xfId="0" applyNumberFormat="1" applyFont="1" applyBorder="1" applyAlignment="1" applyProtection="1">
      <alignment horizontal="right"/>
      <protection locked="0"/>
    </xf>
    <xf numFmtId="14" fontId="34" fillId="0" borderId="9" xfId="0" applyNumberFormat="1" applyFont="1" applyBorder="1" applyAlignment="1" applyProtection="1">
      <alignment horizontal="right"/>
      <protection locked="0"/>
    </xf>
    <xf numFmtId="0" fontId="34" fillId="0" borderId="10" xfId="0" applyFont="1" applyBorder="1" applyProtection="1">
      <protection locked="0"/>
    </xf>
    <xf numFmtId="0" fontId="34" fillId="0" borderId="35" xfId="0" applyFont="1" applyBorder="1" applyProtection="1">
      <protection locked="0"/>
    </xf>
    <xf numFmtId="0" fontId="34" fillId="0" borderId="27" xfId="0" applyFont="1" applyBorder="1" applyProtection="1">
      <protection locked="0"/>
    </xf>
    <xf numFmtId="0" fontId="34" fillId="0" borderId="9" xfId="0" applyFont="1" applyBorder="1" applyProtection="1">
      <protection locked="0"/>
    </xf>
    <xf numFmtId="0" fontId="34" fillId="0" borderId="29" xfId="0" applyFont="1" applyBorder="1" applyProtection="1">
      <protection locked="0"/>
    </xf>
    <xf numFmtId="0" fontId="34" fillId="0" borderId="23" xfId="0" applyFont="1" applyBorder="1" applyProtection="1">
      <protection locked="0"/>
    </xf>
    <xf numFmtId="0" fontId="40" fillId="0" borderId="10" xfId="22" applyBorder="1" applyProtection="1">
      <protection locked="0"/>
    </xf>
    <xf numFmtId="0" fontId="34" fillId="0" borderId="10" xfId="0" applyFont="1" applyFill="1" applyBorder="1" applyAlignment="1" applyProtection="1">
      <alignment horizontal="left" vertical="top"/>
      <protection locked="0"/>
    </xf>
    <xf numFmtId="0" fontId="34" fillId="0" borderId="10" xfId="0" applyFont="1" applyFill="1" applyBorder="1" applyAlignment="1" applyProtection="1">
      <alignment horizontal="left" vertical="top" indent="1"/>
      <protection locked="0"/>
    </xf>
    <xf numFmtId="0" fontId="29" fillId="0" borderId="0" xfId="0" applyFont="1" applyProtection="1">
      <protection locked="0"/>
    </xf>
    <xf numFmtId="0" fontId="34" fillId="0" borderId="10" xfId="0" applyFont="1" applyFill="1" applyBorder="1" applyAlignment="1" applyProtection="1">
      <alignment vertical="top"/>
      <protection locked="0"/>
    </xf>
    <xf numFmtId="0" fontId="34" fillId="16" borderId="10" xfId="0" applyFont="1" applyFill="1" applyBorder="1" applyProtection="1">
      <protection locked="0"/>
    </xf>
    <xf numFmtId="14" fontId="29" fillId="0" borderId="9" xfId="0" applyNumberFormat="1" applyFont="1" applyFill="1" applyBorder="1" applyProtection="1">
      <protection locked="0"/>
    </xf>
    <xf numFmtId="0" fontId="29" fillId="0" borderId="9" xfId="0" applyFont="1" applyFill="1" applyBorder="1" applyProtection="1">
      <protection locked="0"/>
    </xf>
    <xf numFmtId="14" fontId="34" fillId="0" borderId="9" xfId="0" applyNumberFormat="1" applyFont="1" applyBorder="1" applyAlignment="1" applyProtection="1">
      <protection locked="0"/>
    </xf>
    <xf numFmtId="0" fontId="34" fillId="0" borderId="37" xfId="0" applyFont="1" applyBorder="1"/>
    <xf numFmtId="0" fontId="25" fillId="14" borderId="38" xfId="0" applyFont="1" applyFill="1" applyBorder="1" applyAlignment="1">
      <alignment horizontal="left" vertical="top" indent="1"/>
    </xf>
    <xf numFmtId="0" fontId="46" fillId="18" borderId="9" xfId="0" applyFont="1" applyFill="1" applyBorder="1"/>
    <xf numFmtId="0" fontId="47" fillId="18" borderId="9" xfId="0" applyFont="1" applyFill="1" applyBorder="1"/>
    <xf numFmtId="0" fontId="48" fillId="0" borderId="0" xfId="0" applyFont="1"/>
    <xf numFmtId="0" fontId="38" fillId="0" borderId="0" xfId="0" applyFont="1" applyAlignment="1">
      <alignment vertical="center"/>
    </xf>
    <xf numFmtId="0" fontId="48" fillId="0" borderId="39" xfId="0" applyFont="1" applyBorder="1" applyAlignment="1" applyProtection="1">
      <alignment horizontal="center"/>
      <protection locked="0"/>
    </xf>
    <xf numFmtId="0" fontId="27" fillId="9" borderId="9" xfId="0" applyFont="1" applyFill="1" applyBorder="1" applyAlignment="1"/>
    <xf numFmtId="0" fontId="40" fillId="0" borderId="0" xfId="22"/>
    <xf numFmtId="14" fontId="34" fillId="0" borderId="0" xfId="0" applyNumberFormat="1" applyFont="1" applyBorder="1" applyAlignment="1"/>
    <xf numFmtId="0" fontId="0" fillId="0" borderId="9" xfId="0" applyBorder="1" applyProtection="1">
      <protection locked="0"/>
    </xf>
    <xf numFmtId="0" fontId="28" fillId="9" borderId="10" xfId="0" applyFont="1" applyFill="1" applyBorder="1" applyAlignment="1" applyProtection="1">
      <alignment vertical="center"/>
      <protection locked="0"/>
    </xf>
    <xf numFmtId="14" fontId="0" fillId="0" borderId="10" xfId="0" applyNumberFormat="1" applyBorder="1" applyProtection="1">
      <protection locked="0"/>
    </xf>
    <xf numFmtId="0" fontId="0" fillId="0" borderId="10" xfId="0" applyBorder="1" applyAlignment="1" applyProtection="1">
      <protection locked="0"/>
    </xf>
    <xf numFmtId="0" fontId="0" fillId="19" borderId="10" xfId="0" applyFill="1" applyBorder="1" applyProtection="1">
      <protection locked="0"/>
    </xf>
    <xf numFmtId="14" fontId="34" fillId="19" borderId="10" xfId="0" applyNumberFormat="1" applyFont="1" applyFill="1" applyBorder="1" applyAlignment="1" applyProtection="1">
      <alignment horizontal="left" vertical="top" indent="1"/>
      <protection locked="0"/>
    </xf>
    <xf numFmtId="0" fontId="34" fillId="19" borderId="10" xfId="0" applyFont="1" applyFill="1" applyBorder="1" applyAlignment="1" applyProtection="1">
      <alignment horizontal="left" vertical="top"/>
      <protection locked="0"/>
    </xf>
    <xf numFmtId="0" fontId="34" fillId="19" borderId="10" xfId="0" applyFont="1" applyFill="1" applyBorder="1" applyAlignment="1" applyProtection="1">
      <alignment horizontal="left" vertical="top" wrapText="1"/>
      <protection locked="0"/>
    </xf>
    <xf numFmtId="14" fontId="34" fillId="19" borderId="14" xfId="0" applyNumberFormat="1" applyFont="1" applyFill="1" applyBorder="1" applyAlignment="1" applyProtection="1">
      <alignment horizontal="left" vertical="top" indent="1"/>
      <protection locked="0"/>
    </xf>
    <xf numFmtId="0" fontId="34" fillId="19" borderId="14" xfId="0" applyFont="1" applyFill="1" applyBorder="1" applyAlignment="1" applyProtection="1">
      <alignment horizontal="left" vertical="top"/>
      <protection locked="0"/>
    </xf>
    <xf numFmtId="0" fontId="34" fillId="19" borderId="14" xfId="0" applyFont="1" applyFill="1" applyBorder="1" applyAlignment="1" applyProtection="1">
      <alignment horizontal="left" vertical="top" wrapText="1"/>
      <protection locked="0"/>
    </xf>
    <xf numFmtId="0" fontId="0" fillId="0" borderId="22" xfId="0" applyBorder="1"/>
    <xf numFmtId="0" fontId="44" fillId="17" borderId="10" xfId="0" applyFont="1" applyFill="1" applyBorder="1" applyAlignment="1">
      <alignment horizontal="left" vertical="top"/>
    </xf>
    <xf numFmtId="0" fontId="28" fillId="17" borderId="12" xfId="0" applyFont="1" applyFill="1" applyBorder="1" applyAlignment="1">
      <alignment vertical="center"/>
    </xf>
    <xf numFmtId="0" fontId="0" fillId="0" borderId="10" xfId="0" applyFill="1" applyBorder="1"/>
    <xf numFmtId="0" fontId="25" fillId="17" borderId="14" xfId="0" applyFont="1" applyFill="1" applyBorder="1" applyAlignment="1">
      <alignment horizontal="left" vertical="top" indent="1"/>
    </xf>
    <xf numFmtId="0" fontId="25" fillId="17" borderId="9" xfId="0" applyFont="1" applyFill="1" applyBorder="1" applyAlignment="1">
      <alignment horizontal="left" vertical="top" indent="1"/>
    </xf>
    <xf numFmtId="0" fontId="25" fillId="17" borderId="15" xfId="0" applyFont="1" applyFill="1" applyBorder="1" applyAlignment="1">
      <alignment horizontal="left" vertical="top" indent="1"/>
    </xf>
    <xf numFmtId="0" fontId="0" fillId="17" borderId="10" xfId="0" applyFill="1" applyBorder="1" applyAlignment="1">
      <alignment horizontal="left" indent="1"/>
    </xf>
    <xf numFmtId="0" fontId="25" fillId="0" borderId="11" xfId="0" applyFont="1" applyFill="1" applyBorder="1" applyAlignment="1">
      <alignment horizontal="left" vertical="top" indent="1"/>
    </xf>
    <xf numFmtId="0" fontId="0" fillId="0" borderId="10" xfId="0" applyFill="1" applyBorder="1" applyAlignment="1">
      <alignment horizontal="left" indent="1"/>
    </xf>
    <xf numFmtId="0" fontId="44" fillId="0" borderId="23" xfId="0" applyFont="1" applyFill="1" applyBorder="1" applyAlignment="1">
      <alignment horizontal="left" vertical="top"/>
    </xf>
    <xf numFmtId="0" fontId="44" fillId="0" borderId="10" xfId="0" applyFont="1" applyFill="1" applyBorder="1" applyAlignment="1">
      <alignment horizontal="left" vertical="top"/>
    </xf>
    <xf numFmtId="0" fontId="28" fillId="0" borderId="21" xfId="0" applyFont="1" applyFill="1" applyBorder="1" applyAlignment="1">
      <alignment vertical="center"/>
    </xf>
    <xf numFmtId="0" fontId="28" fillId="20" borderId="11" xfId="0" applyFont="1" applyFill="1" applyBorder="1" applyAlignment="1">
      <alignment vertical="center"/>
    </xf>
    <xf numFmtId="0" fontId="44" fillId="20" borderId="36" xfId="0" applyFont="1" applyFill="1" applyBorder="1" applyAlignment="1">
      <alignment vertical="top"/>
    </xf>
    <xf numFmtId="0" fontId="44" fillId="20" borderId="12" xfId="0" applyFont="1" applyFill="1" applyBorder="1" applyAlignment="1">
      <alignment vertical="top"/>
    </xf>
    <xf numFmtId="0" fontId="25" fillId="0" borderId="11" xfId="0" applyFont="1" applyFill="1" applyBorder="1" applyAlignment="1">
      <alignment horizontal="left" vertical="top"/>
    </xf>
    <xf numFmtId="0" fontId="25" fillId="0" borderId="14" xfId="0" applyFont="1" applyFill="1" applyBorder="1" applyAlignment="1">
      <alignment horizontal="left" vertical="top" indent="1"/>
    </xf>
    <xf numFmtId="0" fontId="25" fillId="0" borderId="9" xfId="0" applyFont="1" applyFill="1" applyBorder="1" applyAlignment="1">
      <alignment horizontal="left" vertical="top" indent="1"/>
    </xf>
    <xf numFmtId="0" fontId="25" fillId="0" borderId="15" xfId="0" applyFont="1" applyFill="1" applyBorder="1" applyAlignment="1">
      <alignment horizontal="left" vertical="top" indent="1"/>
    </xf>
    <xf numFmtId="0" fontId="25" fillId="0" borderId="10" xfId="0" applyFont="1" applyFill="1" applyBorder="1" applyAlignment="1">
      <alignment horizontal="left" vertical="top" indent="1"/>
    </xf>
    <xf numFmtId="0" fontId="0" fillId="17" borderId="11" xfId="0" applyFill="1" applyBorder="1" applyAlignment="1">
      <alignment horizontal="left" indent="1"/>
    </xf>
    <xf numFmtId="0" fontId="0" fillId="0" borderId="0" xfId="0" applyBorder="1" applyAlignment="1">
      <alignment horizontal="left" indent="1"/>
    </xf>
    <xf numFmtId="0" fontId="28" fillId="9" borderId="17" xfId="0" applyFont="1" applyFill="1" applyBorder="1" applyAlignment="1">
      <alignment vertical="center"/>
    </xf>
    <xf numFmtId="0" fontId="0" fillId="17" borderId="9" xfId="0" applyFill="1" applyBorder="1" applyAlignment="1">
      <alignment horizontal="left" indent="1"/>
    </xf>
    <xf numFmtId="0" fontId="0" fillId="15" borderId="10" xfId="0" applyFill="1" applyBorder="1" applyAlignment="1">
      <alignment horizontal="left" indent="1"/>
    </xf>
    <xf numFmtId="0" fontId="28" fillId="0" borderId="12" xfId="0" applyFont="1" applyFill="1" applyBorder="1" applyAlignment="1">
      <alignment vertical="center"/>
    </xf>
    <xf numFmtId="0" fontId="0" fillId="0" borderId="10" xfId="0" applyBorder="1" applyAlignment="1">
      <alignment wrapText="1"/>
    </xf>
    <xf numFmtId="0" fontId="25" fillId="17" borderId="10" xfId="0" applyFont="1" applyFill="1" applyBorder="1" applyAlignment="1">
      <alignment horizontal="left" vertical="top" indent="1"/>
    </xf>
    <xf numFmtId="0" fontId="25" fillId="15" borderId="10" xfId="0" applyFont="1" applyFill="1" applyBorder="1" applyAlignment="1">
      <alignment horizontal="left" vertical="center" indent="1"/>
    </xf>
    <xf numFmtId="0" fontId="25" fillId="0" borderId="10" xfId="0" applyFont="1" applyFill="1" applyBorder="1" applyAlignment="1">
      <alignment horizontal="left" vertical="top" indent="2"/>
    </xf>
    <xf numFmtId="0" fontId="25" fillId="21" borderId="11" xfId="0" applyFont="1" applyFill="1" applyBorder="1" applyAlignment="1">
      <alignment horizontal="left" vertical="top" indent="1"/>
    </xf>
    <xf numFmtId="0" fontId="25" fillId="17" borderId="11" xfId="0" applyFont="1" applyFill="1" applyBorder="1" applyAlignment="1">
      <alignment horizontal="left" vertical="top"/>
    </xf>
    <xf numFmtId="0" fontId="28" fillId="17" borderId="14" xfId="0" applyFont="1" applyFill="1" applyBorder="1" applyAlignment="1">
      <alignment vertical="center"/>
    </xf>
    <xf numFmtId="0" fontId="36" fillId="18" borderId="0" xfId="0" applyFont="1" applyFill="1" applyBorder="1" applyAlignment="1">
      <alignment vertical="center"/>
    </xf>
    <xf numFmtId="0" fontId="28" fillId="17" borderId="14" xfId="0" applyFont="1" applyFill="1" applyBorder="1" applyAlignment="1">
      <alignment horizontal="center" vertical="center"/>
    </xf>
    <xf numFmtId="0" fontId="27" fillId="17" borderId="14" xfId="0" applyFont="1" applyFill="1" applyBorder="1" applyAlignment="1">
      <alignment vertical="center"/>
    </xf>
    <xf numFmtId="0" fontId="28" fillId="17" borderId="10" xfId="0" applyFont="1" applyFill="1" applyBorder="1" applyAlignment="1">
      <alignment horizontal="left" vertical="center"/>
    </xf>
    <xf numFmtId="0" fontId="28" fillId="17" borderId="9" xfId="0" applyFont="1" applyFill="1" applyBorder="1"/>
    <xf numFmtId="0" fontId="28" fillId="15" borderId="9" xfId="0" applyFont="1" applyFill="1" applyBorder="1"/>
    <xf numFmtId="0" fontId="27" fillId="15" borderId="10" xfId="0" applyFont="1" applyFill="1" applyBorder="1" applyAlignment="1">
      <alignment horizontal="left" vertical="top" indent="1"/>
    </xf>
    <xf numFmtId="0" fontId="34" fillId="15" borderId="10" xfId="0" applyFont="1" applyFill="1" applyBorder="1" applyAlignment="1">
      <alignment horizontal="left" vertical="top" indent="2"/>
    </xf>
    <xf numFmtId="0" fontId="34" fillId="17" borderId="10" xfId="0" applyFont="1" applyFill="1" applyBorder="1" applyAlignment="1">
      <alignment horizontal="left" vertical="top" indent="1"/>
    </xf>
    <xf numFmtId="14" fontId="34" fillId="16" borderId="10" xfId="0" applyNumberFormat="1" applyFont="1" applyFill="1" applyBorder="1" applyProtection="1">
      <protection locked="0"/>
    </xf>
    <xf numFmtId="0" fontId="28" fillId="9" borderId="9" xfId="0" applyFont="1" applyFill="1" applyBorder="1" applyAlignment="1">
      <alignment vertical="center"/>
    </xf>
    <xf numFmtId="0" fontId="0" fillId="0" borderId="9" xfId="0" applyBorder="1" applyAlignment="1">
      <alignment wrapText="1"/>
    </xf>
    <xf numFmtId="0" fontId="0" fillId="15" borderId="9" xfId="0" applyFill="1" applyBorder="1" applyAlignment="1">
      <alignment horizontal="left" indent="1"/>
    </xf>
    <xf numFmtId="0" fontId="0" fillId="0" borderId="10" xfId="0" applyBorder="1" applyProtection="1"/>
    <xf numFmtId="0" fontId="0" fillId="0" borderId="33" xfId="0" applyBorder="1" applyProtection="1">
      <protection locked="0"/>
    </xf>
    <xf numFmtId="0" fontId="39" fillId="0" borderId="9" xfId="0" applyFont="1" applyBorder="1" applyProtection="1">
      <protection locked="0"/>
    </xf>
    <xf numFmtId="0" fontId="34" fillId="0" borderId="10" xfId="0" applyFont="1" applyBorder="1" applyAlignment="1" applyProtection="1">
      <alignment horizontal="left" vertical="top" indent="2"/>
      <protection locked="0"/>
    </xf>
    <xf numFmtId="0" fontId="34" fillId="0" borderId="15" xfId="0" applyFont="1" applyBorder="1" applyAlignment="1" applyProtection="1">
      <alignment horizontal="left" vertical="top"/>
      <protection locked="0"/>
    </xf>
    <xf numFmtId="0" fontId="34" fillId="0" borderId="10" xfId="0" applyFont="1" applyFill="1" applyBorder="1" applyAlignment="1" applyProtection="1">
      <alignment horizontal="left" vertical="top" indent="2"/>
      <protection locked="0"/>
    </xf>
    <xf numFmtId="0" fontId="34" fillId="0" borderId="9" xfId="0" applyFont="1" applyBorder="1" applyAlignment="1" applyProtection="1">
      <alignment horizontal="left" vertical="top" indent="1"/>
      <protection locked="0"/>
    </xf>
    <xf numFmtId="0" fontId="49" fillId="0" borderId="0" xfId="0" applyFont="1"/>
    <xf numFmtId="0" fontId="0" fillId="0" borderId="9" xfId="0" applyBorder="1" applyAlignment="1" applyProtection="1">
      <alignment wrapText="1"/>
    </xf>
    <xf numFmtId="0" fontId="27" fillId="17" borderId="16" xfId="0" applyFont="1" applyFill="1" applyBorder="1" applyAlignment="1">
      <alignment vertical="top"/>
    </xf>
    <xf numFmtId="0" fontId="27" fillId="17" borderId="22" xfId="0" applyFont="1" applyFill="1" applyBorder="1" applyAlignment="1">
      <alignment vertical="top"/>
    </xf>
    <xf numFmtId="0" fontId="25" fillId="22" borderId="10" xfId="0" applyFont="1" applyFill="1" applyBorder="1" applyAlignment="1">
      <alignment horizontal="left" vertical="center" indent="1"/>
    </xf>
    <xf numFmtId="0" fontId="34" fillId="22" borderId="10" xfId="0" applyFont="1" applyFill="1" applyBorder="1" applyAlignment="1">
      <alignment horizontal="left" vertical="top" indent="1"/>
    </xf>
    <xf numFmtId="0" fontId="34" fillId="22" borderId="11" xfId="0" applyFont="1" applyFill="1" applyBorder="1" applyAlignment="1">
      <alignment horizontal="left" vertical="top" indent="1"/>
    </xf>
    <xf numFmtId="0" fontId="34" fillId="22" borderId="10" xfId="0" applyFont="1" applyFill="1" applyBorder="1" applyAlignment="1">
      <alignment horizontal="left" vertical="top"/>
    </xf>
    <xf numFmtId="0" fontId="25" fillId="22" borderId="15" xfId="0" applyFont="1" applyFill="1" applyBorder="1" applyAlignment="1">
      <alignment horizontal="left" vertical="top" indent="1"/>
    </xf>
    <xf numFmtId="0" fontId="28" fillId="22" borderId="21" xfId="0" applyFont="1" applyFill="1" applyBorder="1" applyAlignment="1">
      <alignment vertical="center"/>
    </xf>
    <xf numFmtId="0" fontId="44" fillId="22" borderId="10" xfId="0" applyFont="1" applyFill="1" applyBorder="1" applyAlignment="1">
      <alignment horizontal="left" vertical="top"/>
    </xf>
    <xf numFmtId="0" fontId="25" fillId="14" borderId="30" xfId="0" applyFont="1" applyFill="1" applyBorder="1" applyAlignment="1">
      <alignment horizontal="left" vertical="top" indent="1"/>
    </xf>
    <xf numFmtId="0" fontId="28" fillId="15" borderId="12" xfId="0" applyFont="1" applyFill="1" applyBorder="1" applyAlignment="1">
      <alignment vertical="center"/>
    </xf>
    <xf numFmtId="0" fontId="0" fillId="24" borderId="11" xfId="0" applyFill="1" applyBorder="1" applyAlignment="1">
      <alignment horizontal="left" indent="1"/>
    </xf>
    <xf numFmtId="0" fontId="0" fillId="24" borderId="17" xfId="0" applyFill="1" applyBorder="1" applyAlignment="1">
      <alignment horizontal="left" indent="1"/>
    </xf>
    <xf numFmtId="0" fontId="0" fillId="24" borderId="9" xfId="0" applyFill="1" applyBorder="1" applyAlignment="1">
      <alignment horizontal="left" indent="1"/>
    </xf>
    <xf numFmtId="0" fontId="25" fillId="24" borderId="14" xfId="0" applyFont="1" applyFill="1" applyBorder="1" applyAlignment="1">
      <alignment horizontal="left" vertical="top" indent="1"/>
    </xf>
    <xf numFmtId="0" fontId="25" fillId="24" borderId="9" xfId="0" applyFont="1" applyFill="1" applyBorder="1" applyAlignment="1">
      <alignment horizontal="left" vertical="top" indent="1"/>
    </xf>
    <xf numFmtId="0" fontId="28" fillId="22" borderId="10" xfId="0" applyFont="1" applyFill="1" applyBorder="1" applyAlignment="1">
      <alignment horizontal="left" vertical="center" indent="1"/>
    </xf>
    <xf numFmtId="0" fontId="50" fillId="23" borderId="0" xfId="31" applyFont="1" applyFill="1"/>
    <xf numFmtId="0" fontId="49" fillId="19" borderId="0" xfId="0" applyFont="1" applyFill="1" applyBorder="1"/>
    <xf numFmtId="0" fontId="0" fillId="0" borderId="40" xfId="0" applyBorder="1"/>
    <xf numFmtId="0" fontId="4" fillId="0" borderId="0" xfId="32" applyFont="1"/>
    <xf numFmtId="0" fontId="52" fillId="0" borderId="9" xfId="32" applyFont="1" applyBorder="1"/>
    <xf numFmtId="0" fontId="0" fillId="0" borderId="19" xfId="0" applyBorder="1"/>
    <xf numFmtId="14" fontId="34" fillId="0" borderId="10" xfId="0" applyNumberFormat="1" applyFont="1" applyBorder="1" applyAlignment="1" applyProtection="1">
      <alignment horizontal="left" vertical="top" indent="1"/>
      <protection locked="0"/>
    </xf>
    <xf numFmtId="0" fontId="0" fillId="25" borderId="10" xfId="0" applyFont="1" applyFill="1" applyBorder="1"/>
    <xf numFmtId="0" fontId="40" fillId="0" borderId="9" xfId="22" applyBorder="1"/>
    <xf numFmtId="0" fontId="0" fillId="0" borderId="13" xfId="0" applyBorder="1"/>
    <xf numFmtId="0" fontId="0" fillId="0" borderId="10" xfId="0" applyFont="1" applyBorder="1"/>
    <xf numFmtId="0" fontId="0" fillId="0" borderId="9" xfId="0" applyBorder="1" applyAlignment="1"/>
    <xf numFmtId="0" fontId="0" fillId="0" borderId="10" xfId="0" applyBorder="1" applyAlignment="1"/>
    <xf numFmtId="0" fontId="55" fillId="0" borderId="9" xfId="22" applyFont="1" applyBorder="1"/>
    <xf numFmtId="0" fontId="56" fillId="0" borderId="9" xfId="0" applyFont="1" applyBorder="1"/>
    <xf numFmtId="0" fontId="57" fillId="11" borderId="9" xfId="0" applyFont="1" applyFill="1" applyBorder="1"/>
    <xf numFmtId="0" fontId="56" fillId="0" borderId="9" xfId="0" applyFont="1" applyBorder="1" applyAlignment="1">
      <alignment wrapText="1"/>
    </xf>
    <xf numFmtId="0" fontId="56" fillId="0" borderId="13" xfId="0" applyFont="1" applyBorder="1"/>
    <xf numFmtId="0" fontId="60" fillId="11" borderId="9" xfId="0" applyFont="1" applyFill="1" applyBorder="1"/>
    <xf numFmtId="0" fontId="57" fillId="11" borderId="33" xfId="0" applyFont="1" applyFill="1" applyBorder="1"/>
    <xf numFmtId="0" fontId="56" fillId="0" borderId="10" xfId="0" applyFont="1" applyBorder="1"/>
    <xf numFmtId="0" fontId="56" fillId="25" borderId="10" xfId="0" applyFont="1" applyFill="1" applyBorder="1"/>
    <xf numFmtId="0" fontId="57" fillId="0" borderId="9" xfId="0" applyFont="1" applyBorder="1"/>
    <xf numFmtId="0" fontId="57" fillId="0" borderId="33" xfId="0" applyFont="1" applyBorder="1"/>
    <xf numFmtId="0" fontId="40" fillId="0" borderId="33" xfId="22" applyBorder="1"/>
    <xf numFmtId="0" fontId="0" fillId="0" borderId="14" xfId="0" applyBorder="1"/>
    <xf numFmtId="0" fontId="57" fillId="0" borderId="10" xfId="0" applyFont="1" applyBorder="1" applyAlignment="1">
      <alignment horizontal="left"/>
    </xf>
    <xf numFmtId="0" fontId="57" fillId="0" borderId="14" xfId="0" applyFont="1" applyBorder="1" applyAlignment="1">
      <alignment horizontal="left"/>
    </xf>
    <xf numFmtId="0" fontId="57" fillId="0" borderId="41" xfId="0" applyFont="1" applyBorder="1" applyAlignment="1">
      <alignment horizontal="left" vertical="center" wrapText="1"/>
    </xf>
    <xf numFmtId="14" fontId="57" fillId="0" borderId="41" xfId="0" applyNumberFormat="1" applyFont="1" applyBorder="1" applyAlignment="1">
      <alignment horizontal="left" vertical="center" wrapText="1"/>
    </xf>
    <xf numFmtId="0" fontId="62" fillId="0" borderId="0" xfId="0" applyFont="1" applyAlignment="1">
      <alignment horizontal="left"/>
    </xf>
    <xf numFmtId="0" fontId="0" fillId="25" borderId="10" xfId="0" applyFill="1" applyBorder="1"/>
    <xf numFmtId="0" fontId="56" fillId="0" borderId="33" xfId="0" applyFont="1" applyBorder="1"/>
    <xf numFmtId="0" fontId="56" fillId="0" borderId="12" xfId="0" applyFont="1" applyBorder="1"/>
    <xf numFmtId="0" fontId="54" fillId="0" borderId="10" xfId="0" applyFont="1" applyBorder="1"/>
    <xf numFmtId="0" fontId="54" fillId="0" borderId="35" xfId="0" applyFont="1" applyBorder="1"/>
    <xf numFmtId="0" fontId="54" fillId="0" borderId="27" xfId="0" applyFont="1" applyBorder="1"/>
    <xf numFmtId="0" fontId="54" fillId="0" borderId="9" xfId="0" applyFont="1" applyBorder="1"/>
    <xf numFmtId="0" fontId="54" fillId="0" borderId="23" xfId="0" applyFont="1" applyBorder="1"/>
    <xf numFmtId="0" fontId="56" fillId="0" borderId="10" xfId="0" applyFont="1" applyBorder="1" applyAlignment="1"/>
    <xf numFmtId="0" fontId="51" fillId="0" borderId="0" xfId="0" applyFont="1"/>
    <xf numFmtId="0" fontId="16" fillId="0" borderId="0" xfId="0" applyFont="1"/>
    <xf numFmtId="0" fontId="0" fillId="0" borderId="14" xfId="0" applyFill="1" applyBorder="1"/>
    <xf numFmtId="0" fontId="0" fillId="0" borderId="33" xfId="0" applyBorder="1" applyAlignment="1"/>
    <xf numFmtId="0" fontId="0" fillId="0" borderId="14" xfId="0" applyBorder="1" applyAlignment="1">
      <alignment wrapText="1"/>
    </xf>
    <xf numFmtId="0" fontId="0" fillId="0" borderId="17" xfId="0" applyBorder="1"/>
    <xf numFmtId="0" fontId="16" fillId="0" borderId="10" xfId="0" applyFont="1" applyBorder="1"/>
    <xf numFmtId="0" fontId="2" fillId="0" borderId="0" xfId="31" applyFont="1" applyFill="1"/>
    <xf numFmtId="0" fontId="44" fillId="17" borderId="14" xfId="0" applyFont="1" applyFill="1" applyBorder="1" applyAlignment="1">
      <alignment horizontal="left" vertical="top"/>
    </xf>
    <xf numFmtId="0" fontId="27" fillId="9" borderId="10" xfId="0" applyFont="1" applyFill="1" applyBorder="1"/>
    <xf numFmtId="0" fontId="27" fillId="9" borderId="11" xfId="0" applyFont="1" applyFill="1" applyBorder="1"/>
    <xf numFmtId="0" fontId="27" fillId="9" borderId="13" xfId="0" applyFont="1" applyFill="1" applyBorder="1"/>
    <xf numFmtId="0" fontId="2" fillId="0" borderId="0" xfId="0" applyFont="1"/>
    <xf numFmtId="0" fontId="2" fillId="0" borderId="0" xfId="31" applyFont="1"/>
    <xf numFmtId="0" fontId="2" fillId="23" borderId="0" xfId="31" applyFont="1" applyFill="1"/>
    <xf numFmtId="0" fontId="2" fillId="17" borderId="9" xfId="31" applyFont="1" applyFill="1" applyBorder="1"/>
    <xf numFmtId="0" fontId="2" fillId="0" borderId="9" xfId="31" applyFont="1" applyBorder="1"/>
    <xf numFmtId="0" fontId="2" fillId="24" borderId="9" xfId="31" applyFont="1" applyFill="1" applyBorder="1"/>
    <xf numFmtId="0" fontId="2" fillId="15" borderId="9" xfId="31" applyFont="1" applyFill="1" applyBorder="1"/>
    <xf numFmtId="0" fontId="0" fillId="0" borderId="0" xfId="0" applyAlignment="1">
      <alignment horizontal="center"/>
    </xf>
    <xf numFmtId="0" fontId="36" fillId="12" borderId="0" xfId="0" applyFont="1" applyFill="1" applyBorder="1" applyAlignment="1">
      <alignment vertical="center"/>
    </xf>
    <xf numFmtId="0" fontId="28" fillId="9" borderId="11" xfId="0" applyFont="1" applyFill="1" applyBorder="1" applyAlignment="1">
      <alignment horizontal="left" vertical="center"/>
    </xf>
    <xf numFmtId="0" fontId="28" fillId="9" borderId="13" xfId="0" applyFont="1" applyFill="1" applyBorder="1" applyAlignment="1">
      <alignment horizontal="left" vertical="center"/>
    </xf>
    <xf numFmtId="0" fontId="27" fillId="9" borderId="10" xfId="0" applyFont="1" applyFill="1" applyBorder="1" applyAlignment="1"/>
    <xf numFmtId="0" fontId="27" fillId="9" borderId="11" xfId="0" applyFont="1" applyFill="1" applyBorder="1" applyAlignment="1"/>
    <xf numFmtId="0" fontId="25" fillId="0" borderId="30" xfId="0" applyFont="1" applyFill="1" applyBorder="1" applyAlignment="1">
      <alignment horizontal="left" vertical="top" indent="1"/>
    </xf>
    <xf numFmtId="0" fontId="25" fillId="0" borderId="31" xfId="0" applyFont="1" applyFill="1" applyBorder="1" applyAlignment="1">
      <alignment horizontal="left" vertical="top" indent="1"/>
    </xf>
    <xf numFmtId="0" fontId="25" fillId="0" borderId="32" xfId="0" applyFont="1" applyFill="1" applyBorder="1" applyAlignment="1">
      <alignment horizontal="left" vertical="top" indent="1"/>
    </xf>
    <xf numFmtId="0" fontId="28" fillId="9" borderId="10" xfId="0" applyFont="1" applyFill="1" applyBorder="1" applyAlignment="1">
      <alignment horizontal="left" vertical="center"/>
    </xf>
    <xf numFmtId="0" fontId="0" fillId="19" borderId="10" xfId="0" applyFill="1" applyBorder="1" applyAlignment="1" applyProtection="1">
      <alignment wrapText="1"/>
      <protection locked="0"/>
    </xf>
    <xf numFmtId="0" fontId="0" fillId="0" borderId="0" xfId="0" applyAlignment="1">
      <alignment horizontal="center"/>
    </xf>
    <xf numFmtId="0" fontId="27" fillId="9" borderId="11" xfId="0" applyFont="1" applyFill="1" applyBorder="1" applyAlignment="1"/>
    <xf numFmtId="0" fontId="25" fillId="0" borderId="30" xfId="0" applyFont="1" applyFill="1" applyBorder="1" applyAlignment="1">
      <alignment horizontal="left" vertical="top" indent="1"/>
    </xf>
    <xf numFmtId="0" fontId="25" fillId="0" borderId="31" xfId="0" applyFont="1" applyFill="1" applyBorder="1" applyAlignment="1">
      <alignment horizontal="left" vertical="top" indent="1"/>
    </xf>
    <xf numFmtId="0" fontId="25" fillId="0" borderId="32" xfId="0" applyFont="1" applyFill="1" applyBorder="1" applyAlignment="1">
      <alignment horizontal="left" vertical="top" indent="1"/>
    </xf>
    <xf numFmtId="0" fontId="52" fillId="0" borderId="0" xfId="31" applyFont="1"/>
    <xf numFmtId="0" fontId="52" fillId="0" borderId="0" xfId="31" applyFont="1" applyFill="1"/>
    <xf numFmtId="0" fontId="1" fillId="0" borderId="0" xfId="31" applyFont="1" applyFill="1"/>
    <xf numFmtId="0" fontId="0" fillId="13" borderId="25" xfId="0" applyFill="1" applyBorder="1" applyAlignment="1"/>
    <xf numFmtId="0" fontId="0" fillId="13" borderId="26" xfId="0" applyFill="1" applyBorder="1" applyAlignment="1"/>
    <xf numFmtId="0" fontId="0" fillId="13" borderId="27" xfId="0" applyFill="1" applyBorder="1" applyAlignment="1"/>
    <xf numFmtId="0" fontId="23" fillId="0" borderId="0" xfId="0" applyFont="1" applyAlignment="1">
      <alignment horizontal="center"/>
    </xf>
    <xf numFmtId="0" fontId="29" fillId="0" borderId="33" xfId="0" applyFont="1" applyBorder="1" applyAlignment="1">
      <alignment horizontal="left" vertical="top" wrapText="1"/>
    </xf>
    <xf numFmtId="0" fontId="29" fillId="0" borderId="28" xfId="0" applyFont="1" applyBorder="1" applyAlignment="1">
      <alignment horizontal="left" vertical="top" wrapText="1"/>
    </xf>
    <xf numFmtId="0" fontId="29" fillId="0" borderId="34" xfId="0" applyFont="1" applyBorder="1" applyAlignment="1">
      <alignment horizontal="left" vertical="top" wrapText="1"/>
    </xf>
    <xf numFmtId="0" fontId="44" fillId="20" borderId="11" xfId="0" applyFont="1" applyFill="1" applyBorder="1" applyAlignment="1">
      <alignment horizontal="left" vertical="top"/>
    </xf>
    <xf numFmtId="0" fontId="44" fillId="20" borderId="12" xfId="0" applyFont="1" applyFill="1" applyBorder="1" applyAlignment="1">
      <alignment horizontal="left" vertical="top"/>
    </xf>
    <xf numFmtId="0" fontId="44" fillId="20" borderId="13" xfId="0" applyFont="1" applyFill="1" applyBorder="1" applyAlignment="1">
      <alignment horizontal="left" vertical="top"/>
    </xf>
    <xf numFmtId="0" fontId="28" fillId="20" borderId="11" xfId="0" applyFont="1" applyFill="1" applyBorder="1" applyAlignment="1">
      <alignment horizontal="left" vertical="center"/>
    </xf>
    <xf numFmtId="0" fontId="28" fillId="20" borderId="12" xfId="0" applyFont="1" applyFill="1" applyBorder="1" applyAlignment="1">
      <alignment horizontal="left" vertical="center"/>
    </xf>
    <xf numFmtId="0" fontId="28" fillId="20" borderId="13" xfId="0" applyFont="1" applyFill="1" applyBorder="1" applyAlignment="1">
      <alignment horizontal="left" vertical="center"/>
    </xf>
    <xf numFmtId="0" fontId="0" fillId="0" borderId="0" xfId="0" applyAlignment="1">
      <alignment horizontal="center"/>
    </xf>
    <xf numFmtId="0" fontId="28" fillId="20" borderId="9" xfId="0" applyFont="1" applyFill="1" applyBorder="1" applyAlignment="1">
      <alignment vertical="center"/>
    </xf>
    <xf numFmtId="0" fontId="34" fillId="0" borderId="9" xfId="0" applyFont="1" applyBorder="1" applyAlignment="1">
      <alignment horizontal="left"/>
    </xf>
    <xf numFmtId="0" fontId="27" fillId="9" borderId="17" xfId="0" applyFont="1" applyFill="1" applyBorder="1" applyAlignment="1">
      <alignment horizontal="left"/>
    </xf>
    <xf numFmtId="0" fontId="27" fillId="9" borderId="18" xfId="0" applyFont="1" applyFill="1" applyBorder="1" applyAlignment="1">
      <alignment horizontal="left"/>
    </xf>
    <xf numFmtId="0" fontId="27" fillId="9" borderId="19" xfId="0" applyFont="1" applyFill="1" applyBorder="1" applyAlignment="1">
      <alignment horizontal="left"/>
    </xf>
    <xf numFmtId="0" fontId="30" fillId="10" borderId="0" xfId="0" applyFont="1" applyFill="1" applyAlignment="1">
      <alignment horizontal="left" vertical="center"/>
    </xf>
    <xf numFmtId="0" fontId="27" fillId="9" borderId="10" xfId="0" applyFont="1" applyFill="1" applyBorder="1" applyAlignment="1">
      <alignment horizontal="left" vertical="top"/>
    </xf>
    <xf numFmtId="0" fontId="36" fillId="12" borderId="0" xfId="0" applyFont="1" applyFill="1" applyAlignment="1">
      <alignment vertical="center"/>
    </xf>
    <xf numFmtId="0" fontId="36" fillId="12" borderId="16" xfId="0" applyFont="1" applyFill="1" applyBorder="1" applyAlignment="1">
      <alignment vertical="center"/>
    </xf>
    <xf numFmtId="0" fontId="36" fillId="12" borderId="0" xfId="0" applyFont="1" applyFill="1" applyBorder="1" applyAlignment="1">
      <alignment vertical="center"/>
    </xf>
    <xf numFmtId="0" fontId="34" fillId="0" borderId="11" xfId="0" applyFont="1" applyBorder="1" applyAlignment="1" applyProtection="1">
      <alignment horizontal="left"/>
      <protection locked="0"/>
    </xf>
    <xf numFmtId="0" fontId="34" fillId="0" borderId="12" xfId="0" applyFont="1" applyBorder="1" applyAlignment="1" applyProtection="1">
      <alignment horizontal="left"/>
      <protection locked="0"/>
    </xf>
    <xf numFmtId="0" fontId="34" fillId="0" borderId="13" xfId="0" applyFont="1" applyBorder="1" applyAlignment="1" applyProtection="1">
      <alignment horizontal="left"/>
      <protection locked="0"/>
    </xf>
    <xf numFmtId="0" fontId="27" fillId="9" borderId="10" xfId="0" applyFont="1" applyFill="1" applyBorder="1" applyAlignment="1"/>
    <xf numFmtId="0" fontId="27" fillId="9" borderId="11" xfId="0" applyFont="1" applyFill="1" applyBorder="1" applyAlignment="1">
      <alignment horizontal="left" vertical="top"/>
    </xf>
    <xf numFmtId="0" fontId="27" fillId="9" borderId="13" xfId="0" applyFont="1" applyFill="1" applyBorder="1" applyAlignment="1">
      <alignment horizontal="left" vertical="top"/>
    </xf>
    <xf numFmtId="0" fontId="34" fillId="0" borderId="17" xfId="0" applyFont="1" applyBorder="1" applyAlignment="1" applyProtection="1">
      <alignment horizontal="left"/>
      <protection locked="0"/>
    </xf>
    <xf numFmtId="0" fontId="34" fillId="0" borderId="18" xfId="0" applyFont="1" applyBorder="1" applyAlignment="1" applyProtection="1">
      <alignment horizontal="left"/>
      <protection locked="0"/>
    </xf>
    <xf numFmtId="0" fontId="34" fillId="0" borderId="19" xfId="0" applyFont="1" applyBorder="1" applyAlignment="1" applyProtection="1">
      <alignment horizontal="left"/>
      <protection locked="0"/>
    </xf>
    <xf numFmtId="0" fontId="36" fillId="12" borderId="16" xfId="0" applyFont="1" applyFill="1" applyBorder="1" applyAlignment="1">
      <alignment horizontal="left" vertical="center"/>
    </xf>
    <xf numFmtId="0" fontId="34" fillId="0" borderId="25" xfId="0" applyFont="1" applyBorder="1" applyAlignment="1" applyProtection="1">
      <alignment horizontal="left" wrapText="1"/>
      <protection locked="0"/>
    </xf>
    <xf numFmtId="0" fontId="34" fillId="0" borderId="26" xfId="0" applyFont="1" applyBorder="1" applyAlignment="1" applyProtection="1">
      <alignment horizontal="left" wrapText="1"/>
      <protection locked="0"/>
    </xf>
    <xf numFmtId="0" fontId="34" fillId="0" borderId="27" xfId="0" applyFont="1" applyBorder="1" applyAlignment="1" applyProtection="1">
      <alignment horizontal="left" wrapText="1"/>
      <protection locked="0"/>
    </xf>
    <xf numFmtId="0" fontId="27" fillId="9" borderId="11" xfId="0" applyFont="1" applyFill="1" applyBorder="1" applyAlignment="1"/>
    <xf numFmtId="0" fontId="27" fillId="9" borderId="13" xfId="0" applyFont="1" applyFill="1" applyBorder="1" applyAlignment="1"/>
    <xf numFmtId="0" fontId="34" fillId="0" borderId="25" xfId="0" applyFont="1" applyBorder="1" applyAlignment="1" applyProtection="1">
      <alignment horizontal="left" vertical="top" wrapText="1"/>
      <protection locked="0"/>
    </xf>
    <xf numFmtId="0" fontId="34" fillId="0" borderId="26" xfId="0" applyFont="1" applyBorder="1" applyAlignment="1" applyProtection="1">
      <alignment horizontal="left" vertical="top" wrapText="1"/>
      <protection locked="0"/>
    </xf>
    <xf numFmtId="0" fontId="34" fillId="0" borderId="27" xfId="0" applyFont="1" applyBorder="1" applyAlignment="1" applyProtection="1">
      <alignment horizontal="left" vertical="top" wrapText="1"/>
      <protection locked="0"/>
    </xf>
    <xf numFmtId="0" fontId="27" fillId="9" borderId="14" xfId="0" applyFont="1" applyFill="1" applyBorder="1" applyAlignment="1"/>
    <xf numFmtId="0" fontId="28" fillId="9" borderId="11" xfId="0" applyFont="1" applyFill="1" applyBorder="1" applyAlignment="1">
      <alignment horizontal="left" vertical="center"/>
    </xf>
    <xf numFmtId="0" fontId="28" fillId="9" borderId="13" xfId="0" applyFont="1" applyFill="1" applyBorder="1" applyAlignment="1">
      <alignment horizontal="left" vertical="center"/>
    </xf>
    <xf numFmtId="0" fontId="29" fillId="0" borderId="33" xfId="0" applyFont="1" applyBorder="1" applyAlignment="1" applyProtection="1">
      <alignment horizontal="left" vertical="top" wrapText="1"/>
      <protection locked="0"/>
    </xf>
    <xf numFmtId="0" fontId="29" fillId="0" borderId="28" xfId="0" applyFont="1" applyBorder="1" applyAlignment="1" applyProtection="1">
      <alignment horizontal="left" vertical="top" wrapText="1"/>
      <protection locked="0"/>
    </xf>
    <xf numFmtId="0" fontId="29" fillId="0" borderId="34" xfId="0" applyFont="1" applyBorder="1" applyAlignment="1" applyProtection="1">
      <alignment horizontal="left" vertical="top" wrapText="1"/>
      <protection locked="0"/>
    </xf>
    <xf numFmtId="0" fontId="25" fillId="0" borderId="30" xfId="0" applyFont="1" applyFill="1" applyBorder="1" applyAlignment="1">
      <alignment horizontal="left" vertical="top" indent="1"/>
    </xf>
    <xf numFmtId="0" fontId="25" fillId="0" borderId="31" xfId="0" applyFont="1" applyFill="1" applyBorder="1" applyAlignment="1">
      <alignment horizontal="left" vertical="top" indent="1"/>
    </xf>
    <xf numFmtId="0" fontId="25" fillId="0" borderId="32" xfId="0" applyFont="1" applyFill="1" applyBorder="1" applyAlignment="1">
      <alignment horizontal="left" vertical="top" indent="1"/>
    </xf>
    <xf numFmtId="0" fontId="36" fillId="12" borderId="0" xfId="0" applyFont="1" applyFill="1" applyBorder="1" applyAlignment="1">
      <alignment horizontal="left" vertical="center"/>
    </xf>
    <xf numFmtId="0" fontId="36" fillId="12" borderId="7" xfId="0" applyFont="1" applyFill="1" applyBorder="1" applyAlignment="1">
      <alignment vertical="center"/>
    </xf>
    <xf numFmtId="0" fontId="36" fillId="18" borderId="0" xfId="0" applyFont="1" applyFill="1" applyBorder="1" applyAlignment="1" applyProtection="1">
      <alignment vertical="center"/>
      <protection locked="0"/>
    </xf>
    <xf numFmtId="0" fontId="36" fillId="18" borderId="16" xfId="0" applyFont="1" applyFill="1" applyBorder="1" applyAlignment="1" applyProtection="1">
      <alignment vertical="center"/>
      <protection locked="0"/>
    </xf>
    <xf numFmtId="0" fontId="28" fillId="22" borderId="10" xfId="0" applyFont="1" applyFill="1" applyBorder="1" applyAlignment="1">
      <alignment horizontal="left" vertical="center"/>
    </xf>
    <xf numFmtId="0" fontId="28" fillId="22" borderId="14" xfId="0" applyFont="1" applyFill="1" applyBorder="1" applyAlignment="1">
      <alignment horizontal="left" vertical="center"/>
    </xf>
    <xf numFmtId="0" fontId="28" fillId="0" borderId="14" xfId="0" applyFont="1" applyFill="1" applyBorder="1" applyAlignment="1">
      <alignment vertical="center"/>
    </xf>
    <xf numFmtId="0" fontId="28" fillId="0" borderId="15" xfId="0" applyFont="1" applyFill="1" applyBorder="1" applyAlignment="1">
      <alignment vertical="center"/>
    </xf>
    <xf numFmtId="0" fontId="28" fillId="22" borderId="10" xfId="0" applyFont="1" applyFill="1" applyBorder="1" applyAlignment="1">
      <alignment horizontal="center" vertical="center"/>
    </xf>
    <xf numFmtId="0" fontId="28" fillId="22" borderId="14" xfId="0" applyFont="1" applyFill="1" applyBorder="1" applyAlignment="1">
      <alignment horizontal="center" vertical="center"/>
    </xf>
    <xf numFmtId="0" fontId="34" fillId="0" borderId="17" xfId="0" applyFont="1" applyBorder="1" applyAlignment="1" applyProtection="1">
      <protection locked="0"/>
    </xf>
    <xf numFmtId="0" fontId="34" fillId="0" borderId="19" xfId="0" applyFont="1" applyBorder="1" applyAlignment="1" applyProtection="1">
      <protection locked="0"/>
    </xf>
    <xf numFmtId="0" fontId="34" fillId="0" borderId="20" xfId="0" applyFont="1" applyBorder="1" applyAlignment="1" applyProtection="1">
      <protection locked="0"/>
    </xf>
    <xf numFmtId="0" fontId="34" fillId="0" borderId="24" xfId="0" applyFont="1" applyBorder="1" applyAlignment="1" applyProtection="1">
      <protection locked="0"/>
    </xf>
    <xf numFmtId="0" fontId="34" fillId="0" borderId="21" xfId="0" applyFont="1" applyBorder="1" applyAlignment="1" applyProtection="1">
      <protection locked="0"/>
    </xf>
    <xf numFmtId="0" fontId="34" fillId="0" borderId="22" xfId="0" applyFont="1" applyBorder="1" applyAlignment="1" applyProtection="1">
      <protection locked="0"/>
    </xf>
    <xf numFmtId="0" fontId="28" fillId="9" borderId="10" xfId="0" applyFont="1" applyFill="1" applyBorder="1" applyAlignment="1">
      <alignment horizontal="left" vertical="center"/>
    </xf>
    <xf numFmtId="0" fontId="34" fillId="0" borderId="11" xfId="0" applyFont="1" applyBorder="1" applyAlignment="1">
      <alignment horizontal="left"/>
    </xf>
    <xf numFmtId="0" fontId="34" fillId="0" borderId="12" xfId="0" applyFont="1" applyBorder="1" applyAlignment="1">
      <alignment horizontal="left"/>
    </xf>
    <xf numFmtId="0" fontId="34" fillId="0" borderId="19" xfId="0" applyFont="1" applyBorder="1" applyAlignment="1">
      <alignment horizontal="left"/>
    </xf>
    <xf numFmtId="0" fontId="34" fillId="0" borderId="11" xfId="0" applyFont="1" applyBorder="1" applyAlignment="1">
      <alignment horizontal="left" wrapText="1"/>
    </xf>
    <xf numFmtId="0" fontId="34" fillId="0" borderId="13" xfId="0" applyFont="1" applyBorder="1" applyAlignment="1">
      <alignment horizontal="left"/>
    </xf>
    <xf numFmtId="0" fontId="54" fillId="0" borderId="11" xfId="0" applyFont="1" applyBorder="1" applyAlignment="1">
      <alignment horizontal="left"/>
    </xf>
    <xf numFmtId="0" fontId="54" fillId="0" borderId="12" xfId="0" applyFont="1" applyBorder="1" applyAlignment="1">
      <alignment horizontal="left"/>
    </xf>
    <xf numFmtId="0" fontId="54" fillId="0" borderId="19" xfId="0" applyFont="1" applyBorder="1" applyAlignment="1">
      <alignment horizontal="left"/>
    </xf>
    <xf numFmtId="0" fontId="54" fillId="0" borderId="11" xfId="0" applyFont="1" applyBorder="1" applyAlignment="1">
      <alignment horizontal="left" wrapText="1"/>
    </xf>
    <xf numFmtId="0" fontId="54" fillId="0" borderId="13" xfId="0" applyFont="1" applyBorder="1" applyAlignment="1">
      <alignment horizontal="left"/>
    </xf>
    <xf numFmtId="0" fontId="58" fillId="0" borderId="33" xfId="0" applyFont="1" applyBorder="1" applyAlignment="1">
      <alignment horizontal="left" vertical="top" wrapText="1"/>
    </xf>
    <xf numFmtId="0" fontId="58" fillId="0" borderId="28" xfId="0" applyFont="1" applyBorder="1" applyAlignment="1">
      <alignment horizontal="left" vertical="top" wrapText="1"/>
    </xf>
    <xf numFmtId="0" fontId="58" fillId="0" borderId="34" xfId="0" applyFont="1" applyBorder="1" applyAlignment="1">
      <alignment horizontal="left" vertical="top" wrapText="1"/>
    </xf>
    <xf numFmtId="0" fontId="63" fillId="0" borderId="33" xfId="0" applyFont="1" applyBorder="1" applyAlignment="1">
      <alignment horizontal="left" vertical="top" wrapText="1"/>
    </xf>
    <xf numFmtId="0" fontId="63" fillId="0" borderId="28" xfId="0" applyFont="1" applyBorder="1" applyAlignment="1">
      <alignment horizontal="left" vertical="top" wrapText="1"/>
    </xf>
    <xf numFmtId="0" fontId="63" fillId="0" borderId="34" xfId="0" applyFont="1" applyBorder="1" applyAlignment="1">
      <alignment horizontal="left" vertical="top" wrapText="1"/>
    </xf>
    <xf numFmtId="0" fontId="54" fillId="0" borderId="12" xfId="0" applyFont="1" applyBorder="1" applyAlignment="1">
      <alignment horizontal="left" wrapText="1"/>
    </xf>
    <xf numFmtId="0" fontId="54" fillId="0" borderId="13" xfId="0" applyFont="1" applyBorder="1" applyAlignment="1">
      <alignment horizontal="left" wrapText="1"/>
    </xf>
    <xf numFmtId="0" fontId="65" fillId="0" borderId="33" xfId="0" applyFont="1" applyBorder="1" applyAlignment="1">
      <alignment horizontal="left" vertical="top" wrapText="1"/>
    </xf>
    <xf numFmtId="0" fontId="65" fillId="0" borderId="28" xfId="0" applyFont="1" applyBorder="1" applyAlignment="1">
      <alignment horizontal="left" vertical="top" wrapText="1"/>
    </xf>
    <xf numFmtId="0" fontId="65" fillId="0" borderId="34" xfId="0" applyFont="1" applyBorder="1" applyAlignment="1">
      <alignment horizontal="left" vertical="top" wrapText="1"/>
    </xf>
    <xf numFmtId="0" fontId="53" fillId="0" borderId="11" xfId="22" applyFont="1" applyBorder="1" applyAlignment="1">
      <alignment horizontal="left" wrapText="1"/>
    </xf>
    <xf numFmtId="0" fontId="53" fillId="0" borderId="12" xfId="22" applyFont="1" applyBorder="1" applyAlignment="1">
      <alignment horizontal="left" wrapText="1"/>
    </xf>
    <xf numFmtId="0" fontId="53" fillId="0" borderId="13" xfId="22" applyFont="1" applyBorder="1" applyAlignment="1">
      <alignment horizontal="left" wrapText="1"/>
    </xf>
    <xf numFmtId="0" fontId="34" fillId="0" borderId="9" xfId="0" applyFont="1" applyBorder="1" applyAlignment="1">
      <alignment horizontal="left" wrapText="1"/>
    </xf>
    <xf numFmtId="0" fontId="53" fillId="0" borderId="11" xfId="22" applyFont="1" applyBorder="1" applyAlignment="1">
      <alignment horizontal="left" vertical="top" wrapText="1"/>
    </xf>
    <xf numFmtId="0" fontId="53" fillId="0" borderId="12" xfId="22" applyFont="1" applyBorder="1" applyAlignment="1">
      <alignment horizontal="left" vertical="top" wrapText="1"/>
    </xf>
    <xf numFmtId="0" fontId="53" fillId="0" borderId="13" xfId="22" applyFont="1" applyBorder="1" applyAlignment="1">
      <alignment horizontal="left" vertical="top" wrapText="1"/>
    </xf>
    <xf numFmtId="0" fontId="34" fillId="0" borderId="25" xfId="0" applyFont="1" applyBorder="1" applyAlignment="1">
      <alignment horizontal="left" wrapText="1"/>
    </xf>
    <xf numFmtId="0" fontId="34" fillId="0" borderId="26" xfId="0" applyFont="1" applyBorder="1" applyAlignment="1">
      <alignment horizontal="left" wrapText="1"/>
    </xf>
    <xf numFmtId="0" fontId="34" fillId="0" borderId="27" xfId="0" applyFont="1" applyBorder="1" applyAlignment="1">
      <alignment horizontal="left" wrapText="1"/>
    </xf>
  </cellXfs>
  <cellStyles count="33">
    <cellStyle name="Bad" xfId="6" builtinId="27" customBuiltin="1"/>
    <cellStyle name="Calculation" xfId="10" builtinId="22" customBuiltin="1"/>
    <cellStyle name="Check Cell" xfId="12" builtinId="23" customBuiltin="1"/>
    <cellStyle name="Explanatory Text" xfId="15"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Hyperlink" xfId="22" builtinId="8"/>
    <cellStyle name="Input" xfId="8" builtinId="20" customBuiltin="1"/>
    <cellStyle name="Input required" xfId="18" xr:uid="{00000000-0005-0000-0000-00000B000000}"/>
    <cellStyle name="Linked Cell" xfId="11" builtinId="24" customBuiltin="1"/>
    <cellStyle name="Neutral" xfId="7" builtinId="28" customBuiltin="1"/>
    <cellStyle name="Normal" xfId="0" builtinId="0" customBuiltin="1"/>
    <cellStyle name="Normal 2" xfId="20" xr:uid="{00000000-0005-0000-0000-00000F000000}"/>
    <cellStyle name="Normal 2 2" xfId="24" xr:uid="{00000000-0005-0000-0000-000010000000}"/>
    <cellStyle name="Normal 2 3" xfId="27" xr:uid="{00000000-0005-0000-0000-000011000000}"/>
    <cellStyle name="Normal 3" xfId="19" xr:uid="{00000000-0005-0000-0000-000012000000}"/>
    <cellStyle name="Normal 4" xfId="21" xr:uid="{00000000-0005-0000-0000-000013000000}"/>
    <cellStyle name="Normal 4 2" xfId="25" xr:uid="{00000000-0005-0000-0000-000014000000}"/>
    <cellStyle name="Normal 4 3" xfId="28" xr:uid="{00000000-0005-0000-0000-000015000000}"/>
    <cellStyle name="Normal 5" xfId="23" xr:uid="{00000000-0005-0000-0000-000016000000}"/>
    <cellStyle name="Normal 5 2" xfId="26" xr:uid="{00000000-0005-0000-0000-000017000000}"/>
    <cellStyle name="Normal 5 3" xfId="29" xr:uid="{00000000-0005-0000-0000-000018000000}"/>
    <cellStyle name="Normal 6" xfId="30" xr:uid="{00000000-0005-0000-0000-000019000000}"/>
    <cellStyle name="Normal 7" xfId="31" xr:uid="{00000000-0005-0000-0000-00001A000000}"/>
    <cellStyle name="Normal 8" xfId="32" xr:uid="{00000000-0005-0000-0000-00001B000000}"/>
    <cellStyle name="Note" xfId="14" builtinId="10" customBuiltin="1"/>
    <cellStyle name="Output" xfId="9" builtinId="21" customBuiltin="1"/>
    <cellStyle name="Title" xfId="17" builtinId="15" customBuiltin="1"/>
    <cellStyle name="Total" xfId="16" builtinId="25" customBuiltin="1"/>
    <cellStyle name="Warning Text" xfId="13" builtinId="11" customBuiltin="1"/>
  </cellStyles>
  <dxfs count="1278">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right style="thin">
          <color theme="5" tint="-0.24994659260841701"/>
        </right>
        <top/>
        <bottom style="thin">
          <color theme="5" tint="-0.24994659260841701"/>
        </bottom>
        <vertical/>
        <horizontal/>
      </border>
    </dxf>
    <dxf>
      <border diagonalUp="0" diagonalDown="0" outline="0">
        <left/>
        <right style="thin">
          <color theme="5" tint="-0.24994659260841701"/>
        </right>
        <top style="thin">
          <color theme="5" tint="-0.24994659260841701"/>
        </top>
        <bottom style="thin">
          <color theme="5" tint="-0.24994659260841701"/>
        </bottom>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right style="thin">
          <color theme="5" tint="-0.24994659260841701"/>
        </right>
        <top style="thin">
          <color theme="5" tint="-0.24994659260841701"/>
        </top>
        <bottom style="thin">
          <color theme="5" tint="-0.24994659260841701"/>
        </bottom>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right style="thin">
          <color theme="5" tint="-0.24994659260841701"/>
        </right>
        <top/>
        <bottom style="thin">
          <color theme="5" tint="-0.24994659260841701"/>
        </bottom>
        <vertical/>
        <horizontal/>
      </border>
    </dxf>
    <dxf>
      <border diagonalUp="0" diagonalDown="0" outline="0">
        <left/>
        <right style="thin">
          <color theme="5" tint="-0.24994659260841701"/>
        </right>
        <top style="thin">
          <color theme="5" tint="-0.24994659260841701"/>
        </top>
        <bottom style="thin">
          <color theme="5" tint="-0.24994659260841701"/>
        </bottom>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outline="0">
        <left/>
        <right style="thin">
          <color theme="5" tint="-0.24994659260841701"/>
        </right>
        <top style="thin">
          <color theme="5" tint="-0.24994659260841701"/>
        </top>
        <bottom style="thin">
          <color theme="5" tint="-0.24994659260841701"/>
        </bottom>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patternType="none">
          <fgColor indexed="64"/>
          <bgColor indexed="65"/>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right style="thin">
          <color theme="5" tint="-0.24994659260841701"/>
        </right>
        <top style="thin">
          <color theme="5" tint="-0.24994659260841701"/>
        </top>
        <bottom style="thin">
          <color theme="5" tint="-0.24994659260841701"/>
        </bottom>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outline="0">
        <left/>
        <right style="thin">
          <color theme="5" tint="-0.24994659260841701"/>
        </right>
        <top style="thin">
          <color theme="5" tint="-0.24994659260841701"/>
        </top>
        <bottom style="thin">
          <color theme="5" tint="-0.24994659260841701"/>
        </bottom>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name val="Calibri"/>
        <scheme val="none"/>
      </font>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ont>
        <name val="Calibri"/>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horizontal/>
      </border>
    </dxf>
    <dxf>
      <font>
        <name val="Calibri"/>
        <scheme val="none"/>
      </font>
      <border diagonalUp="0" diagonalDown="0">
        <left/>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name val="Calibri"/>
        <scheme val="none"/>
      </font>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ont>
        <name val="Calibri"/>
        <scheme val="none"/>
      </font>
      <fill>
        <patternFill patternType="solid">
          <fgColor theme="0" tint="-0.14999847407452621"/>
          <bgColor theme="0" tint="-0.1499984740745262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font>
        <name val="Calibri"/>
        <scheme val="none"/>
      </font>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font>
        <name val="Calibri"/>
        <scheme val="none"/>
      </font>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ont>
        <name val="Calibri"/>
        <scheme val="none"/>
      </font>
      <fill>
        <patternFill patternType="solid">
          <fgColor theme="0" tint="-0.14999847407452621"/>
          <bgColor theme="0" tint="-0.1499984740745262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font>
        <name val="Calibri"/>
        <scheme val="none"/>
      </font>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solid">
          <fgColor theme="0" tint="-0.14999847407452621"/>
          <bgColor theme="0" tint="-0.1499984740745262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solid">
          <fgColor theme="0" tint="-0.14999847407452621"/>
          <bgColor theme="0" tint="-0.1499984740745262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font>
        <name val="Calibri"/>
        <scheme val="none"/>
      </font>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ont>
        <sz val="9"/>
        <name val="Calibri"/>
        <scheme val="none"/>
      </font>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name val="Calibri"/>
        <scheme val="none"/>
      </font>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font>
        <sz val="9"/>
        <name val="Calibri"/>
        <scheme val="none"/>
      </font>
      <border diagonalUp="0" diagonalDown="0">
        <left style="thin">
          <color indexed="64"/>
        </left>
        <right style="thin">
          <color indexed="64"/>
        </right>
        <top style="thin">
          <color indexed="64"/>
        </top>
        <bottom style="thin">
          <color indexed="64"/>
        </bottom>
        <vertical/>
        <horizontal/>
      </border>
    </dxf>
    <dxf>
      <font>
        <name val="Calibri"/>
        <scheme val="none"/>
      </font>
      <fill>
        <patternFill patternType="none">
          <fgColor indexed="64"/>
          <bgColor auto="1"/>
        </patternFill>
      </fill>
      <border diagonalUp="0" diagonalDown="0">
        <left/>
        <right style="thin">
          <color theme="5" tint="-0.24994659260841701"/>
        </right>
        <top style="thin">
          <color theme="5" tint="-0.24994659260841701"/>
        </top>
        <bottom style="thin">
          <color theme="5" tint="-0.24994659260841701"/>
        </bottom>
        <vertical/>
        <horizontal/>
      </border>
    </dxf>
    <dxf>
      <font>
        <name val="Calibri"/>
        <scheme val="none"/>
      </font>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font>
        <name val="Calibri"/>
        <scheme val="none"/>
      </font>
      <border diagonalUp="0" diagonalDown="0">
        <left style="thin">
          <color indexed="64"/>
        </left>
        <right style="thin">
          <color indexed="64"/>
        </right>
        <top style="thin">
          <color indexed="64"/>
        </top>
        <bottom style="thin">
          <color indexed="64"/>
        </bottom>
        <vertical/>
        <horizontal/>
      </border>
    </dxf>
    <dxf>
      <font>
        <sz val="9"/>
        <name val="Calibri"/>
        <scheme val="none"/>
      </font>
      <fill>
        <patternFill patternType="solid">
          <fgColor indexed="64"/>
          <bgColor theme="5" tint="0.79998168889431442"/>
        </patternFill>
      </fill>
      <border diagonalUp="0" diagonalDown="0">
        <left style="thin">
          <color indexed="64"/>
        </left>
        <right style="thin">
          <color indexed="64"/>
        </right>
        <top style="thin">
          <color indexed="64"/>
        </top>
        <bottom style="thin">
          <color indexed="64"/>
        </bottom>
        <vertical/>
        <horizontal/>
      </border>
    </dxf>
    <dxf>
      <font>
        <name val="Calibri"/>
        <scheme val="none"/>
      </font>
      <border diagonalUp="0" diagonalDown="0">
        <left style="thin">
          <color indexed="64"/>
        </left>
        <right style="thin">
          <color indexed="64"/>
        </right>
        <top style="thin">
          <color indexed="64"/>
        </top>
        <bottom style="thin">
          <color indexed="64"/>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right style="thin">
          <color theme="5" tint="-0.24994659260841701"/>
        </right>
        <top style="thin">
          <color theme="5" tint="-0.24994659260841701"/>
        </top>
        <bottom style="thin">
          <color theme="5" tint="-0.24994659260841701"/>
        </bottom>
        <vertical/>
        <horizontal/>
      </border>
    </dxf>
    <dxf>
      <border outline="0">
        <left style="thin">
          <color rgb="FF84786F"/>
        </left>
        <right style="thin">
          <color rgb="FF84786F"/>
        </right>
        <bottom style="thin">
          <color rgb="FF84786F"/>
        </bottom>
      </border>
    </dxf>
    <dxf>
      <border outline="0">
        <bottom style="thin">
          <color rgb="FF84786F"/>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0" tint="-0.14996795556505021"/>
      </font>
      <fill>
        <patternFill>
          <bgColor theme="0" tint="-4.9989318521683403E-2"/>
        </patternFill>
      </fill>
    </dxf>
    <dxf>
      <font>
        <color theme="0" tint="-0.14996795556505021"/>
      </font>
      <fill>
        <patternFill>
          <bgColor theme="0" tint="-4.9989318521683403E-2"/>
        </patternFill>
      </fill>
    </dxf>
    <dxf>
      <font>
        <color theme="0" tint="-0.14996795556505021"/>
      </font>
      <fill>
        <patternFill>
          <bgColor theme="0" tint="-4.9989318521683403E-2"/>
        </patternFill>
      </fill>
    </dxf>
    <dxf>
      <font>
        <color theme="0" tint="-0.14996795556505021"/>
      </font>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b val="0"/>
        <i val="0"/>
        <strike val="0"/>
        <condense val="0"/>
        <extend val="0"/>
        <outline val="0"/>
        <shadow val="0"/>
        <u val="none"/>
        <vertAlign val="baseline"/>
        <sz val="9"/>
        <color theme="5" tint="-0.499984740745262"/>
        <name val="Arial"/>
        <scheme val="none"/>
      </font>
      <fill>
        <patternFill patternType="solid">
          <fgColor indexed="64"/>
          <bgColor theme="0"/>
        </patternFill>
      </fill>
      <alignment horizontal="left" vertical="top" textRotation="0" wrapText="1" indent="0" justifyLastLine="0" shrinkToFit="0" readingOrder="0"/>
      <border diagonalUp="0" diagonalDown="0" outline="0">
        <left style="thin">
          <color theme="5" tint="-0.24994659260841701"/>
        </left>
        <right style="thin">
          <color theme="5" tint="-0.24994659260841701"/>
        </right>
        <top style="thin">
          <color theme="5" tint="-0.24994659260841701"/>
        </top>
        <bottom style="thin">
          <color theme="5" tint="-0.24994659260841701"/>
        </bottom>
      </border>
      <protection locked="0" hidden="0"/>
    </dxf>
    <dxf>
      <font>
        <b val="0"/>
        <i val="0"/>
        <strike val="0"/>
        <condense val="0"/>
        <extend val="0"/>
        <outline val="0"/>
        <shadow val="0"/>
        <u val="none"/>
        <vertAlign val="baseline"/>
        <sz val="9"/>
        <color theme="5" tint="-0.499984740745262"/>
        <name val="Arial"/>
        <scheme val="none"/>
      </font>
      <fill>
        <patternFill patternType="solid">
          <fgColor indexed="64"/>
          <bgColor theme="0"/>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style="thin">
          <color theme="5" tint="-0.24994659260841701"/>
        </top>
        <bottom style="thin">
          <color theme="5" tint="-0.24994659260841701"/>
        </bottom>
      </border>
      <protection locked="0" hidden="0"/>
    </dxf>
    <dxf>
      <font>
        <b val="0"/>
        <i val="0"/>
        <strike val="0"/>
        <condense val="0"/>
        <extend val="0"/>
        <outline val="0"/>
        <shadow val="0"/>
        <u val="none"/>
        <vertAlign val="baseline"/>
        <sz val="9"/>
        <color theme="5" tint="-0.499984740745262"/>
        <name val="Arial"/>
        <scheme val="none"/>
      </font>
      <numFmt numFmtId="19" formatCode="dd/mm/yyyy"/>
      <fill>
        <patternFill patternType="solid">
          <fgColor indexed="64"/>
          <bgColor theme="0"/>
        </patternFill>
      </fill>
      <alignment horizontal="left" vertical="top" textRotation="0" wrapText="0" indent="1" justifyLastLine="0" shrinkToFit="0" readingOrder="0"/>
      <border diagonalUp="0" diagonalDown="0" outline="0">
        <left style="thin">
          <color theme="5" tint="-0.24994659260841701"/>
        </left>
        <right style="thin">
          <color theme="5" tint="-0.24994659260841701"/>
        </right>
        <top style="thin">
          <color theme="5" tint="-0.24994659260841701"/>
        </top>
        <bottom style="thin">
          <color theme="5" tint="-0.24994659260841701"/>
        </bottom>
      </border>
      <protection locked="0" hidden="0"/>
    </dxf>
    <dxf>
      <border outline="0">
        <top style="thin">
          <color theme="5" tint="-0.24994659260841701"/>
        </top>
      </border>
    </dxf>
    <dxf>
      <border outline="0">
        <left style="thin">
          <color theme="5" tint="-0.24994659260841701"/>
        </left>
        <right style="thin">
          <color theme="5" tint="-0.24994659260841701"/>
        </right>
        <top style="thin">
          <color theme="5" tint="-0.24994659260841701"/>
        </top>
        <bottom style="thin">
          <color theme="5" tint="-0.24994659260841701"/>
        </bottom>
      </border>
    </dxf>
    <dxf>
      <border outline="0">
        <bottom style="thin">
          <color theme="5" tint="-0.24994659260841701"/>
        </bottom>
      </border>
    </dxf>
    <dxf>
      <font>
        <b/>
        <i val="0"/>
        <strike val="0"/>
        <condense val="0"/>
        <extend val="0"/>
        <outline val="0"/>
        <shadow val="0"/>
        <u val="none"/>
        <vertAlign val="baseline"/>
        <sz val="9"/>
        <color theme="5" tint="-0.499984740745262"/>
        <name val="Arial"/>
        <scheme val="none"/>
      </font>
      <fill>
        <patternFill patternType="solid">
          <fgColor indexed="64"/>
          <bgColor rgb="FF92D050"/>
        </patternFill>
      </fill>
      <alignment horizontal="general" vertical="top" textRotation="0" wrapText="0" indent="0" justifyLastLine="0" shrinkToFit="0" readingOrder="0"/>
    </dxf>
    <dxf>
      <border diagonalUp="0" diagonalDown="0">
        <left style="thin">
          <color theme="5" tint="-0.24994659260841701"/>
        </left>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1" indent="0" justifyLastLine="0" shrinkToFit="0" readingOrder="0"/>
      <border diagonalUp="0" diagonalDown="0">
        <left style="thin">
          <color theme="5" tint="-0.24994659260841701"/>
        </left>
        <right style="thin">
          <color theme="5" tint="-0.24994659260841701"/>
        </right>
        <top style="thin">
          <color theme="5" tint="-0.24994659260841701"/>
        </top>
        <bottom style="thin">
          <color theme="5" tint="-0.24994659260841701"/>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left style="thin">
          <color theme="5" tint="-0.24994659260841701"/>
        </left>
        <right style="thin">
          <color theme="5" tint="-0.24994659260841701"/>
        </right>
        <top style="thin">
          <color theme="5" tint="-0.24994659260841701"/>
        </top>
        <bottom style="thin">
          <color theme="5" tint="-0.24994659260841701"/>
        </bottom>
        <vertical/>
        <horizontal/>
      </border>
    </dxf>
    <dxf>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fill>
        <patternFill patternType="none">
          <fgColor indexed="64"/>
          <bgColor auto="1"/>
        </patternFill>
      </fill>
      <border diagonalUp="0" diagonalDown="0" outline="0">
        <left style="thin">
          <color theme="5" tint="-0.24994659260841701"/>
        </left>
        <right style="thin">
          <color theme="5" tint="-0.24994659260841701"/>
        </right>
        <top style="thin">
          <color theme="5" tint="-0.24994659260841701"/>
        </top>
        <bottom style="thin">
          <color theme="5" tint="-0.24994659260841701"/>
        </bottom>
      </border>
    </dxf>
    <dxf>
      <border diagonalUp="0" diagonalDown="0" outline="0">
        <left/>
        <right style="thin">
          <color theme="5" tint="-0.24994659260841701"/>
        </right>
        <top style="thin">
          <color theme="5" tint="-0.24994659260841701"/>
        </top>
        <bottom style="thin">
          <color theme="5" tint="-0.24994659260841701"/>
        </bottom>
      </border>
    </dxf>
    <dxf>
      <border outline="0">
        <left style="thin">
          <color theme="5" tint="-0.24994659260841701"/>
        </left>
        <right style="thin">
          <color theme="5" tint="-0.24994659260841701"/>
        </right>
        <bottom style="thin">
          <color theme="5" tint="-0.24994659260841701"/>
        </bottom>
      </border>
    </dxf>
    <dxf>
      <border outline="0">
        <bottom style="thin">
          <color theme="5" tint="-0.24994659260841701"/>
        </bottom>
      </border>
    </dxf>
    <dxf>
      <font>
        <b/>
        <i val="0"/>
        <strike val="0"/>
        <condense val="0"/>
        <extend val="0"/>
        <outline val="0"/>
        <shadow val="0"/>
        <u val="none"/>
        <vertAlign val="baseline"/>
        <sz val="9"/>
        <color theme="1"/>
        <name val="Arial"/>
        <scheme val="none"/>
      </font>
      <fill>
        <patternFill patternType="solid">
          <fgColor indexed="64"/>
          <bgColor theme="7" tint="0.79998168889431442"/>
        </patternFill>
      </fill>
      <alignment horizontal="left" vertical="top" textRotation="0" wrapText="0" indent="0" justifyLastLine="0" shrinkToFit="0" readingOrder="0"/>
      <border diagonalUp="0" diagonalDown="0" outline="0">
        <left style="thin">
          <color theme="5" tint="-0.24994659260841701"/>
        </left>
        <right style="thin">
          <color theme="5" tint="-0.24994659260841701"/>
        </right>
        <top/>
        <bottom/>
      </border>
    </dxf>
    <dxf>
      <border>
        <left/>
        <right/>
        <top/>
        <bottom/>
      </border>
    </dxf>
    <dxf>
      <font>
        <color theme="0"/>
      </font>
    </dxf>
    <dxf>
      <fill>
        <patternFill patternType="solid">
          <bgColor theme="0"/>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theme="5" tint="-0.24994659260841701"/>
      </font>
      <fill>
        <patternFill>
          <bgColor theme="5" tint="0.79998168889431442"/>
        </patternFill>
      </fill>
    </dxf>
    <dxf>
      <font>
        <color rgb="FF9C6500"/>
      </font>
      <fill>
        <patternFill>
          <bgColor rgb="FFFFEB9C"/>
        </patternFill>
      </fill>
    </dxf>
    <dxf>
      <font>
        <b val="0"/>
        <i val="0"/>
        <strike val="0"/>
        <condense val="0"/>
        <extend val="0"/>
        <outline val="0"/>
        <shadow val="0"/>
        <u val="none"/>
        <vertAlign val="baseline"/>
        <sz val="11"/>
        <color theme="1"/>
        <name val="Credit Suisse Type Light"/>
        <scheme val="none"/>
      </font>
    </dxf>
    <dxf>
      <font>
        <b val="0"/>
        <i val="0"/>
        <strike val="0"/>
        <condense val="0"/>
        <extend val="0"/>
        <outline val="0"/>
        <shadow val="0"/>
        <u val="none"/>
        <vertAlign val="baseline"/>
        <sz val="11"/>
        <color theme="1"/>
        <name val="Credit Suisse Type Light"/>
        <scheme val="none"/>
      </font>
    </dxf>
    <dxf>
      <font>
        <b val="0"/>
        <i val="0"/>
        <strike val="0"/>
        <condense val="0"/>
        <extend val="0"/>
        <outline val="0"/>
        <shadow val="0"/>
        <u val="none"/>
        <vertAlign val="baseline"/>
        <sz val="11"/>
        <color theme="1"/>
        <name val="Credit Suisse Type Light"/>
        <scheme val="none"/>
      </font>
    </dxf>
    <dxf>
      <font>
        <b val="0"/>
        <i val="0"/>
        <strike val="0"/>
        <condense val="0"/>
        <extend val="0"/>
        <outline val="0"/>
        <shadow val="0"/>
        <u val="none"/>
        <vertAlign val="baseline"/>
        <sz val="11"/>
        <color theme="1"/>
        <name val="Credit Suisse Type Light"/>
        <scheme val="none"/>
      </font>
    </dxf>
  </dxfs>
  <tableStyles count="0" defaultTableStyle="TableStyleMedium2" defaultPivotStyle="PivotStyleLight16"/>
  <colors>
    <mruColors>
      <color rgb="FFFFCC00"/>
      <color rgb="FFFFFFFF"/>
      <color rgb="FFD0EBB3"/>
      <color rgb="FFFF99FF"/>
      <color rgb="FFFFCCF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theme" Target="theme/theme1.xml"/><Relationship Id="rId45"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alcChain" Target="calcChain.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2.xml"/><Relationship Id="rId4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4</xdr:col>
      <xdr:colOff>600075</xdr:colOff>
      <xdr:row>1</xdr:row>
      <xdr:rowOff>9525</xdr:rowOff>
    </xdr:from>
    <xdr:to>
      <xdr:col>8</xdr:col>
      <xdr:colOff>9525</xdr:colOff>
      <xdr:row>2</xdr:row>
      <xdr:rowOff>114300</xdr:rowOff>
    </xdr:to>
    <xdr:sp macro="" textlink="">
      <xdr:nvSpPr>
        <xdr:cNvPr id="49153" name="Button 1" hidden="1">
          <a:extLst>
            <a:ext uri="{63B3BB69-23CF-44E3-9099-C40C66FF867C}">
              <a14:compatExt xmlns:a14="http://schemas.microsoft.com/office/drawing/2010/main" spid="_x0000_s49153"/>
            </a:ext>
            <a:ext uri="{FF2B5EF4-FFF2-40B4-BE49-F238E27FC236}">
              <a16:creationId xmlns:a16="http://schemas.microsoft.com/office/drawing/2014/main" id="{00000000-0008-0000-04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redit Suisse Type Light"/>
            </a:rPr>
            <a:t>Get the Datasets</a:t>
          </a:r>
        </a:p>
      </xdr:txBody>
    </xdr:sp>
    <xdr:clientData fPrintsWithSheet="0"/>
  </xdr:twoCellAnchor>
  <xdr:twoCellAnchor>
    <xdr:from>
      <xdr:col>4</xdr:col>
      <xdr:colOff>590550</xdr:colOff>
      <xdr:row>3</xdr:row>
      <xdr:rowOff>0</xdr:rowOff>
    </xdr:from>
    <xdr:to>
      <xdr:col>8</xdr:col>
      <xdr:colOff>0</xdr:colOff>
      <xdr:row>4</xdr:row>
      <xdr:rowOff>76200</xdr:rowOff>
    </xdr:to>
    <xdr:sp macro="" textlink="">
      <xdr:nvSpPr>
        <xdr:cNvPr id="49154" name="Button 2" hidden="1">
          <a:extLst>
            <a:ext uri="{63B3BB69-23CF-44E3-9099-C40C66FF867C}">
              <a14:compatExt xmlns:a14="http://schemas.microsoft.com/office/drawing/2010/main" spid="_x0000_s49154"/>
            </a:ext>
            <a:ext uri="{FF2B5EF4-FFF2-40B4-BE49-F238E27FC236}">
              <a16:creationId xmlns:a16="http://schemas.microsoft.com/office/drawing/2014/main" id="{00000000-0008-0000-04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redit Suisse Type Light"/>
            </a:rPr>
            <a:t>Set the Datasets</a:t>
          </a:r>
        </a:p>
      </xdr:txBody>
    </xdr:sp>
    <xdr:clientData fPrintsWithSheet="0"/>
  </xdr:twoCellAnchor>
  <xdr:twoCellAnchor>
    <xdr:from>
      <xdr:col>4</xdr:col>
      <xdr:colOff>600075</xdr:colOff>
      <xdr:row>4</xdr:row>
      <xdr:rowOff>180975</xdr:rowOff>
    </xdr:from>
    <xdr:to>
      <xdr:col>8</xdr:col>
      <xdr:colOff>0</xdr:colOff>
      <xdr:row>6</xdr:row>
      <xdr:rowOff>47625</xdr:rowOff>
    </xdr:to>
    <xdr:sp macro="" textlink="">
      <xdr:nvSpPr>
        <xdr:cNvPr id="49156" name="Button 4" hidden="1">
          <a:extLst>
            <a:ext uri="{63B3BB69-23CF-44E3-9099-C40C66FF867C}">
              <a14:compatExt xmlns:a14="http://schemas.microsoft.com/office/drawing/2010/main" spid="_x0000_s49156"/>
            </a:ext>
            <a:ext uri="{FF2B5EF4-FFF2-40B4-BE49-F238E27FC236}">
              <a16:creationId xmlns:a16="http://schemas.microsoft.com/office/drawing/2014/main" id="{00000000-0008-0000-04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redit Suisse Type Light"/>
            </a:rPr>
            <a:t>Fix DataSet-Sheet Names</a:t>
          </a:r>
        </a:p>
      </xdr:txBody>
    </xdr:sp>
    <xdr:clientData fPrintsWithSheet="0"/>
  </xdr:twoCellAnchor>
  <xdr:twoCellAnchor>
    <xdr:from>
      <xdr:col>4</xdr:col>
      <xdr:colOff>600075</xdr:colOff>
      <xdr:row>6</xdr:row>
      <xdr:rowOff>171450</xdr:rowOff>
    </xdr:from>
    <xdr:to>
      <xdr:col>8</xdr:col>
      <xdr:colOff>9525</xdr:colOff>
      <xdr:row>8</xdr:row>
      <xdr:rowOff>133350</xdr:rowOff>
    </xdr:to>
    <xdr:sp macro="" textlink="">
      <xdr:nvSpPr>
        <xdr:cNvPr id="49157" name="Button 5" hidden="1">
          <a:extLst>
            <a:ext uri="{63B3BB69-23CF-44E3-9099-C40C66FF867C}">
              <a14:compatExt xmlns:a14="http://schemas.microsoft.com/office/drawing/2010/main" spid="_x0000_s49157"/>
            </a:ext>
            <a:ext uri="{FF2B5EF4-FFF2-40B4-BE49-F238E27FC236}">
              <a16:creationId xmlns:a16="http://schemas.microsoft.com/office/drawing/2014/main" id="{00000000-0008-0000-0400-000005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redit Suisse Type Light"/>
            </a:rPr>
            <a:t>Create a new dataset</a:t>
          </a:r>
        </a:p>
      </xdr:txBody>
    </xdr:sp>
    <xdr:clientData fPrintsWithSheet="0"/>
  </xdr:twoCellAnchor>
  <xdr:twoCellAnchor>
    <xdr:from>
      <xdr:col>4</xdr:col>
      <xdr:colOff>609600</xdr:colOff>
      <xdr:row>16</xdr:row>
      <xdr:rowOff>19050</xdr:rowOff>
    </xdr:from>
    <xdr:to>
      <xdr:col>8</xdr:col>
      <xdr:colOff>9525</xdr:colOff>
      <xdr:row>17</xdr:row>
      <xdr:rowOff>171450</xdr:rowOff>
    </xdr:to>
    <xdr:sp macro="" textlink="">
      <xdr:nvSpPr>
        <xdr:cNvPr id="49158" name="Button 6" hidden="1">
          <a:extLst>
            <a:ext uri="{63B3BB69-23CF-44E3-9099-C40C66FF867C}">
              <a14:compatExt xmlns:a14="http://schemas.microsoft.com/office/drawing/2010/main" spid="_x0000_s49158"/>
            </a:ext>
            <a:ext uri="{FF2B5EF4-FFF2-40B4-BE49-F238E27FC236}">
              <a16:creationId xmlns:a16="http://schemas.microsoft.com/office/drawing/2014/main" id="{00000000-0008-0000-0400-000006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redit Suisse Type Light"/>
            </a:rPr>
            <a:t>Create OLA</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2</xdr:col>
      <xdr:colOff>390525</xdr:colOff>
      <xdr:row>1</xdr:row>
      <xdr:rowOff>28575</xdr:rowOff>
    </xdr:from>
    <xdr:to>
      <xdr:col>4</xdr:col>
      <xdr:colOff>523875</xdr:colOff>
      <xdr:row>3</xdr:row>
      <xdr:rowOff>0</xdr:rowOff>
    </xdr:to>
    <xdr:sp macro="" textlink="">
      <xdr:nvSpPr>
        <xdr:cNvPr id="62465" name="Button 1" hidden="1">
          <a:extLst>
            <a:ext uri="{63B3BB69-23CF-44E3-9099-C40C66FF867C}">
              <a14:compatExt xmlns:a14="http://schemas.microsoft.com/office/drawing/2010/main" spid="_x0000_s62465"/>
            </a:ext>
            <a:ext uri="{FF2B5EF4-FFF2-40B4-BE49-F238E27FC236}">
              <a16:creationId xmlns:a16="http://schemas.microsoft.com/office/drawing/2014/main" id="{00000000-0008-0000-0500-000001F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Arial Black"/>
            </a:rPr>
            <a:t>Start validation</a:t>
          </a:r>
        </a:p>
      </xdr:txBody>
    </xdr:sp>
    <xdr:clientData fPrintsWithSheet="0"/>
  </xdr:twoCellAnchor>
  <xdr:twoCellAnchor>
    <xdr:from>
      <xdr:col>2</xdr:col>
      <xdr:colOff>390525</xdr:colOff>
      <xdr:row>4</xdr:row>
      <xdr:rowOff>0</xdr:rowOff>
    </xdr:from>
    <xdr:to>
      <xdr:col>6</xdr:col>
      <xdr:colOff>485775</xdr:colOff>
      <xdr:row>10</xdr:row>
      <xdr:rowOff>142875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1609725" y="647700"/>
          <a:ext cx="2533650" cy="11144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solidFill>
                <a:schemeClr val="tx1"/>
              </a:solidFill>
            </a:rPr>
            <a:t>Disclaimer</a:t>
          </a:r>
        </a:p>
        <a:p>
          <a:pPr algn="l"/>
          <a:r>
            <a:rPr lang="en-GB" sz="1100" b="0">
              <a:solidFill>
                <a:schemeClr val="tx1"/>
              </a:solidFill>
            </a:rPr>
            <a:t>The validation summary on this worksheets focuses only</a:t>
          </a:r>
          <a:r>
            <a:rPr lang="en-GB" sz="1100" b="0" baseline="0">
              <a:solidFill>
                <a:schemeClr val="tx1"/>
              </a:solidFill>
            </a:rPr>
            <a:t> on the first row of the datasets. Therefore, the check has to be performed through all the fields/rows in the dataset sheet(s).</a:t>
          </a:r>
          <a:endParaRPr lang="en-GB" sz="1100" b="0">
            <a:solidFill>
              <a:schemeClr val="tx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ad.hedani.net\home_ch$\F785584\Documents\Template_source_master_20210223JN_tes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h.ad.hedani.net\home_ch$\F202241\Desktop\ch.ad.hedani.net\home_ch$\Users\A135761\AppData\Local\Microsoft\Windows\Temporary%20Internet%20Files\Content.Outlook\KSAZQQ8U\Sample_source_v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CI Tasks"/>
      <sheetName val="EDOAlgo"/>
      <sheetName val="SettingsMtx"/>
      <sheetName val="Lookups2"/>
      <sheetName val="AllDatasets"/>
      <sheetName val="Tempset"/>
      <sheetName val="0.Audit"/>
      <sheetName val="1.Data Source"/>
      <sheetName val="2.Approvals"/>
      <sheetName val="3.Contacts"/>
      <sheetName val="4.Interface"/>
      <sheetName val="5.Technical"/>
      <sheetName val="Dataset 1 "/>
      <sheetName val="Dataset 2 qqqqqqqqqqqqqqqqqqqq"/>
      <sheetName val="Dataset 3 aaaaaaaaa"/>
      <sheetName val="Dataset 4 testttttt"/>
    </sheetNames>
    <sheetDataSet>
      <sheetData sheetId="0"/>
      <sheetData sheetId="1"/>
      <sheetData sheetId="2"/>
      <sheetData sheetId="3">
        <row r="3">
          <cell r="C3" t="str">
            <v>YES</v>
          </cell>
          <cell r="G3" t="str">
            <v>Daily</v>
          </cell>
          <cell r="AY3">
            <v>1</v>
          </cell>
          <cell r="AZ3" t="str">
            <v>ABRParameters</v>
          </cell>
        </row>
        <row r="4">
          <cell r="C4" t="str">
            <v>NO</v>
          </cell>
          <cell r="G4" t="str">
            <v>Weekly</v>
          </cell>
          <cell r="AY4">
            <v>2</v>
          </cell>
          <cell r="AZ4" t="str">
            <v>accountBalanceAmount</v>
          </cell>
        </row>
        <row r="5">
          <cell r="G5" t="str">
            <v>Monthly</v>
          </cell>
          <cell r="AY5">
            <v>3</v>
          </cell>
          <cell r="AZ5" t="str">
            <v>accountCurrency</v>
          </cell>
        </row>
        <row r="6">
          <cell r="G6" t="str">
            <v>Quarterly</v>
          </cell>
          <cell r="AY6">
            <v>4</v>
          </cell>
          <cell r="AZ6" t="str">
            <v>accountingMethod</v>
          </cell>
        </row>
        <row r="7">
          <cell r="G7" t="str">
            <v>Annually</v>
          </cell>
          <cell r="AY7">
            <v>5</v>
          </cell>
          <cell r="AZ7" t="str">
            <v>accountTypeCode</v>
          </cell>
        </row>
        <row r="8">
          <cell r="G8" t="str">
            <v>Real-time</v>
          </cell>
          <cell r="AY8">
            <v>6</v>
          </cell>
          <cell r="AZ8" t="str">
            <v>accrualAmount</v>
          </cell>
        </row>
        <row r="9">
          <cell r="AY9">
            <v>7</v>
          </cell>
          <cell r="AZ9" t="str">
            <v>accrualAmountCurrency</v>
          </cell>
        </row>
        <row r="10">
          <cell r="AY10">
            <v>8</v>
          </cell>
          <cell r="AZ10" t="str">
            <v>accrualDayCountCode</v>
          </cell>
        </row>
        <row r="11">
          <cell r="AY11">
            <v>9</v>
          </cell>
          <cell r="AZ11" t="str">
            <v>accruedPremium</v>
          </cell>
        </row>
        <row r="12">
          <cell r="AY12">
            <v>10</v>
          </cell>
          <cell r="AZ12" t="str">
            <v>ACMparameters</v>
          </cell>
        </row>
        <row r="13">
          <cell r="G13" t="str">
            <v>CH</v>
          </cell>
          <cell r="AY13">
            <v>11</v>
          </cell>
          <cell r="AZ13" t="str">
            <v>ACPValue</v>
          </cell>
        </row>
        <row r="14">
          <cell r="G14" t="str">
            <v>UK</v>
          </cell>
          <cell r="AY14">
            <v>12</v>
          </cell>
          <cell r="AZ14" t="str">
            <v>activesLeavingPercent</v>
          </cell>
        </row>
        <row r="15">
          <cell r="C15" t="str">
            <v>Requested</v>
          </cell>
          <cell r="G15" t="str">
            <v>USA</v>
          </cell>
          <cell r="AY15">
            <v>13</v>
          </cell>
          <cell r="AZ15" t="str">
            <v>ACVARWAValue</v>
          </cell>
        </row>
        <row r="16">
          <cell r="C16" t="str">
            <v>In Progress</v>
          </cell>
          <cell r="G16" t="str">
            <v>SGP</v>
          </cell>
          <cell r="AY16">
            <v>14</v>
          </cell>
          <cell r="AZ16" t="str">
            <v>ADACPosResAcc</v>
          </cell>
        </row>
        <row r="17">
          <cell r="C17" t="str">
            <v>Approved</v>
          </cell>
          <cell r="G17" t="str">
            <v>HKG</v>
          </cell>
          <cell r="AY17">
            <v>15</v>
          </cell>
          <cell r="AZ17" t="str">
            <v>ADACPosResInt</v>
          </cell>
        </row>
        <row r="18">
          <cell r="G18" t="str">
            <v>SPAIN</v>
          </cell>
          <cell r="AY18">
            <v>16</v>
          </cell>
          <cell r="AZ18" t="str">
            <v>ADACPosServFee</v>
          </cell>
        </row>
        <row r="19">
          <cell r="G19" t="str">
            <v>INDIA</v>
          </cell>
          <cell r="AY19">
            <v>17</v>
          </cell>
          <cell r="AZ19" t="str">
            <v>ADACPosSsh</v>
          </cell>
        </row>
        <row r="20">
          <cell r="G20" t="str">
            <v>MEXICO</v>
          </cell>
          <cell r="AY20">
            <v>18</v>
          </cell>
          <cell r="AZ20" t="str">
            <v>additionalFundingRatio</v>
          </cell>
        </row>
        <row r="21">
          <cell r="G21" t="str">
            <v>BAHAMAS</v>
          </cell>
          <cell r="AY21">
            <v>19</v>
          </cell>
          <cell r="AZ21" t="str">
            <v>adjustedExpiryDate</v>
          </cell>
        </row>
        <row r="22">
          <cell r="AY22">
            <v>20</v>
          </cell>
          <cell r="AZ22" t="str">
            <v>adjustedNotional</v>
          </cell>
        </row>
        <row r="23">
          <cell r="AY23">
            <v>21</v>
          </cell>
          <cell r="AZ23" t="str">
            <v>affiliateCode</v>
          </cell>
        </row>
        <row r="24">
          <cell r="AY24">
            <v>22</v>
          </cell>
          <cell r="AZ24" t="str">
            <v>affiliateDealerFlag</v>
          </cell>
        </row>
        <row r="25">
          <cell r="AY25">
            <v>23</v>
          </cell>
          <cell r="AZ25" t="str">
            <v>agencyCMBSERCValue</v>
          </cell>
        </row>
        <row r="26">
          <cell r="G26" t="str">
            <v>Responsible</v>
          </cell>
          <cell r="AY26">
            <v>24</v>
          </cell>
          <cell r="AZ26" t="str">
            <v>agencyRMBSERCValue</v>
          </cell>
        </row>
        <row r="27">
          <cell r="G27" t="str">
            <v>Accountable</v>
          </cell>
          <cell r="AY27">
            <v>25</v>
          </cell>
          <cell r="AZ27" t="str">
            <v>agreedMarginAmount</v>
          </cell>
        </row>
        <row r="28">
          <cell r="G28" t="str">
            <v>Consulted</v>
          </cell>
          <cell r="AY28">
            <v>26</v>
          </cell>
          <cell r="AZ28" t="str">
            <v>agreementLifecycleStatus</v>
          </cell>
        </row>
        <row r="29">
          <cell r="G29" t="str">
            <v>Informed</v>
          </cell>
          <cell r="AY29">
            <v>27</v>
          </cell>
          <cell r="AZ29" t="str">
            <v>AIRBRiskWeightValue</v>
          </cell>
        </row>
        <row r="30">
          <cell r="AY30">
            <v>28</v>
          </cell>
          <cell r="AZ30" t="str">
            <v>allocatedCoverValue</v>
          </cell>
        </row>
        <row r="31">
          <cell r="AY31">
            <v>29</v>
          </cell>
          <cell r="AZ31" t="str">
            <v>allocatedQuotaValue</v>
          </cell>
        </row>
        <row r="32">
          <cell r="AY32">
            <v>30</v>
          </cell>
          <cell r="AZ32" t="str">
            <v>allowedProductsUnderLimit</v>
          </cell>
        </row>
        <row r="33">
          <cell r="AY33">
            <v>31</v>
          </cell>
          <cell r="AZ33" t="str">
            <v>alpha</v>
          </cell>
        </row>
        <row r="34">
          <cell r="AY34">
            <v>32</v>
          </cell>
          <cell r="AZ34" t="str">
            <v>amortizationAmount</v>
          </cell>
        </row>
        <row r="35">
          <cell r="AY35">
            <v>33</v>
          </cell>
          <cell r="AZ35" t="str">
            <v>amortizationSchedule</v>
          </cell>
        </row>
        <row r="36">
          <cell r="AY36">
            <v>34</v>
          </cell>
          <cell r="AZ36" t="str">
            <v>amortizedNotional</v>
          </cell>
        </row>
        <row r="37">
          <cell r="AY37">
            <v>35</v>
          </cell>
          <cell r="AZ37" t="str">
            <v>amountOutstanding</v>
          </cell>
        </row>
        <row r="38">
          <cell r="AY38">
            <v>36</v>
          </cell>
          <cell r="AZ38" t="str">
            <v>amtAddRiskRprtngCcy</v>
          </cell>
        </row>
        <row r="39">
          <cell r="AY39">
            <v>37</v>
          </cell>
          <cell r="AZ39" t="str">
            <v>analyticDelta</v>
          </cell>
        </row>
        <row r="40">
          <cell r="AY40">
            <v>38</v>
          </cell>
          <cell r="AZ40" t="str">
            <v>annualizationFactor</v>
          </cell>
        </row>
        <row r="41">
          <cell r="AY41">
            <v>39</v>
          </cell>
          <cell r="AZ41" t="str">
            <v>APACClientIndustryCode</v>
          </cell>
        </row>
        <row r="42">
          <cell r="AY42">
            <v>40</v>
          </cell>
          <cell r="AZ42" t="str">
            <v>appliedFundRiskWeight</v>
          </cell>
        </row>
        <row r="43">
          <cell r="AY43">
            <v>41</v>
          </cell>
          <cell r="AZ43" t="str">
            <v>appliedModelName</v>
          </cell>
        </row>
        <row r="44">
          <cell r="AY44">
            <v>42</v>
          </cell>
          <cell r="AZ44" t="str">
            <v>assetBackedSecuritiesERCValue</v>
          </cell>
        </row>
        <row r="45">
          <cell r="AY45">
            <v>43</v>
          </cell>
          <cell r="AZ45" t="str">
            <v>assetClass</v>
          </cell>
        </row>
        <row r="46">
          <cell r="AY46">
            <v>44</v>
          </cell>
          <cell r="AZ46" t="str">
            <v>assetCurrency</v>
          </cell>
        </row>
        <row r="47">
          <cell r="AY47">
            <v>45</v>
          </cell>
          <cell r="AZ47" t="str">
            <v>assetLiabilityFlag</v>
          </cell>
        </row>
        <row r="48">
          <cell r="AY48">
            <v>46</v>
          </cell>
          <cell r="AZ48" t="str">
            <v>ATECost</v>
          </cell>
        </row>
        <row r="49">
          <cell r="AY49">
            <v>47</v>
          </cell>
          <cell r="AZ49" t="str">
            <v>attachmentPoint</v>
          </cell>
        </row>
        <row r="50">
          <cell r="AY50">
            <v>48</v>
          </cell>
          <cell r="AZ50" t="str">
            <v>AUMCode</v>
          </cell>
        </row>
        <row r="51">
          <cell r="AY51">
            <v>49</v>
          </cell>
          <cell r="AZ51" t="str">
            <v>availableEconomicCapitalValue</v>
          </cell>
        </row>
        <row r="52">
          <cell r="AY52">
            <v>50</v>
          </cell>
          <cell r="AZ52" t="str">
            <v>availableStableFundingCategory</v>
          </cell>
        </row>
        <row r="53">
          <cell r="AY53">
            <v>51</v>
          </cell>
          <cell r="AZ53" t="str">
            <v>averageDailyTradedVolume</v>
          </cell>
        </row>
        <row r="54">
          <cell r="AY54">
            <v>52</v>
          </cell>
          <cell r="AZ54" t="str">
            <v>averageDailyTradedVolumeRatio</v>
          </cell>
        </row>
        <row r="55">
          <cell r="AY55">
            <v>53</v>
          </cell>
          <cell r="AZ55" t="str">
            <v>balanceAmountType</v>
          </cell>
        </row>
        <row r="56">
          <cell r="AY56">
            <v>54</v>
          </cell>
          <cell r="AZ56" t="str">
            <v>balanceBasisTypeCode</v>
          </cell>
        </row>
        <row r="57">
          <cell r="AY57">
            <v>55</v>
          </cell>
          <cell r="AZ57" t="str">
            <v>balanceSheetCoverageBufferValue</v>
          </cell>
        </row>
        <row r="58">
          <cell r="AY58">
            <v>56</v>
          </cell>
          <cell r="AZ58" t="str">
            <v>bankruptcy</v>
          </cell>
        </row>
        <row r="59">
          <cell r="AY59">
            <v>57</v>
          </cell>
          <cell r="AZ59" t="str">
            <v>bankruptcyRemoteFlag</v>
          </cell>
        </row>
        <row r="60">
          <cell r="AY60">
            <v>58</v>
          </cell>
          <cell r="AZ60" t="str">
            <v>barrierCode</v>
          </cell>
        </row>
        <row r="61">
          <cell r="AY61">
            <v>59</v>
          </cell>
          <cell r="AZ61" t="str">
            <v>baseCurrency</v>
          </cell>
        </row>
        <row r="62">
          <cell r="AY62">
            <v>60</v>
          </cell>
          <cell r="AZ62" t="str">
            <v>basel2TierInfo</v>
          </cell>
        </row>
        <row r="63">
          <cell r="AY63">
            <v>61</v>
          </cell>
          <cell r="AZ63" t="str">
            <v>basel3TierInfo</v>
          </cell>
        </row>
        <row r="64">
          <cell r="AY64">
            <v>62</v>
          </cell>
          <cell r="AZ64" t="str">
            <v>baselCategory</v>
          </cell>
        </row>
        <row r="65">
          <cell r="AY65">
            <v>63</v>
          </cell>
          <cell r="AZ65" t="str">
            <v>baselineCapitalPlan</v>
          </cell>
        </row>
        <row r="66">
          <cell r="AY66">
            <v>64</v>
          </cell>
          <cell r="AZ66" t="str">
            <v>baselineScenarioCost</v>
          </cell>
        </row>
        <row r="67">
          <cell r="AY67">
            <v>65</v>
          </cell>
          <cell r="AZ67" t="str">
            <v>baseRateType</v>
          </cell>
        </row>
        <row r="68">
          <cell r="AY68">
            <v>66</v>
          </cell>
          <cell r="AZ68" t="str">
            <v>baseScenarioEmergingInactives</v>
          </cell>
        </row>
        <row r="69">
          <cell r="AY69">
            <v>67</v>
          </cell>
          <cell r="AZ69" t="str">
            <v>baseScenarioInactives</v>
          </cell>
        </row>
        <row r="70">
          <cell r="AY70">
            <v>68</v>
          </cell>
          <cell r="AZ70" t="str">
            <v>basisSwap</v>
          </cell>
        </row>
        <row r="71">
          <cell r="AY71">
            <v>69</v>
          </cell>
          <cell r="AZ71" t="str">
            <v>basisTrade</v>
          </cell>
        </row>
        <row r="72">
          <cell r="AY72">
            <v>70</v>
          </cell>
          <cell r="AZ72" t="str">
            <v>BasisTradeTransactionFlag</v>
          </cell>
        </row>
        <row r="73">
          <cell r="AY73">
            <v>71</v>
          </cell>
          <cell r="AZ73" t="str">
            <v>basketInsuranceBenefit</v>
          </cell>
        </row>
        <row r="74">
          <cell r="AY74">
            <v>72</v>
          </cell>
          <cell r="AZ74" t="str">
            <v>benchmarkTicker</v>
          </cell>
        </row>
        <row r="75">
          <cell r="AY75">
            <v>73</v>
          </cell>
          <cell r="AZ75" t="str">
            <v>beta</v>
          </cell>
        </row>
        <row r="76">
          <cell r="AY76">
            <v>74</v>
          </cell>
          <cell r="AZ76" t="str">
            <v>BFIFlag</v>
          </cell>
        </row>
        <row r="77">
          <cell r="AY77">
            <v>75</v>
          </cell>
          <cell r="AZ77" t="str">
            <v>BFIHoldingFlag</v>
          </cell>
        </row>
        <row r="78">
          <cell r="AY78">
            <v>76</v>
          </cell>
          <cell r="AZ78" t="str">
            <v>BFIHoldingInFunds</v>
          </cell>
        </row>
        <row r="79">
          <cell r="AY79">
            <v>77</v>
          </cell>
          <cell r="AZ79" t="str">
            <v>BFIValue</v>
          </cell>
        </row>
        <row r="80">
          <cell r="AY80">
            <v>78</v>
          </cell>
          <cell r="AZ80" t="str">
            <v>BFIValueCurrency</v>
          </cell>
        </row>
        <row r="81">
          <cell r="AY81">
            <v>79</v>
          </cell>
          <cell r="AZ81" t="str">
            <v>BOCollectionId</v>
          </cell>
        </row>
        <row r="82">
          <cell r="AY82">
            <v>80</v>
          </cell>
          <cell r="AZ82" t="str">
            <v>bondType</v>
          </cell>
        </row>
        <row r="83">
          <cell r="AY83">
            <v>81</v>
          </cell>
          <cell r="AZ83" t="str">
            <v>bookCategoryCode</v>
          </cell>
        </row>
        <row r="84">
          <cell r="AY84">
            <v>82</v>
          </cell>
          <cell r="AZ84" t="str">
            <v>bookCoveredPositionFlag</v>
          </cell>
        </row>
        <row r="85">
          <cell r="AY85">
            <v>83</v>
          </cell>
          <cell r="AZ85" t="str">
            <v>bookingEntityGroupId</v>
          </cell>
        </row>
        <row r="86">
          <cell r="AY86">
            <v>84</v>
          </cell>
          <cell r="AZ86" t="str">
            <v>bookingEntityId</v>
          </cell>
        </row>
        <row r="87">
          <cell r="AY87">
            <v>85</v>
          </cell>
          <cell r="AZ87" t="str">
            <v>branchCode</v>
          </cell>
        </row>
        <row r="88">
          <cell r="AY88">
            <v>86</v>
          </cell>
          <cell r="AZ88" t="str">
            <v>bumpSize</v>
          </cell>
        </row>
        <row r="89">
          <cell r="AY89">
            <v>87</v>
          </cell>
          <cell r="AZ89" t="str">
            <v>bumpType</v>
          </cell>
        </row>
        <row r="90">
          <cell r="AY90">
            <v>88</v>
          </cell>
          <cell r="AZ90" t="str">
            <v>businessDayConvention</v>
          </cell>
        </row>
        <row r="91">
          <cell r="AY91">
            <v>89</v>
          </cell>
          <cell r="AZ91" t="str">
            <v>businessUnitCode</v>
          </cell>
        </row>
        <row r="92">
          <cell r="AY92">
            <v>90</v>
          </cell>
          <cell r="AZ92" t="str">
            <v>businessUnitGroupId</v>
          </cell>
        </row>
        <row r="93">
          <cell r="AY93">
            <v>91</v>
          </cell>
          <cell r="AZ93" t="str">
            <v>buySellIndicator</v>
          </cell>
        </row>
        <row r="94">
          <cell r="AY94">
            <v>92</v>
          </cell>
          <cell r="AZ94" t="str">
            <v>calculatedAvailableStableFundingValue</v>
          </cell>
        </row>
        <row r="95">
          <cell r="AY95">
            <v>93</v>
          </cell>
          <cell r="AZ95" t="str">
            <v>calculatedRequiredStableFundingValue</v>
          </cell>
        </row>
        <row r="96">
          <cell r="AY96">
            <v>94</v>
          </cell>
          <cell r="AZ96" t="str">
            <v>callableFlag</v>
          </cell>
        </row>
        <row r="97">
          <cell r="AY97">
            <v>95</v>
          </cell>
          <cell r="AZ97" t="str">
            <v>callFrequency</v>
          </cell>
        </row>
        <row r="98">
          <cell r="AY98">
            <v>96</v>
          </cell>
          <cell r="AZ98" t="str">
            <v>callPutIndicator</v>
          </cell>
        </row>
        <row r="99">
          <cell r="AY99">
            <v>97</v>
          </cell>
          <cell r="AZ99" t="str">
            <v>capFloorIndicator</v>
          </cell>
        </row>
        <row r="100">
          <cell r="AY100">
            <v>98</v>
          </cell>
          <cell r="AZ100" t="str">
            <v>capitalBase</v>
          </cell>
        </row>
        <row r="101">
          <cell r="AY101">
            <v>99</v>
          </cell>
          <cell r="AZ101" t="str">
            <v>capitalChargeWeight</v>
          </cell>
        </row>
        <row r="102">
          <cell r="AY102">
            <v>100</v>
          </cell>
          <cell r="AZ102" t="str">
            <v>capitalHorizon</v>
          </cell>
        </row>
        <row r="103">
          <cell r="AY103">
            <v>101</v>
          </cell>
          <cell r="AZ103" t="str">
            <v>capitalRelevantFlag</v>
          </cell>
        </row>
        <row r="104">
          <cell r="AY104">
            <v>102</v>
          </cell>
          <cell r="AZ104" t="str">
            <v>capitalReserves</v>
          </cell>
        </row>
        <row r="105">
          <cell r="AY105">
            <v>103</v>
          </cell>
          <cell r="AZ105" t="str">
            <v>capitalTier</v>
          </cell>
        </row>
        <row r="106">
          <cell r="AY106">
            <v>104</v>
          </cell>
          <cell r="AZ106" t="str">
            <v>capitalTreatmentIndicator</v>
          </cell>
        </row>
        <row r="107">
          <cell r="AY107">
            <v>105</v>
          </cell>
          <cell r="AZ107" t="str">
            <v>cashAccountId</v>
          </cell>
        </row>
        <row r="108">
          <cell r="AY108">
            <v>106</v>
          </cell>
          <cell r="AZ108" t="str">
            <v>cashBalanceInAccountCCY</v>
          </cell>
        </row>
        <row r="109">
          <cell r="AY109">
            <v>107</v>
          </cell>
          <cell r="AZ109" t="str">
            <v>cashBalanceInFunctionalCCY</v>
          </cell>
        </row>
        <row r="110">
          <cell r="AY110">
            <v>108</v>
          </cell>
          <cell r="AZ110" t="str">
            <v>cashDeposit</v>
          </cell>
        </row>
        <row r="111">
          <cell r="AY111">
            <v>109</v>
          </cell>
          <cell r="AZ111" t="str">
            <v>cashDerivativesFlag</v>
          </cell>
        </row>
        <row r="112">
          <cell r="AY112">
            <v>110</v>
          </cell>
          <cell r="AZ112" t="str">
            <v>cashExposureEquivalencyFactorValue</v>
          </cell>
        </row>
        <row r="113">
          <cell r="AY113">
            <v>111</v>
          </cell>
          <cell r="AZ113" t="str">
            <v>cashflowAmount</v>
          </cell>
        </row>
        <row r="114">
          <cell r="AY114">
            <v>112</v>
          </cell>
          <cell r="AZ114" t="str">
            <v>cashflowType</v>
          </cell>
        </row>
        <row r="115">
          <cell r="AY115">
            <v>113</v>
          </cell>
          <cell r="AZ115" t="str">
            <v>cashflowValueDate</v>
          </cell>
        </row>
        <row r="116">
          <cell r="AY116">
            <v>114</v>
          </cell>
          <cell r="AZ116" t="str">
            <v>cashOrGoldBullion</v>
          </cell>
        </row>
        <row r="117">
          <cell r="AY117">
            <v>115</v>
          </cell>
          <cell r="AZ117" t="str">
            <v>cashSecurityFlag</v>
          </cell>
        </row>
        <row r="118">
          <cell r="AY118">
            <v>116</v>
          </cell>
          <cell r="AZ118" t="str">
            <v>categoryType</v>
          </cell>
        </row>
        <row r="119">
          <cell r="AY119">
            <v>117</v>
          </cell>
          <cell r="AZ119" t="str">
            <v>CCFAppliedPC</v>
          </cell>
        </row>
        <row r="120">
          <cell r="AY120">
            <v>118</v>
          </cell>
          <cell r="AZ120" t="str">
            <v>CCFSegment</v>
          </cell>
        </row>
        <row r="121">
          <cell r="AY121">
            <v>119</v>
          </cell>
          <cell r="AZ121" t="str">
            <v>CCPLegType</v>
          </cell>
        </row>
        <row r="122">
          <cell r="AY122">
            <v>120</v>
          </cell>
          <cell r="AZ122" t="str">
            <v>CCYBPercentage</v>
          </cell>
        </row>
        <row r="123">
          <cell r="AY123">
            <v>121</v>
          </cell>
          <cell r="AZ123" t="str">
            <v>CcyOfParticipantCountryOfIncorporation</v>
          </cell>
        </row>
        <row r="124">
          <cell r="AY124">
            <v>122</v>
          </cell>
          <cell r="AZ124" t="str">
            <v>CDSCltrlAmtCHF</v>
          </cell>
        </row>
        <row r="125">
          <cell r="AY125">
            <v>123</v>
          </cell>
          <cell r="AZ125" t="str">
            <v>CDSIndicator</v>
          </cell>
        </row>
        <row r="126">
          <cell r="AY126">
            <v>124</v>
          </cell>
          <cell r="AZ126" t="str">
            <v>CDSMtmAmtCHF</v>
          </cell>
        </row>
        <row r="127">
          <cell r="AY127">
            <v>125</v>
          </cell>
          <cell r="AZ127" t="str">
            <v>CDSNtnlAmtCHF</v>
          </cell>
        </row>
        <row r="128">
          <cell r="AY128">
            <v>126</v>
          </cell>
          <cell r="AZ128" t="str">
            <v>CDSOrigExposureID</v>
          </cell>
        </row>
        <row r="129">
          <cell r="AY129">
            <v>127</v>
          </cell>
          <cell r="AZ129" t="str">
            <v>CDSpremium</v>
          </cell>
        </row>
        <row r="130">
          <cell r="AY130">
            <v>128</v>
          </cell>
          <cell r="AZ130" t="str">
            <v>CDSSpreadStandardDeviation</v>
          </cell>
        </row>
        <row r="131">
          <cell r="AY131">
            <v>129</v>
          </cell>
          <cell r="AZ131" t="str">
            <v>CECLimpactBeyondLPALosses</v>
          </cell>
        </row>
        <row r="132">
          <cell r="AY132">
            <v>130</v>
          </cell>
          <cell r="AZ132" t="str">
            <v>centralCounterpartyType</v>
          </cell>
        </row>
        <row r="133">
          <cell r="AY133">
            <v>131</v>
          </cell>
          <cell r="AZ133" t="str">
            <v>CESmethod</v>
          </cell>
        </row>
        <row r="134">
          <cell r="AY134">
            <v>132</v>
          </cell>
          <cell r="AZ134" t="str">
            <v>CFactor</v>
          </cell>
        </row>
        <row r="135">
          <cell r="AY135">
            <v>133</v>
          </cell>
          <cell r="AZ135" t="str">
            <v>childFundId</v>
          </cell>
        </row>
        <row r="136">
          <cell r="AY136">
            <v>134</v>
          </cell>
          <cell r="AZ136" t="str">
            <v>cleanedTotalExpenses</v>
          </cell>
        </row>
        <row r="137">
          <cell r="AY137">
            <v>135</v>
          </cell>
          <cell r="AZ137" t="str">
            <v>clearingHouse</v>
          </cell>
        </row>
        <row r="138">
          <cell r="AY138">
            <v>136</v>
          </cell>
          <cell r="AZ138" t="str">
            <v>clientCurrentAssets</v>
          </cell>
        </row>
        <row r="139">
          <cell r="AY139">
            <v>137</v>
          </cell>
          <cell r="AZ139" t="str">
            <v>clientRelationshipCode</v>
          </cell>
        </row>
        <row r="140">
          <cell r="AY140">
            <v>138</v>
          </cell>
          <cell r="AZ140" t="str">
            <v>clientRevenueHaircut</v>
          </cell>
        </row>
        <row r="141">
          <cell r="AY141">
            <v>139</v>
          </cell>
          <cell r="AZ141" t="str">
            <v>clientSalesRevenuePercentage</v>
          </cell>
        </row>
        <row r="142">
          <cell r="AY142">
            <v>140</v>
          </cell>
          <cell r="AZ142" t="str">
            <v>clientType</v>
          </cell>
        </row>
        <row r="143">
          <cell r="AY143">
            <v>141</v>
          </cell>
          <cell r="AZ143" t="str">
            <v>clientTypeCode</v>
          </cell>
        </row>
        <row r="144">
          <cell r="AY144">
            <v>142</v>
          </cell>
          <cell r="AZ144" t="str">
            <v>clientUltimateParentId</v>
          </cell>
        </row>
        <row r="145">
          <cell r="AY145">
            <v>143</v>
          </cell>
          <cell r="AZ145" t="str">
            <v>CLOWarehouseERCValue</v>
          </cell>
        </row>
        <row r="146">
          <cell r="AY146">
            <v>144</v>
          </cell>
          <cell r="AZ146" t="str">
            <v>CMDFCValue</v>
          </cell>
        </row>
        <row r="147">
          <cell r="AY147">
            <v>145</v>
          </cell>
          <cell r="AZ147" t="str">
            <v>CNCOMCharge</v>
          </cell>
        </row>
        <row r="148">
          <cell r="AY148">
            <v>146</v>
          </cell>
          <cell r="AZ148" t="str">
            <v>COBDate</v>
          </cell>
        </row>
        <row r="149">
          <cell r="AY149">
            <v>147</v>
          </cell>
          <cell r="AZ149" t="str">
            <v>collateralAgreementId</v>
          </cell>
        </row>
        <row r="150">
          <cell r="AY150">
            <v>148</v>
          </cell>
          <cell r="AZ150" t="str">
            <v>collateralAnnexLLK</v>
          </cell>
        </row>
        <row r="151">
          <cell r="AY151">
            <v>149</v>
          </cell>
          <cell r="AZ151" t="str">
            <v>collateralCarrierLimitValue</v>
          </cell>
        </row>
        <row r="152">
          <cell r="AY152">
            <v>150</v>
          </cell>
          <cell r="AZ152" t="str">
            <v>collateralCouponAmount</v>
          </cell>
        </row>
        <row r="153">
          <cell r="AY153">
            <v>151</v>
          </cell>
          <cell r="AZ153" t="str">
            <v>collateralCurrency</v>
          </cell>
        </row>
        <row r="154">
          <cell r="AY154">
            <v>152</v>
          </cell>
          <cell r="AZ154" t="str">
            <v>collateralDate</v>
          </cell>
        </row>
        <row r="155">
          <cell r="AY155">
            <v>153</v>
          </cell>
          <cell r="AZ155" t="str">
            <v>collateralEligibilityFlag</v>
          </cell>
        </row>
        <row r="156">
          <cell r="AY156">
            <v>154</v>
          </cell>
          <cell r="AZ156" t="str">
            <v>collateralEnforceableProducts</v>
          </cell>
        </row>
        <row r="157">
          <cell r="AY157">
            <v>155</v>
          </cell>
          <cell r="AZ157" t="str">
            <v>collateralId</v>
          </cell>
        </row>
        <row r="158">
          <cell r="AY158">
            <v>156</v>
          </cell>
          <cell r="AZ158" t="str">
            <v>collateralizationMultiplier</v>
          </cell>
        </row>
        <row r="159">
          <cell r="AY159">
            <v>157</v>
          </cell>
          <cell r="AZ159" t="str">
            <v>collateralizedLoanObligationERCvalue</v>
          </cell>
        </row>
        <row r="160">
          <cell r="AY160">
            <v>158</v>
          </cell>
          <cell r="AZ160" t="str">
            <v>collateralMaturityDate</v>
          </cell>
        </row>
        <row r="161">
          <cell r="AY161">
            <v>159</v>
          </cell>
          <cell r="AZ161" t="str">
            <v>collateralPostingEligibilityFlag</v>
          </cell>
        </row>
        <row r="162">
          <cell r="AY162">
            <v>160</v>
          </cell>
          <cell r="AZ162" t="str">
            <v>collateralPrice</v>
          </cell>
        </row>
        <row r="163">
          <cell r="AY163">
            <v>161</v>
          </cell>
          <cell r="AZ163" t="str">
            <v>collateralQuantity</v>
          </cell>
        </row>
        <row r="164">
          <cell r="AY164">
            <v>162</v>
          </cell>
          <cell r="AZ164" t="str">
            <v>collateralRecordIndicator</v>
          </cell>
        </row>
        <row r="165">
          <cell r="AY165">
            <v>163</v>
          </cell>
          <cell r="AZ165" t="str">
            <v>collateralSubType</v>
          </cell>
        </row>
        <row r="166">
          <cell r="AY166">
            <v>164</v>
          </cell>
          <cell r="AZ166" t="str">
            <v>collateralType</v>
          </cell>
        </row>
        <row r="167">
          <cell r="AY167">
            <v>165</v>
          </cell>
          <cell r="AZ167" t="str">
            <v>collateralValue</v>
          </cell>
        </row>
        <row r="168">
          <cell r="AY168">
            <v>166</v>
          </cell>
          <cell r="AZ168" t="str">
            <v>commercialLoanERCvalue</v>
          </cell>
        </row>
        <row r="169">
          <cell r="AY169">
            <v>167</v>
          </cell>
          <cell r="AZ169" t="str">
            <v>commissionExpenseSavingsValue</v>
          </cell>
        </row>
        <row r="170">
          <cell r="AY170">
            <v>168</v>
          </cell>
          <cell r="AZ170" t="str">
            <v>commitmentType</v>
          </cell>
        </row>
        <row r="171">
          <cell r="AY171">
            <v>169</v>
          </cell>
          <cell r="AZ171" t="str">
            <v>committedOrUncommittedFacility</v>
          </cell>
        </row>
        <row r="172">
          <cell r="AY172">
            <v>170</v>
          </cell>
          <cell r="AZ172" t="str">
            <v>CommodityClass</v>
          </cell>
        </row>
        <row r="173">
          <cell r="AY173">
            <v>171</v>
          </cell>
          <cell r="AZ173" t="str">
            <v>commodityCurveId</v>
          </cell>
        </row>
        <row r="174">
          <cell r="AY174">
            <v>172</v>
          </cell>
          <cell r="AZ174" t="str">
            <v>commodityId</v>
          </cell>
        </row>
        <row r="175">
          <cell r="AY175">
            <v>173</v>
          </cell>
          <cell r="AZ175" t="str">
            <v>commoditySubClass</v>
          </cell>
        </row>
        <row r="176">
          <cell r="AY176">
            <v>174</v>
          </cell>
          <cell r="AZ176" t="str">
            <v>componentId</v>
          </cell>
        </row>
        <row r="177">
          <cell r="AY177">
            <v>175</v>
          </cell>
          <cell r="AZ177" t="str">
            <v>conditionalIndicator</v>
          </cell>
        </row>
        <row r="178">
          <cell r="AY178">
            <v>176</v>
          </cell>
          <cell r="AZ178" t="str">
            <v>confidenceLevel</v>
          </cell>
        </row>
        <row r="179">
          <cell r="AY179">
            <v>177</v>
          </cell>
          <cell r="AZ179" t="str">
            <v>constituentWeight</v>
          </cell>
        </row>
        <row r="180">
          <cell r="AY180">
            <v>178</v>
          </cell>
          <cell r="AZ180" t="str">
            <v>contingentDealDropDeadDate</v>
          </cell>
        </row>
        <row r="181">
          <cell r="AY181">
            <v>179</v>
          </cell>
          <cell r="AZ181" t="str">
            <v>contingentDealHedgeId</v>
          </cell>
        </row>
        <row r="182">
          <cell r="AY182">
            <v>180</v>
          </cell>
          <cell r="AZ182" t="str">
            <v>contingentDealHedgeIndicator</v>
          </cell>
        </row>
        <row r="183">
          <cell r="AY183">
            <v>181</v>
          </cell>
          <cell r="AZ183" t="str">
            <v>contingentDealId</v>
          </cell>
        </row>
        <row r="184">
          <cell r="AY184">
            <v>182</v>
          </cell>
          <cell r="AZ184" t="str">
            <v>contingentDealStartDate</v>
          </cell>
        </row>
        <row r="185">
          <cell r="AY185">
            <v>183</v>
          </cell>
          <cell r="AZ185" t="str">
            <v>contractAmt</v>
          </cell>
        </row>
        <row r="186">
          <cell r="AY186">
            <v>184</v>
          </cell>
          <cell r="AZ186" t="str">
            <v>contractEndDate</v>
          </cell>
        </row>
        <row r="187">
          <cell r="AY187">
            <v>185</v>
          </cell>
          <cell r="AZ187" t="str">
            <v>contractId</v>
          </cell>
        </row>
        <row r="188">
          <cell r="AY188">
            <v>186</v>
          </cell>
          <cell r="AZ188" t="str">
            <v>contractLimitAmount</v>
          </cell>
        </row>
        <row r="189">
          <cell r="AY189">
            <v>187</v>
          </cell>
          <cell r="AZ189" t="str">
            <v>contractSize</v>
          </cell>
        </row>
        <row r="190">
          <cell r="AY190">
            <v>188</v>
          </cell>
          <cell r="AZ190" t="str">
            <v>contractStartDate</v>
          </cell>
        </row>
        <row r="191">
          <cell r="AY191">
            <v>189</v>
          </cell>
          <cell r="AZ191" t="str">
            <v>contractualRecoveryRate</v>
          </cell>
        </row>
        <row r="192">
          <cell r="AY192">
            <v>190</v>
          </cell>
          <cell r="AZ192" t="str">
            <v>conversionRatio</v>
          </cell>
        </row>
        <row r="193">
          <cell r="AY193">
            <v>191</v>
          </cell>
          <cell r="AZ193" t="str">
            <v>corporateRetailCode</v>
          </cell>
        </row>
        <row r="194">
          <cell r="AY194">
            <v>192</v>
          </cell>
          <cell r="AZ194" t="str">
            <v>correlationCoefficient</v>
          </cell>
        </row>
        <row r="195">
          <cell r="AY195">
            <v>193</v>
          </cell>
          <cell r="AZ195" t="str">
            <v>correlationTradingIndicator</v>
          </cell>
        </row>
        <row r="196">
          <cell r="AY196">
            <v>194</v>
          </cell>
          <cell r="AZ196" t="str">
            <v>correlationVariable</v>
          </cell>
        </row>
        <row r="197">
          <cell r="AY197">
            <v>195</v>
          </cell>
          <cell r="AZ197" t="str">
            <v>counterpartyDefaultLossValue</v>
          </cell>
        </row>
        <row r="198">
          <cell r="AY198">
            <v>196</v>
          </cell>
          <cell r="AZ198" t="str">
            <v>counterpartyId</v>
          </cell>
        </row>
        <row r="199">
          <cell r="AY199">
            <v>197</v>
          </cell>
          <cell r="AZ199" t="str">
            <v>counterpartyLongName</v>
          </cell>
        </row>
        <row r="200">
          <cell r="AY200">
            <v>198</v>
          </cell>
          <cell r="AZ200" t="str">
            <v>counterpartyParentId</v>
          </cell>
        </row>
        <row r="201">
          <cell r="AY201">
            <v>199</v>
          </cell>
          <cell r="AZ201" t="str">
            <v>counterpartyThresholdAmount</v>
          </cell>
        </row>
        <row r="202">
          <cell r="AY202">
            <v>200</v>
          </cell>
          <cell r="AZ202" t="str">
            <v>counterpartyUltimateParentId</v>
          </cell>
        </row>
        <row r="203">
          <cell r="AY203">
            <v>201</v>
          </cell>
          <cell r="AZ203" t="str">
            <v>countryISOCode</v>
          </cell>
        </row>
        <row r="204">
          <cell r="AY204">
            <v>202</v>
          </cell>
          <cell r="AZ204" t="str">
            <v>countryOfDomicile</v>
          </cell>
        </row>
        <row r="205">
          <cell r="AY205">
            <v>203</v>
          </cell>
          <cell r="AZ205" t="str">
            <v>countryOfIncorporation</v>
          </cell>
        </row>
        <row r="206">
          <cell r="AY206">
            <v>204</v>
          </cell>
          <cell r="AZ206" t="str">
            <v>countryOfListing</v>
          </cell>
        </row>
        <row r="207">
          <cell r="AY207">
            <v>205</v>
          </cell>
          <cell r="AZ207" t="str">
            <v>countryOfResidence</v>
          </cell>
        </row>
        <row r="208">
          <cell r="AY208">
            <v>206</v>
          </cell>
          <cell r="AZ208" t="str">
            <v>countryOfRisk</v>
          </cell>
        </row>
        <row r="209">
          <cell r="AY209">
            <v>207</v>
          </cell>
          <cell r="AZ209" t="str">
            <v>countryRiskClassification</v>
          </cell>
        </row>
        <row r="210">
          <cell r="AY210">
            <v>208</v>
          </cell>
          <cell r="AZ210" t="str">
            <v>creditClass</v>
          </cell>
        </row>
        <row r="211">
          <cell r="AY211">
            <v>209</v>
          </cell>
          <cell r="AZ211" t="str">
            <v>creditCurveId</v>
          </cell>
        </row>
        <row r="212">
          <cell r="AY212">
            <v>210</v>
          </cell>
          <cell r="AZ212" t="str">
            <v>creditERCValue</v>
          </cell>
        </row>
        <row r="213">
          <cell r="AY213">
            <v>211</v>
          </cell>
          <cell r="AZ213" t="str">
            <v>creditEvent</v>
          </cell>
        </row>
        <row r="214">
          <cell r="AY214">
            <v>212</v>
          </cell>
          <cell r="AZ214" t="str">
            <v>creditGroupCode</v>
          </cell>
        </row>
        <row r="215">
          <cell r="AY215">
            <v>213</v>
          </cell>
          <cell r="AZ215" t="str">
            <v>creditHierarchyLevel</v>
          </cell>
        </row>
        <row r="216">
          <cell r="AY216">
            <v>214</v>
          </cell>
          <cell r="AZ216" t="str">
            <v>creditLimitAmount</v>
          </cell>
        </row>
        <row r="217">
          <cell r="AY217">
            <v>215</v>
          </cell>
          <cell r="AZ217" t="str">
            <v>creditLineTypeId</v>
          </cell>
        </row>
        <row r="218">
          <cell r="AY218">
            <v>216</v>
          </cell>
          <cell r="AZ218" t="str">
            <v>creditMarkCd</v>
          </cell>
        </row>
        <row r="219">
          <cell r="AY219">
            <v>217</v>
          </cell>
          <cell r="AZ219" t="str">
            <v>creditProductSubTypeCode</v>
          </cell>
        </row>
        <row r="220">
          <cell r="AY220">
            <v>218</v>
          </cell>
          <cell r="AZ220" t="str">
            <v>creditProductTypeCode</v>
          </cell>
        </row>
        <row r="221">
          <cell r="AY221">
            <v>219</v>
          </cell>
          <cell r="AZ221" t="str">
            <v>creditProvisionValue</v>
          </cell>
        </row>
        <row r="222">
          <cell r="AY222">
            <v>220</v>
          </cell>
          <cell r="AZ222" t="str">
            <v>creditPurposeCode</v>
          </cell>
        </row>
        <row r="223">
          <cell r="AY223">
            <v>221</v>
          </cell>
          <cell r="AZ223" t="str">
            <v>creditQualityStep</v>
          </cell>
        </row>
        <row r="224">
          <cell r="AY224">
            <v>222</v>
          </cell>
          <cell r="AZ224" t="str">
            <v>creditRating</v>
          </cell>
        </row>
        <row r="225">
          <cell r="AY225">
            <v>223</v>
          </cell>
          <cell r="AZ225" t="str">
            <v>creditRatingAgency</v>
          </cell>
        </row>
        <row r="226">
          <cell r="AY226">
            <v>224</v>
          </cell>
          <cell r="AZ226" t="str">
            <v>creditRatingDate</v>
          </cell>
        </row>
        <row r="227">
          <cell r="AY227">
            <v>225</v>
          </cell>
          <cell r="AZ227" t="str">
            <v>creditRatingType</v>
          </cell>
        </row>
        <row r="228">
          <cell r="AY228">
            <v>226</v>
          </cell>
          <cell r="AZ228" t="str">
            <v>creditRelationshipCode</v>
          </cell>
        </row>
        <row r="229">
          <cell r="AY229">
            <v>227</v>
          </cell>
          <cell r="AZ229" t="str">
            <v>creditRiskFlag</v>
          </cell>
        </row>
        <row r="230">
          <cell r="AY230">
            <v>228</v>
          </cell>
          <cell r="AZ230" t="str">
            <v>creditRiskRWAValue</v>
          </cell>
        </row>
        <row r="231">
          <cell r="AY231">
            <v>229</v>
          </cell>
          <cell r="AZ231" t="str">
            <v>creditRiskStressRWAValue</v>
          </cell>
        </row>
        <row r="232">
          <cell r="AY232">
            <v>230</v>
          </cell>
          <cell r="AZ232" t="str">
            <v>creditSpreadParameters</v>
          </cell>
        </row>
        <row r="233">
          <cell r="AY233">
            <v>231</v>
          </cell>
          <cell r="AZ233" t="str">
            <v>creditUseCode</v>
          </cell>
        </row>
        <row r="234">
          <cell r="AY234">
            <v>232</v>
          </cell>
          <cell r="AZ234" t="str">
            <v>CSAdditionalCollateralPosted</v>
          </cell>
        </row>
        <row r="235">
          <cell r="AY235">
            <v>233</v>
          </cell>
          <cell r="AZ235" t="str">
            <v>CSAEnforcementFlag</v>
          </cell>
        </row>
        <row r="236">
          <cell r="AY236">
            <v>234</v>
          </cell>
          <cell r="AZ236" t="str">
            <v>CSARegulationIndicator</v>
          </cell>
        </row>
        <row r="237">
          <cell r="AY237">
            <v>235</v>
          </cell>
          <cell r="AZ237" t="str">
            <v>CSID</v>
          </cell>
        </row>
        <row r="238">
          <cell r="AY238">
            <v>236</v>
          </cell>
          <cell r="AZ238" t="str">
            <v>CSOwnIssuanceFlag</v>
          </cell>
        </row>
        <row r="239">
          <cell r="AY239">
            <v>237</v>
          </cell>
          <cell r="AZ239" t="str">
            <v>CSSubScenario</v>
          </cell>
        </row>
        <row r="240">
          <cell r="AY240">
            <v>238</v>
          </cell>
          <cell r="AZ240" t="str">
            <v>CSThresholdAmount</v>
          </cell>
        </row>
        <row r="241">
          <cell r="AY241">
            <v>239</v>
          </cell>
          <cell r="AZ241" t="str">
            <v>cumulativeLossAmount</v>
          </cell>
        </row>
        <row r="242">
          <cell r="AY242">
            <v>240</v>
          </cell>
          <cell r="AZ242" t="str">
            <v>currencyCode</v>
          </cell>
        </row>
        <row r="243">
          <cell r="AY243">
            <v>241</v>
          </cell>
          <cell r="AZ243" t="str">
            <v>currencyLambdaAdjustment</v>
          </cell>
        </row>
        <row r="244">
          <cell r="AY244">
            <v>242</v>
          </cell>
          <cell r="AZ244" t="str">
            <v>currencyOfListing</v>
          </cell>
        </row>
        <row r="245">
          <cell r="AY245">
            <v>243</v>
          </cell>
          <cell r="AZ245" t="str">
            <v>currencyPair</v>
          </cell>
        </row>
        <row r="246">
          <cell r="AY246">
            <v>244</v>
          </cell>
          <cell r="AZ246" t="str">
            <v>currentCreditBureauScore</v>
          </cell>
        </row>
        <row r="247">
          <cell r="AY247">
            <v>245</v>
          </cell>
          <cell r="AZ247" t="str">
            <v>currentExposureValue</v>
          </cell>
        </row>
        <row r="248">
          <cell r="AY248">
            <v>246</v>
          </cell>
          <cell r="AZ248" t="str">
            <v>currentIRCRating</v>
          </cell>
        </row>
        <row r="249">
          <cell r="AY249">
            <v>247</v>
          </cell>
          <cell r="AZ249" t="str">
            <v>currentMonthExposure</v>
          </cell>
        </row>
        <row r="250">
          <cell r="AY250">
            <v>248</v>
          </cell>
          <cell r="AZ250" t="str">
            <v>currTempResidualValue</v>
          </cell>
        </row>
        <row r="251">
          <cell r="AY251">
            <v>249</v>
          </cell>
          <cell r="AZ251" t="str">
            <v>curveId</v>
          </cell>
        </row>
        <row r="252">
          <cell r="AY252">
            <v>250</v>
          </cell>
          <cell r="AZ252" t="str">
            <v>curveIdType</v>
          </cell>
        </row>
        <row r="253">
          <cell r="AY253">
            <v>251</v>
          </cell>
          <cell r="AZ253" t="str">
            <v>curveIndex</v>
          </cell>
        </row>
        <row r="254">
          <cell r="AY254">
            <v>252</v>
          </cell>
          <cell r="AZ254" t="str">
            <v>curveTenor</v>
          </cell>
        </row>
        <row r="255">
          <cell r="AY255">
            <v>253</v>
          </cell>
          <cell r="AZ255" t="str">
            <v>curveType</v>
          </cell>
        </row>
        <row r="256">
          <cell r="AY256">
            <v>254</v>
          </cell>
          <cell r="AZ256" t="str">
            <v>custodianBIC</v>
          </cell>
        </row>
        <row r="257">
          <cell r="AY257">
            <v>255</v>
          </cell>
          <cell r="AZ257" t="str">
            <v>customerAccountId</v>
          </cell>
        </row>
        <row r="258">
          <cell r="AY258">
            <v>256</v>
          </cell>
          <cell r="AZ258" t="str">
            <v>customerOfficeId</v>
          </cell>
        </row>
        <row r="259">
          <cell r="AY259">
            <v>257</v>
          </cell>
          <cell r="AZ259" t="str">
            <v>customerTurnover</v>
          </cell>
        </row>
        <row r="260">
          <cell r="AY260">
            <v>258</v>
          </cell>
          <cell r="AZ260" t="str">
            <v>customerTypeCode</v>
          </cell>
        </row>
        <row r="261">
          <cell r="AY261">
            <v>259</v>
          </cell>
          <cell r="AZ261" t="str">
            <v>CVAVaRValue</v>
          </cell>
        </row>
        <row r="262">
          <cell r="AY262">
            <v>260</v>
          </cell>
          <cell r="AZ262" t="str">
            <v>CVAVaRValueCurrency</v>
          </cell>
        </row>
        <row r="263">
          <cell r="AY263">
            <v>261</v>
          </cell>
          <cell r="AZ263" t="str">
            <v>DARCalculationMethod</v>
          </cell>
        </row>
        <row r="264">
          <cell r="AY264">
            <v>262</v>
          </cell>
          <cell r="AZ264" t="str">
            <v>DARValue</v>
          </cell>
        </row>
        <row r="265">
          <cell r="AY265">
            <v>263</v>
          </cell>
          <cell r="AZ265" t="str">
            <v>dateOfDefault</v>
          </cell>
        </row>
        <row r="266">
          <cell r="AY266">
            <v>264</v>
          </cell>
          <cell r="AZ266" t="str">
            <v>dealBreakupProbability</v>
          </cell>
        </row>
        <row r="267">
          <cell r="AY267">
            <v>265</v>
          </cell>
          <cell r="AZ267" t="str">
            <v>dealClassificationType</v>
          </cell>
        </row>
        <row r="268">
          <cell r="AY268">
            <v>266</v>
          </cell>
          <cell r="AZ268" t="str">
            <v>dealerOffshoreFlag</v>
          </cell>
        </row>
        <row r="269">
          <cell r="AY269">
            <v>267</v>
          </cell>
          <cell r="AZ269" t="str">
            <v>dealStage</v>
          </cell>
        </row>
        <row r="270">
          <cell r="AY270">
            <v>268</v>
          </cell>
          <cell r="AZ270" t="str">
            <v>debtPriorityClass</v>
          </cell>
        </row>
        <row r="271">
          <cell r="AY271">
            <v>269</v>
          </cell>
          <cell r="AZ271" t="str">
            <v>debtTypeSeniority</v>
          </cell>
        </row>
        <row r="272">
          <cell r="AY272">
            <v>270</v>
          </cell>
          <cell r="AZ272" t="str">
            <v>decayFactor</v>
          </cell>
        </row>
        <row r="273">
          <cell r="AY273">
            <v>271</v>
          </cell>
          <cell r="AZ273" t="str">
            <v>DECBDivisionalAllocationKey</v>
          </cell>
        </row>
        <row r="274">
          <cell r="AY274">
            <v>272</v>
          </cell>
          <cell r="AZ274" t="str">
            <v>decompStatus</v>
          </cell>
        </row>
        <row r="275">
          <cell r="AY275">
            <v>273</v>
          </cell>
          <cell r="AZ275" t="str">
            <v>defaultCCFValue</v>
          </cell>
        </row>
        <row r="276">
          <cell r="AY276">
            <v>274</v>
          </cell>
          <cell r="AZ276" t="str">
            <v>defaultedInterestAdjustmentValue</v>
          </cell>
        </row>
        <row r="277">
          <cell r="AY277">
            <v>275</v>
          </cell>
          <cell r="AZ277" t="str">
            <v>defaultedLoanCapitalAdjustmentValue</v>
          </cell>
        </row>
        <row r="278">
          <cell r="AY278">
            <v>276</v>
          </cell>
          <cell r="AZ278" t="str">
            <v>defaultRiskERCValue</v>
          </cell>
        </row>
        <row r="279">
          <cell r="AY279">
            <v>277</v>
          </cell>
          <cell r="AZ279" t="str">
            <v>deferredAwardExpensePercentage</v>
          </cell>
        </row>
        <row r="280">
          <cell r="AY280">
            <v>278</v>
          </cell>
          <cell r="AZ280" t="str">
            <v>deferredAwardExpenseRecognition</v>
          </cell>
        </row>
        <row r="281">
          <cell r="AY281">
            <v>279</v>
          </cell>
          <cell r="AZ281" t="str">
            <v>deferredEquityCompensationBenefitValue</v>
          </cell>
        </row>
        <row r="282">
          <cell r="AY282">
            <v>280</v>
          </cell>
          <cell r="AZ282" t="str">
            <v>delcredereOfficeId</v>
          </cell>
        </row>
        <row r="283">
          <cell r="AY283">
            <v>281</v>
          </cell>
          <cell r="AZ283" t="str">
            <v>deliveryConditionCode</v>
          </cell>
        </row>
        <row r="284">
          <cell r="AY284">
            <v>282</v>
          </cell>
          <cell r="AZ284" t="str">
            <v>deliverySegment</v>
          </cell>
        </row>
        <row r="285">
          <cell r="AY285">
            <v>283</v>
          </cell>
          <cell r="AZ285" t="str">
            <v>DeltaEVEValue</v>
          </cell>
        </row>
        <row r="286">
          <cell r="AY286">
            <v>284</v>
          </cell>
          <cell r="AZ286" t="str">
            <v>DeltaEVEValueCurrency</v>
          </cell>
        </row>
        <row r="287">
          <cell r="AY287">
            <v>285</v>
          </cell>
          <cell r="AZ287" t="str">
            <v>deminimisCapitalCharge</v>
          </cell>
        </row>
        <row r="288">
          <cell r="AY288">
            <v>286</v>
          </cell>
          <cell r="AZ288" t="str">
            <v>deminimisRWAValue</v>
          </cell>
        </row>
        <row r="289">
          <cell r="AY289">
            <v>287</v>
          </cell>
          <cell r="AZ289" t="str">
            <v>derivativesCEMEADValue</v>
          </cell>
        </row>
        <row r="290">
          <cell r="AY290">
            <v>288</v>
          </cell>
          <cell r="AZ290" t="str">
            <v>derivativesIMMEADValue</v>
          </cell>
        </row>
        <row r="291">
          <cell r="AY291">
            <v>289</v>
          </cell>
          <cell r="AZ291" t="str">
            <v>deskCode</v>
          </cell>
        </row>
        <row r="292">
          <cell r="AY292">
            <v>290</v>
          </cell>
          <cell r="AZ292" t="str">
            <v>detachmentPoint</v>
          </cell>
        </row>
        <row r="293">
          <cell r="AY293">
            <v>291</v>
          </cell>
          <cell r="AZ293" t="str">
            <v>detectionDate</v>
          </cell>
        </row>
        <row r="294">
          <cell r="AY294">
            <v>292</v>
          </cell>
          <cell r="AZ294" t="str">
            <v>DFccp</v>
          </cell>
        </row>
        <row r="295">
          <cell r="AY295">
            <v>293</v>
          </cell>
          <cell r="AZ295" t="str">
            <v>DFcm</v>
          </cell>
        </row>
        <row r="296">
          <cell r="AY296">
            <v>294</v>
          </cell>
          <cell r="AZ296" t="str">
            <v>directIndirectIndicator</v>
          </cell>
        </row>
        <row r="297">
          <cell r="AY297">
            <v>295</v>
          </cell>
          <cell r="AZ297" t="str">
            <v>disposedBusinessFlag</v>
          </cell>
        </row>
        <row r="298">
          <cell r="AY298">
            <v>296</v>
          </cell>
          <cell r="AZ298" t="str">
            <v>divisionActualLoss</v>
          </cell>
        </row>
        <row r="299">
          <cell r="AY299">
            <v>297</v>
          </cell>
          <cell r="AZ299" t="str">
            <v>divisionalDeferralRate</v>
          </cell>
        </row>
        <row r="300">
          <cell r="AY300">
            <v>298</v>
          </cell>
          <cell r="AZ300" t="str">
            <v>divisionId</v>
          </cell>
        </row>
        <row r="301">
          <cell r="AY301">
            <v>299</v>
          </cell>
          <cell r="AZ301" t="str">
            <v>divisionNetBudgetedRevenue</v>
          </cell>
        </row>
        <row r="302">
          <cell r="AY302">
            <v>300</v>
          </cell>
          <cell r="AZ302" t="str">
            <v>divisionProductSubTypeCode</v>
          </cell>
        </row>
        <row r="303">
          <cell r="AY303">
            <v>301</v>
          </cell>
          <cell r="AZ303" t="str">
            <v>divisionProductTypeCode</v>
          </cell>
        </row>
        <row r="304">
          <cell r="AY304">
            <v>302</v>
          </cell>
          <cell r="AZ304" t="str">
            <v>drawDownFactorValue</v>
          </cell>
        </row>
        <row r="305">
          <cell r="AY305">
            <v>303</v>
          </cell>
          <cell r="AZ305" t="str">
            <v>drawnAmount</v>
          </cell>
        </row>
        <row r="306">
          <cell r="AY306">
            <v>304</v>
          </cell>
          <cell r="AZ306" t="str">
            <v>drawnCcy</v>
          </cell>
        </row>
        <row r="307">
          <cell r="AY307">
            <v>305</v>
          </cell>
          <cell r="AZ307" t="str">
            <v>drawnDate</v>
          </cell>
        </row>
        <row r="308">
          <cell r="AY308">
            <v>306</v>
          </cell>
          <cell r="AZ308" t="str">
            <v>ECLValue</v>
          </cell>
        </row>
        <row r="309">
          <cell r="AY309">
            <v>307</v>
          </cell>
          <cell r="AZ309" t="str">
            <v>economicDiscountCurve</v>
          </cell>
        </row>
        <row r="310">
          <cell r="AY310">
            <v>308</v>
          </cell>
          <cell r="AZ310" t="str">
            <v>economicStatus</v>
          </cell>
        </row>
        <row r="311">
          <cell r="AY311">
            <v>309</v>
          </cell>
          <cell r="AZ311" t="str">
            <v>EEPEValue</v>
          </cell>
        </row>
        <row r="312">
          <cell r="AY312">
            <v>310</v>
          </cell>
          <cell r="AZ312" t="str">
            <v>EEValue</v>
          </cell>
        </row>
        <row r="313">
          <cell r="AY313">
            <v>311</v>
          </cell>
          <cell r="AZ313" t="str">
            <v>effectiveDate</v>
          </cell>
        </row>
        <row r="314">
          <cell r="AY314">
            <v>312</v>
          </cell>
          <cell r="AZ314" t="str">
            <v>effectiveMaturityValue</v>
          </cell>
        </row>
        <row r="315">
          <cell r="AY315">
            <v>313</v>
          </cell>
          <cell r="AZ315" t="str">
            <v>effectiveNotionalValue</v>
          </cell>
        </row>
        <row r="316">
          <cell r="AY316">
            <v>314</v>
          </cell>
          <cell r="AZ316" t="str">
            <v>ELAExpensesValue</v>
          </cell>
        </row>
        <row r="317">
          <cell r="AY317">
            <v>315</v>
          </cell>
          <cell r="AZ317" t="str">
            <v>ELARiskUsageExposureValue</v>
          </cell>
        </row>
        <row r="318">
          <cell r="AY318">
            <v>316</v>
          </cell>
          <cell r="AZ318" t="str">
            <v>embeddedPutFlag</v>
          </cell>
        </row>
        <row r="319">
          <cell r="AY319">
            <v>317</v>
          </cell>
          <cell r="AZ319" t="str">
            <v>EPEValue</v>
          </cell>
        </row>
        <row r="320">
          <cell r="AY320">
            <v>318</v>
          </cell>
          <cell r="AZ320" t="str">
            <v>EQIFMBAMaximumAllocation</v>
          </cell>
        </row>
        <row r="321">
          <cell r="AY321">
            <v>319</v>
          </cell>
          <cell r="AZ321" t="str">
            <v>equCDSCurrencyCd</v>
          </cell>
        </row>
        <row r="322">
          <cell r="AY322">
            <v>320</v>
          </cell>
          <cell r="AZ322" t="str">
            <v>equCDSMaturityDt</v>
          </cell>
        </row>
        <row r="323">
          <cell r="AY323">
            <v>321</v>
          </cell>
          <cell r="AZ323" t="str">
            <v>equitiesExposureValue</v>
          </cell>
        </row>
        <row r="324">
          <cell r="AY324">
            <v>322</v>
          </cell>
          <cell r="AZ324" t="str">
            <v>equitiesHolding</v>
          </cell>
        </row>
        <row r="325">
          <cell r="AY325">
            <v>323</v>
          </cell>
          <cell r="AZ325" t="str">
            <v>equitiesnotinIRCExpectedLossValue</v>
          </cell>
        </row>
        <row r="326">
          <cell r="AY326">
            <v>324</v>
          </cell>
          <cell r="AZ326" t="str">
            <v>equityAwardType</v>
          </cell>
        </row>
        <row r="327">
          <cell r="AY327">
            <v>325</v>
          </cell>
          <cell r="AZ327" t="str">
            <v>equityId</v>
          </cell>
        </row>
        <row r="328">
          <cell r="AY328">
            <v>326</v>
          </cell>
          <cell r="AZ328" t="str">
            <v>equityInvestmentInFund</v>
          </cell>
        </row>
        <row r="329">
          <cell r="AY329">
            <v>327</v>
          </cell>
          <cell r="AZ329" t="str">
            <v>equityRegion</v>
          </cell>
        </row>
        <row r="330">
          <cell r="AY330">
            <v>328</v>
          </cell>
          <cell r="AZ330" t="str">
            <v>equityRiskArbitrageValue</v>
          </cell>
        </row>
        <row r="331">
          <cell r="AY331">
            <v>329</v>
          </cell>
          <cell r="AZ331" t="str">
            <v>equityScaleDownFlag</v>
          </cell>
        </row>
        <row r="332">
          <cell r="AY332">
            <v>330</v>
          </cell>
          <cell r="AZ332" t="str">
            <v>equityTypeIndicator</v>
          </cell>
        </row>
        <row r="333">
          <cell r="AY333">
            <v>331</v>
          </cell>
          <cell r="AZ333" t="str">
            <v>equPercentage</v>
          </cell>
        </row>
        <row r="334">
          <cell r="AY334">
            <v>332</v>
          </cell>
          <cell r="AZ334" t="str">
            <v>equTrnchCptyID</v>
          </cell>
        </row>
        <row r="335">
          <cell r="AY335">
            <v>333</v>
          </cell>
          <cell r="AZ335" t="str">
            <v>equTrnchNetAmtCHF</v>
          </cell>
        </row>
        <row r="336">
          <cell r="AY336">
            <v>334</v>
          </cell>
          <cell r="AZ336" t="str">
            <v>ERCCreditRiskBufferValue</v>
          </cell>
        </row>
        <row r="337">
          <cell r="AY337">
            <v>335</v>
          </cell>
          <cell r="AZ337" t="str">
            <v>ERCDECBBufferValue</v>
          </cell>
        </row>
        <row r="338">
          <cell r="AY338">
            <v>336</v>
          </cell>
          <cell r="AZ338" t="str">
            <v>ERCDirectInvestmentBufferValue</v>
          </cell>
        </row>
        <row r="339">
          <cell r="AY339">
            <v>337</v>
          </cell>
          <cell r="AZ339" t="str">
            <v>ERCEXPENSEbuffervalue</v>
          </cell>
        </row>
        <row r="340">
          <cell r="AY340">
            <v>338</v>
          </cell>
          <cell r="AZ340" t="str">
            <v>ERCFrameworkBufferValue</v>
          </cell>
        </row>
        <row r="341">
          <cell r="AY341">
            <v>339</v>
          </cell>
          <cell r="AZ341" t="str">
            <v>ERCFXTBufferValue</v>
          </cell>
        </row>
        <row r="342">
          <cell r="AY342">
            <v>340</v>
          </cell>
          <cell r="AZ342" t="str">
            <v>ERCLifeInsuranceAddonValue</v>
          </cell>
        </row>
        <row r="343">
          <cell r="AY343">
            <v>341</v>
          </cell>
          <cell r="AZ343" t="str">
            <v>ERCNonTradedCreditSpreadBufferValue</v>
          </cell>
        </row>
        <row r="344">
          <cell r="AY344">
            <v>342</v>
          </cell>
          <cell r="AZ344" t="str">
            <v>ERCOREBufferValue</v>
          </cell>
        </row>
        <row r="345">
          <cell r="AY345">
            <v>343</v>
          </cell>
          <cell r="AZ345" t="str">
            <v>ERCPensionRiskBufferValue</v>
          </cell>
        </row>
        <row r="346">
          <cell r="AY346">
            <v>344</v>
          </cell>
          <cell r="AZ346" t="str">
            <v>ERCSecuritisedProductBufferValue</v>
          </cell>
        </row>
        <row r="347">
          <cell r="AY347">
            <v>345</v>
          </cell>
          <cell r="AZ347" t="str">
            <v>ERCTradedRiskBufferValue</v>
          </cell>
        </row>
        <row r="348">
          <cell r="AY348">
            <v>346</v>
          </cell>
          <cell r="AZ348" t="str">
            <v>EUDefaultLossAmount</v>
          </cell>
        </row>
        <row r="349">
          <cell r="AY349">
            <v>347</v>
          </cell>
          <cell r="AZ349" t="str">
            <v>EVAdjustmentValue</v>
          </cell>
        </row>
        <row r="350">
          <cell r="AY350">
            <v>348</v>
          </cell>
          <cell r="AZ350" t="str">
            <v>eventDate</v>
          </cell>
        </row>
        <row r="351">
          <cell r="AY351">
            <v>349</v>
          </cell>
          <cell r="AZ351" t="str">
            <v>eventSummaryDescription</v>
          </cell>
        </row>
        <row r="352">
          <cell r="AY352">
            <v>350</v>
          </cell>
          <cell r="AZ352" t="str">
            <v>EWMAVolatility</v>
          </cell>
        </row>
        <row r="353">
          <cell r="AY353">
            <v>351</v>
          </cell>
          <cell r="AZ353" t="str">
            <v>exceriseDate</v>
          </cell>
        </row>
        <row r="354">
          <cell r="AY354">
            <v>352</v>
          </cell>
          <cell r="AZ354" t="str">
            <v>exchangeTradedFlag</v>
          </cell>
        </row>
        <row r="355">
          <cell r="AY355">
            <v>353</v>
          </cell>
          <cell r="AZ355" t="str">
            <v>exemptionFlag</v>
          </cell>
        </row>
        <row r="356">
          <cell r="AY356">
            <v>354</v>
          </cell>
          <cell r="AZ356" t="str">
            <v>ExIBLendingNSUPowerLossBuffer</v>
          </cell>
        </row>
        <row r="357">
          <cell r="AY357">
            <v>355</v>
          </cell>
          <cell r="AZ357" t="str">
            <v>ExIBLendingUnstressedEADBufferValue</v>
          </cell>
        </row>
        <row r="358">
          <cell r="AY358">
            <v>356</v>
          </cell>
          <cell r="AZ358" t="str">
            <v>ExIBLendingUnstressedprovisionBufferValue</v>
          </cell>
        </row>
        <row r="359">
          <cell r="AY359">
            <v>357</v>
          </cell>
          <cell r="AZ359" t="str">
            <v>expectedLossRWAEquivalentValue</v>
          </cell>
        </row>
        <row r="360">
          <cell r="AY360">
            <v>358</v>
          </cell>
          <cell r="AZ360" t="str">
            <v>expectedLossValue</v>
          </cell>
        </row>
        <row r="361">
          <cell r="AY361">
            <v>359</v>
          </cell>
          <cell r="AZ361" t="str">
            <v>expenseRevenueAmount</v>
          </cell>
        </row>
        <row r="362">
          <cell r="AY362">
            <v>360</v>
          </cell>
          <cell r="AZ362" t="str">
            <v>expenseRevenueBookingDate</v>
          </cell>
        </row>
        <row r="363">
          <cell r="AY363">
            <v>361</v>
          </cell>
          <cell r="AZ363" t="str">
            <v>expenseRevenueCurrency</v>
          </cell>
        </row>
        <row r="364">
          <cell r="AY364">
            <v>362</v>
          </cell>
          <cell r="AZ364" t="str">
            <v>expenseRevenueType</v>
          </cell>
        </row>
        <row r="365">
          <cell r="AY365">
            <v>363</v>
          </cell>
          <cell r="AZ365" t="str">
            <v>expenseRiskERCValue</v>
          </cell>
        </row>
        <row r="366">
          <cell r="AY366">
            <v>364</v>
          </cell>
          <cell r="AZ366" t="str">
            <v>expenseRiskFXTAllocation</v>
          </cell>
        </row>
        <row r="367">
          <cell r="AY367">
            <v>365</v>
          </cell>
          <cell r="AZ367" t="str">
            <v>expiryDate</v>
          </cell>
        </row>
        <row r="368">
          <cell r="AY368">
            <v>366</v>
          </cell>
          <cell r="AZ368" t="str">
            <v>exposure0</v>
          </cell>
        </row>
        <row r="369">
          <cell r="AY369">
            <v>367</v>
          </cell>
          <cell r="AZ369" t="str">
            <v>exposureAllocation</v>
          </cell>
        </row>
        <row r="370">
          <cell r="AY370">
            <v>368</v>
          </cell>
          <cell r="AZ370" t="str">
            <v>exposureAtDefaultValue</v>
          </cell>
        </row>
        <row r="371">
          <cell r="AY371">
            <v>369</v>
          </cell>
          <cell r="AZ371" t="str">
            <v>exposureCarrierLimitValue</v>
          </cell>
        </row>
        <row r="372">
          <cell r="AY372">
            <v>370</v>
          </cell>
          <cell r="AZ372" t="str">
            <v>exposureCurrency</v>
          </cell>
        </row>
        <row r="373">
          <cell r="AY373">
            <v>371</v>
          </cell>
          <cell r="AZ373" t="str">
            <v>exposureIdentificationKey</v>
          </cell>
        </row>
        <row r="374">
          <cell r="AY374">
            <v>372</v>
          </cell>
          <cell r="AZ374" t="str">
            <v>facilityApprovedAmount</v>
          </cell>
        </row>
        <row r="375">
          <cell r="AY375">
            <v>373</v>
          </cell>
          <cell r="AZ375" t="str">
            <v>facilityConfirmedLimitAmount</v>
          </cell>
        </row>
        <row r="376">
          <cell r="AY376">
            <v>374</v>
          </cell>
          <cell r="AZ376" t="str">
            <v>facilityCurrency</v>
          </cell>
        </row>
        <row r="377">
          <cell r="AY377">
            <v>375</v>
          </cell>
          <cell r="AZ377" t="str">
            <v>facilityId</v>
          </cell>
        </row>
        <row r="378">
          <cell r="AY378">
            <v>376</v>
          </cell>
          <cell r="AZ378" t="str">
            <v>facilityMaturityDate</v>
          </cell>
        </row>
        <row r="379">
          <cell r="AY379">
            <v>377</v>
          </cell>
          <cell r="AZ379" t="str">
            <v>facilityTypeCode</v>
          </cell>
        </row>
        <row r="380">
          <cell r="AY380">
            <v>378</v>
          </cell>
          <cell r="AZ380" t="str">
            <v>factorCovarianceMatrix</v>
          </cell>
        </row>
        <row r="381">
          <cell r="AY381">
            <v>379</v>
          </cell>
          <cell r="AZ381" t="str">
            <v>failureToPay</v>
          </cell>
        </row>
        <row r="382">
          <cell r="AY382">
            <v>380</v>
          </cell>
          <cell r="AZ382" t="str">
            <v>FAS5UsageAmtCHF</v>
          </cell>
        </row>
        <row r="383">
          <cell r="AY383">
            <v>381</v>
          </cell>
          <cell r="AZ383" t="str">
            <v>feeType</v>
          </cell>
        </row>
        <row r="384">
          <cell r="AY384">
            <v>382</v>
          </cell>
          <cell r="AZ384" t="str">
            <v>finalExposureValue</v>
          </cell>
        </row>
        <row r="385">
          <cell r="AY385">
            <v>383</v>
          </cell>
          <cell r="AZ385" t="str">
            <v>finalSettlementDate</v>
          </cell>
        </row>
        <row r="386">
          <cell r="AY386">
            <v>384</v>
          </cell>
          <cell r="AZ386" t="str">
            <v>financeCounterpartyClassificationCode</v>
          </cell>
        </row>
        <row r="387">
          <cell r="AY387">
            <v>385</v>
          </cell>
          <cell r="AZ387" t="str">
            <v>financialBusinessUnitCode</v>
          </cell>
        </row>
        <row r="388">
          <cell r="AY388">
            <v>386</v>
          </cell>
          <cell r="AZ388" t="str">
            <v>financialInstitutionFlag</v>
          </cell>
        </row>
        <row r="389">
          <cell r="AY389">
            <v>387</v>
          </cell>
          <cell r="AZ389" t="str">
            <v>financialInstrumentCurrency</v>
          </cell>
        </row>
        <row r="390">
          <cell r="AY390">
            <v>388</v>
          </cell>
          <cell r="AZ390" t="str">
            <v>financialInstrumentKey</v>
          </cell>
        </row>
        <row r="391">
          <cell r="AY391">
            <v>389</v>
          </cell>
          <cell r="AZ391" t="str">
            <v>FINMAGap6Value</v>
          </cell>
        </row>
        <row r="392">
          <cell r="AY392">
            <v>390</v>
          </cell>
          <cell r="AZ392" t="str">
            <v>FINMAReportingDateFirst</v>
          </cell>
        </row>
        <row r="393">
          <cell r="AY393">
            <v>391</v>
          </cell>
          <cell r="AZ393" t="str">
            <v>FINMAReReportingDateLatest</v>
          </cell>
        </row>
        <row r="394">
          <cell r="AY394">
            <v>392</v>
          </cell>
          <cell r="AZ394" t="str">
            <v>firstExerciseDate</v>
          </cell>
        </row>
        <row r="395">
          <cell r="AY395">
            <v>393</v>
          </cell>
          <cell r="AZ395" t="str">
            <v>firstPaymentDate</v>
          </cell>
        </row>
        <row r="396">
          <cell r="AY396">
            <v>394</v>
          </cell>
          <cell r="AZ396" t="str">
            <v>firstSettlementDate</v>
          </cell>
        </row>
        <row r="397">
          <cell r="AY397">
            <v>395</v>
          </cell>
          <cell r="AZ397" t="str">
            <v>fixedExchangeRate</v>
          </cell>
        </row>
        <row r="398">
          <cell r="AY398">
            <v>396</v>
          </cell>
          <cell r="AZ398" t="str">
            <v>fixedVariableIndicator</v>
          </cell>
        </row>
        <row r="399">
          <cell r="AY399">
            <v>397</v>
          </cell>
          <cell r="AZ399" t="str">
            <v>fixingCalendar</v>
          </cell>
        </row>
        <row r="400">
          <cell r="AY400">
            <v>398</v>
          </cell>
          <cell r="AZ400" t="str">
            <v>fixingDate</v>
          </cell>
        </row>
        <row r="401">
          <cell r="AY401">
            <v>399</v>
          </cell>
          <cell r="AZ401" t="str">
            <v>fixingFrequency</v>
          </cell>
        </row>
        <row r="402">
          <cell r="AY402">
            <v>400</v>
          </cell>
          <cell r="AZ402" t="str">
            <v>flexPriceProtection</v>
          </cell>
        </row>
        <row r="403">
          <cell r="AY403">
            <v>401</v>
          </cell>
          <cell r="AZ403" t="str">
            <v>FOContingentDealSuccessProb</v>
          </cell>
        </row>
        <row r="404">
          <cell r="AY404">
            <v>402</v>
          </cell>
          <cell r="AZ404" t="str">
            <v>forwardPrice</v>
          </cell>
        </row>
        <row r="405">
          <cell r="AY405">
            <v>403</v>
          </cell>
          <cell r="AZ405" t="str">
            <v>fractionOfOustandingRelevantIssueSize</v>
          </cell>
        </row>
        <row r="406">
          <cell r="AY406">
            <v>404</v>
          </cell>
          <cell r="AZ406" t="str">
            <v>FTPAddOnSpread</v>
          </cell>
        </row>
        <row r="407">
          <cell r="AY407">
            <v>405</v>
          </cell>
          <cell r="AZ407" t="str">
            <v>FTPBaseFundingRate</v>
          </cell>
        </row>
        <row r="408">
          <cell r="AY408">
            <v>406</v>
          </cell>
          <cell r="AZ408" t="str">
            <v>functionalCurrencyCode</v>
          </cell>
        </row>
        <row r="409">
          <cell r="AY409">
            <v>407</v>
          </cell>
          <cell r="AZ409" t="str">
            <v>fundExposureValue</v>
          </cell>
        </row>
        <row r="410">
          <cell r="AY410">
            <v>408</v>
          </cell>
          <cell r="AZ410" t="str">
            <v>fundingConcentrationValue</v>
          </cell>
        </row>
        <row r="411">
          <cell r="AY411">
            <v>409</v>
          </cell>
          <cell r="AZ411" t="str">
            <v>fundingMaturityComposition</v>
          </cell>
        </row>
        <row r="412">
          <cell r="AY412">
            <v>410</v>
          </cell>
          <cell r="AZ412" t="str">
            <v>fundingSurplusAmount</v>
          </cell>
        </row>
        <row r="413">
          <cell r="AY413">
            <v>411</v>
          </cell>
          <cell r="AZ413" t="str">
            <v>fundName</v>
          </cell>
        </row>
        <row r="414">
          <cell r="AY414">
            <v>412</v>
          </cell>
          <cell r="AZ414" t="str">
            <v>fundType</v>
          </cell>
        </row>
        <row r="415">
          <cell r="AY415">
            <v>413</v>
          </cell>
          <cell r="AZ415" t="str">
            <v>FVODHaircut</v>
          </cell>
        </row>
        <row r="416">
          <cell r="AY416">
            <v>414</v>
          </cell>
          <cell r="AZ416" t="str">
            <v>FxContingentERCValue</v>
          </cell>
        </row>
        <row r="417">
          <cell r="AY417">
            <v>415</v>
          </cell>
          <cell r="AZ417" t="str">
            <v>FXTAddOnValue</v>
          </cell>
        </row>
        <row r="418">
          <cell r="AY418">
            <v>416</v>
          </cell>
          <cell r="AZ418" t="str">
            <v>FXVolatilityHaircut</v>
          </cell>
        </row>
        <row r="419">
          <cell r="AY419">
            <v>417</v>
          </cell>
          <cell r="AZ419" t="str">
            <v>GAAPID</v>
          </cell>
        </row>
        <row r="420">
          <cell r="AY420">
            <v>418</v>
          </cell>
          <cell r="AZ420" t="str">
            <v>GACInstrumentCategory</v>
          </cell>
        </row>
        <row r="421">
          <cell r="AY421">
            <v>419</v>
          </cell>
          <cell r="AZ421" t="str">
            <v>GACMarketCategory</v>
          </cell>
        </row>
        <row r="422">
          <cell r="AY422">
            <v>420</v>
          </cell>
          <cell r="AZ422" t="str">
            <v>GACSalesCategory</v>
          </cell>
        </row>
        <row r="423">
          <cell r="AY423">
            <v>421</v>
          </cell>
          <cell r="AZ423" t="str">
            <v>GCCExposureMoveValue</v>
          </cell>
        </row>
        <row r="424">
          <cell r="AY424">
            <v>422</v>
          </cell>
          <cell r="AZ424" t="str">
            <v>gender</v>
          </cell>
        </row>
        <row r="425">
          <cell r="AY425">
            <v>423</v>
          </cell>
          <cell r="AZ425" t="str">
            <v>generalLedgerAmountTypeCode</v>
          </cell>
        </row>
        <row r="426">
          <cell r="AY426">
            <v>424</v>
          </cell>
          <cell r="AZ426" t="str">
            <v>givenPreHaircutValue</v>
          </cell>
        </row>
        <row r="427">
          <cell r="AY427">
            <v>425</v>
          </cell>
          <cell r="AZ427" t="str">
            <v>GLAccountCode</v>
          </cell>
        </row>
        <row r="428">
          <cell r="AY428">
            <v>426</v>
          </cell>
          <cell r="AZ428" t="str">
            <v>GLAccountType</v>
          </cell>
        </row>
        <row r="429">
          <cell r="AY429">
            <v>427</v>
          </cell>
          <cell r="AZ429" t="str">
            <v>globalBookId</v>
          </cell>
        </row>
        <row r="430">
          <cell r="AY430">
            <v>428</v>
          </cell>
          <cell r="AZ430" t="str">
            <v>globalDepartmentId</v>
          </cell>
        </row>
        <row r="431">
          <cell r="AY431">
            <v>429</v>
          </cell>
          <cell r="AZ431" t="str">
            <v>GLSubAccountCode</v>
          </cell>
        </row>
        <row r="432">
          <cell r="AY432">
            <v>430</v>
          </cell>
          <cell r="AZ432" t="str">
            <v>GMHedgesModelParameters</v>
          </cell>
        </row>
        <row r="433">
          <cell r="AY433">
            <v>431</v>
          </cell>
          <cell r="AZ433" t="str">
            <v>GMManagementBROverlays</v>
          </cell>
        </row>
        <row r="434">
          <cell r="AY434">
            <v>432</v>
          </cell>
          <cell r="AZ434" t="str">
            <v>GMManagementCRBufferValue</v>
          </cell>
        </row>
        <row r="435">
          <cell r="AY435">
            <v>433</v>
          </cell>
          <cell r="AZ435" t="str">
            <v>GMManagementMROverlays</v>
          </cell>
        </row>
        <row r="436">
          <cell r="AY436">
            <v>434</v>
          </cell>
          <cell r="AZ436" t="str">
            <v>grantPrice</v>
          </cell>
        </row>
        <row r="437">
          <cell r="AY437">
            <v>435</v>
          </cell>
          <cell r="AZ437" t="str">
            <v>granularityCode</v>
          </cell>
        </row>
        <row r="438">
          <cell r="AY438">
            <v>436</v>
          </cell>
          <cell r="AZ438" t="str">
            <v>grossEADValue</v>
          </cell>
        </row>
        <row r="439">
          <cell r="AY439">
            <v>437</v>
          </cell>
          <cell r="AZ439" t="str">
            <v>grossLoansAndCommitmentsExposureValue</v>
          </cell>
        </row>
        <row r="440">
          <cell r="AY440">
            <v>438</v>
          </cell>
          <cell r="AZ440" t="str">
            <v>guaranteeAmount</v>
          </cell>
        </row>
        <row r="441">
          <cell r="AY441">
            <v>439</v>
          </cell>
          <cell r="AZ441" t="str">
            <v>guaranteeCurrency</v>
          </cell>
        </row>
        <row r="442">
          <cell r="AY442">
            <v>440</v>
          </cell>
          <cell r="AZ442" t="str">
            <v>guaranteeId</v>
          </cell>
        </row>
        <row r="443">
          <cell r="AY443">
            <v>441</v>
          </cell>
          <cell r="AZ443" t="str">
            <v>guarantees</v>
          </cell>
        </row>
        <row r="444">
          <cell r="AY444">
            <v>442</v>
          </cell>
          <cell r="AZ444" t="str">
            <v>harmonisedCSRating</v>
          </cell>
        </row>
        <row r="445">
          <cell r="AY445">
            <v>443</v>
          </cell>
          <cell r="AZ445" t="str">
            <v>headOfficeBranchIndicator</v>
          </cell>
        </row>
        <row r="446">
          <cell r="AY446">
            <v>444</v>
          </cell>
          <cell r="AZ446" t="str">
            <v>hedgeOverlayFactor</v>
          </cell>
        </row>
        <row r="447">
          <cell r="AY447">
            <v>445</v>
          </cell>
          <cell r="AZ447" t="str">
            <v>hedgeType</v>
          </cell>
        </row>
        <row r="448">
          <cell r="AY448">
            <v>446</v>
          </cell>
          <cell r="AZ448" t="str">
            <v>hedgeValue</v>
          </cell>
        </row>
        <row r="449">
          <cell r="AY449">
            <v>447</v>
          </cell>
          <cell r="AZ449" t="str">
            <v>hedgingSet</v>
          </cell>
        </row>
        <row r="450">
          <cell r="AY450">
            <v>448</v>
          </cell>
          <cell r="AZ450" t="str">
            <v>hedgingSubSet</v>
          </cell>
        </row>
        <row r="451">
          <cell r="AY451">
            <v>449</v>
          </cell>
          <cell r="AZ451" t="str">
            <v>heldPreHaircutValue</v>
          </cell>
        </row>
        <row r="452">
          <cell r="AY452">
            <v>450</v>
          </cell>
          <cell r="AZ452" t="str">
            <v>HFIlliquidInvERCValue</v>
          </cell>
        </row>
        <row r="453">
          <cell r="AY453">
            <v>451</v>
          </cell>
          <cell r="AZ453" t="str">
            <v>historicalCashAwardExpense</v>
          </cell>
        </row>
        <row r="454">
          <cell r="AY454">
            <v>452</v>
          </cell>
          <cell r="AZ454" t="str">
            <v>historicalDeferredAwardExpense</v>
          </cell>
        </row>
        <row r="455">
          <cell r="AY455">
            <v>453</v>
          </cell>
          <cell r="AZ455" t="str">
            <v>historicalFeeAmount</v>
          </cell>
        </row>
        <row r="456">
          <cell r="AY456">
            <v>454</v>
          </cell>
          <cell r="AZ456" t="str">
            <v>HistoricalMortalityTable</v>
          </cell>
        </row>
        <row r="457">
          <cell r="AY457">
            <v>455</v>
          </cell>
          <cell r="AZ457" t="str">
            <v>historicalObservationPeriod</v>
          </cell>
        </row>
        <row r="458">
          <cell r="AY458">
            <v>456</v>
          </cell>
          <cell r="AZ458" t="str">
            <v>holdingPeriod</v>
          </cell>
        </row>
        <row r="459">
          <cell r="AY459">
            <v>457</v>
          </cell>
          <cell r="AZ459" t="str">
            <v>HQLALevel</v>
          </cell>
        </row>
        <row r="460">
          <cell r="AY460">
            <v>458</v>
          </cell>
          <cell r="AZ460" t="str">
            <v>HQLAPriceDropPercentage</v>
          </cell>
        </row>
        <row r="461">
          <cell r="AY461">
            <v>459</v>
          </cell>
          <cell r="AZ461" t="str">
            <v>HQLAValue</v>
          </cell>
        </row>
        <row r="462">
          <cell r="AY462">
            <v>460</v>
          </cell>
          <cell r="AZ462" t="str">
            <v>IHCCounterpartyCategoryCode</v>
          </cell>
        </row>
        <row r="463">
          <cell r="AY463">
            <v>461</v>
          </cell>
          <cell r="AZ463" t="str">
            <v>illiquidCollateralFlag</v>
          </cell>
        </row>
        <row r="464">
          <cell r="AY464">
            <v>462</v>
          </cell>
          <cell r="AZ464" t="str">
            <v>impactCCFOnSsh</v>
          </cell>
        </row>
        <row r="465">
          <cell r="AY465">
            <v>463</v>
          </cell>
          <cell r="AZ465" t="str">
            <v>impairmentStressedCapitalValue</v>
          </cell>
        </row>
        <row r="466">
          <cell r="AY466">
            <v>464</v>
          </cell>
          <cell r="AZ466" t="str">
            <v>impliedMarketRating</v>
          </cell>
        </row>
        <row r="467">
          <cell r="AY467">
            <v>465</v>
          </cell>
          <cell r="AZ467" t="str">
            <v>impliedMarketRatingSource</v>
          </cell>
        </row>
        <row r="468">
          <cell r="AY468">
            <v>466</v>
          </cell>
          <cell r="AZ468" t="str">
            <v>ImpliedVolatility</v>
          </cell>
        </row>
        <row r="469">
          <cell r="AY469">
            <v>467</v>
          </cell>
          <cell r="AZ469" t="str">
            <v>incentivePerformanceBonus</v>
          </cell>
        </row>
        <row r="470">
          <cell r="AY470">
            <v>468</v>
          </cell>
          <cell r="AZ470" t="str">
            <v>incidentEventStatus</v>
          </cell>
        </row>
        <row r="471">
          <cell r="AY471">
            <v>469</v>
          </cell>
          <cell r="AZ471" t="str">
            <v>independentAmount</v>
          </cell>
        </row>
        <row r="472">
          <cell r="AY472">
            <v>470</v>
          </cell>
          <cell r="AZ472" t="str">
            <v>indexCode</v>
          </cell>
        </row>
        <row r="473">
          <cell r="AY473">
            <v>471</v>
          </cell>
          <cell r="AZ473" t="str">
            <v>indexId</v>
          </cell>
        </row>
        <row r="474">
          <cell r="AY474">
            <v>472</v>
          </cell>
          <cell r="AZ474" t="str">
            <v>indexName</v>
          </cell>
        </row>
        <row r="475">
          <cell r="AY475">
            <v>473</v>
          </cell>
          <cell r="AZ475" t="str">
            <v>indexTenor</v>
          </cell>
        </row>
        <row r="476">
          <cell r="AY476">
            <v>474</v>
          </cell>
          <cell r="AZ476" t="str">
            <v>indexType</v>
          </cell>
        </row>
        <row r="477">
          <cell r="AY477">
            <v>475</v>
          </cell>
          <cell r="AZ477" t="str">
            <v>indexValue</v>
          </cell>
        </row>
        <row r="478">
          <cell r="AY478">
            <v>476</v>
          </cell>
          <cell r="AZ478" t="str">
            <v>individualLossAmount</v>
          </cell>
        </row>
        <row r="479">
          <cell r="AY479">
            <v>477</v>
          </cell>
          <cell r="AZ479" t="str">
            <v>industryGICSCode</v>
          </cell>
        </row>
        <row r="480">
          <cell r="AY480">
            <v>478</v>
          </cell>
          <cell r="AZ480" t="str">
            <v>industryNAICSCode</v>
          </cell>
        </row>
        <row r="481">
          <cell r="AY481">
            <v>479</v>
          </cell>
          <cell r="AZ481" t="str">
            <v>industrySector</v>
          </cell>
        </row>
        <row r="482">
          <cell r="AY482">
            <v>480</v>
          </cell>
          <cell r="AZ482" t="str">
            <v>inflationIndex</v>
          </cell>
        </row>
        <row r="483">
          <cell r="AY483">
            <v>481</v>
          </cell>
          <cell r="AZ483" t="str">
            <v>inflationRegion</v>
          </cell>
        </row>
        <row r="484">
          <cell r="AY484">
            <v>482</v>
          </cell>
          <cell r="AZ484" t="str">
            <v>inflationScenarioCashFlow</v>
          </cell>
        </row>
        <row r="485">
          <cell r="AY485">
            <v>483</v>
          </cell>
          <cell r="AZ485" t="str">
            <v>inflationType</v>
          </cell>
        </row>
        <row r="486">
          <cell r="AY486">
            <v>484</v>
          </cell>
          <cell r="AZ486" t="str">
            <v>initialHeld</v>
          </cell>
        </row>
        <row r="487">
          <cell r="AY487">
            <v>485</v>
          </cell>
          <cell r="AZ487" t="str">
            <v>initialMargin</v>
          </cell>
        </row>
        <row r="488">
          <cell r="AY488">
            <v>486</v>
          </cell>
          <cell r="AZ488" t="str">
            <v>initialMarginCALLKCALL</v>
          </cell>
        </row>
        <row r="489">
          <cell r="AY489">
            <v>487</v>
          </cell>
          <cell r="AZ489" t="str">
            <v>initialMarginCALLKPOST</v>
          </cell>
        </row>
        <row r="490">
          <cell r="AY490">
            <v>488</v>
          </cell>
          <cell r="AZ490" t="str">
            <v>initialPaidMargin</v>
          </cell>
        </row>
        <row r="491">
          <cell r="AY491">
            <v>489</v>
          </cell>
          <cell r="AZ491" t="str">
            <v>initialPledged</v>
          </cell>
        </row>
        <row r="492">
          <cell r="AY492">
            <v>490</v>
          </cell>
          <cell r="AZ492" t="str">
            <v>initialVariance</v>
          </cell>
        </row>
        <row r="493">
          <cell r="AY493">
            <v>491</v>
          </cell>
          <cell r="AZ493" t="str">
            <v>inrstOutstandingRate</v>
          </cell>
        </row>
        <row r="494">
          <cell r="AY494">
            <v>492</v>
          </cell>
          <cell r="AZ494" t="str">
            <v>instantaneousDefaultRisk</v>
          </cell>
        </row>
        <row r="495">
          <cell r="AY495">
            <v>493</v>
          </cell>
          <cell r="AZ495" t="str">
            <v>instrumentFlag</v>
          </cell>
        </row>
        <row r="496">
          <cell r="AY496">
            <v>494</v>
          </cell>
          <cell r="AZ496" t="str">
            <v>instrumentIdIssue</v>
          </cell>
        </row>
        <row r="497">
          <cell r="AY497">
            <v>495</v>
          </cell>
          <cell r="AZ497" t="str">
            <v>instrumentIdListing</v>
          </cell>
        </row>
        <row r="498">
          <cell r="AY498">
            <v>496</v>
          </cell>
          <cell r="AZ498" t="str">
            <v>instrumentIdType</v>
          </cell>
        </row>
        <row r="499">
          <cell r="AY499">
            <v>497</v>
          </cell>
          <cell r="AZ499" t="str">
            <v>instrumentPriceDivider</v>
          </cell>
        </row>
        <row r="500">
          <cell r="AY500">
            <v>498</v>
          </cell>
          <cell r="AZ500" t="str">
            <v>instrumentRating</v>
          </cell>
        </row>
        <row r="501">
          <cell r="AY501">
            <v>499</v>
          </cell>
          <cell r="AZ501" t="str">
            <v>insuranceId</v>
          </cell>
        </row>
        <row r="502">
          <cell r="AY502">
            <v>500</v>
          </cell>
          <cell r="AZ502" t="str">
            <v>insuredAmount</v>
          </cell>
        </row>
        <row r="503">
          <cell r="AY503">
            <v>501</v>
          </cell>
          <cell r="AZ503" t="str">
            <v>insurerAge</v>
          </cell>
        </row>
        <row r="504">
          <cell r="AY504">
            <v>502</v>
          </cell>
          <cell r="AZ504" t="str">
            <v>interCompanyFundingPNLCCY</v>
          </cell>
        </row>
        <row r="505">
          <cell r="AY505">
            <v>503</v>
          </cell>
          <cell r="AZ505" t="str">
            <v>interCompanyFundingPNLValue</v>
          </cell>
        </row>
        <row r="506">
          <cell r="AY506">
            <v>504</v>
          </cell>
          <cell r="AZ506" t="str">
            <v>interestFeeDueDate</v>
          </cell>
        </row>
        <row r="507">
          <cell r="AY507">
            <v>505</v>
          </cell>
          <cell r="AZ507" t="str">
            <v>interestPaymentFrequency</v>
          </cell>
        </row>
        <row r="508">
          <cell r="AY508">
            <v>506</v>
          </cell>
          <cell r="AZ508" t="str">
            <v>interestRate</v>
          </cell>
        </row>
        <row r="509">
          <cell r="AY509">
            <v>507</v>
          </cell>
          <cell r="AZ509" t="str">
            <v>interestRateCategoryType</v>
          </cell>
        </row>
        <row r="510">
          <cell r="AY510">
            <v>508</v>
          </cell>
          <cell r="AZ510" t="str">
            <v>interestRateFactor</v>
          </cell>
        </row>
        <row r="511">
          <cell r="AY511">
            <v>509</v>
          </cell>
          <cell r="AZ511" t="str">
            <v>interestRateSpread</v>
          </cell>
        </row>
        <row r="512">
          <cell r="AY512">
            <v>510</v>
          </cell>
          <cell r="AZ512" t="str">
            <v>interimBaseNetIncome</v>
          </cell>
        </row>
        <row r="513">
          <cell r="AY513">
            <v>511</v>
          </cell>
          <cell r="AZ513" t="str">
            <v>interimScenarioPTIValue</v>
          </cell>
        </row>
        <row r="514">
          <cell r="AY514">
            <v>512</v>
          </cell>
          <cell r="AZ514" t="str">
            <v>interimStressedNetIncome</v>
          </cell>
        </row>
        <row r="515">
          <cell r="AY515">
            <v>513</v>
          </cell>
          <cell r="AZ515" t="str">
            <v>internalCollectionId</v>
          </cell>
        </row>
        <row r="516">
          <cell r="AY516">
            <v>514</v>
          </cell>
          <cell r="AZ516" t="str">
            <v>internalCreditRatingCode</v>
          </cell>
        </row>
        <row r="517">
          <cell r="AY517">
            <v>515</v>
          </cell>
          <cell r="AZ517" t="str">
            <v>internalCreditRatingModelCode</v>
          </cell>
        </row>
        <row r="518">
          <cell r="AY518">
            <v>516</v>
          </cell>
          <cell r="AZ518" t="str">
            <v>internalExternalIndicator</v>
          </cell>
        </row>
        <row r="519">
          <cell r="AY519">
            <v>517</v>
          </cell>
          <cell r="AZ519" t="str">
            <v>internalTransactionRating</v>
          </cell>
        </row>
        <row r="520">
          <cell r="AY520">
            <v>518</v>
          </cell>
          <cell r="AZ520" t="str">
            <v>intraTradeNettingFlag</v>
          </cell>
        </row>
        <row r="521">
          <cell r="AY521">
            <v>519</v>
          </cell>
          <cell r="AZ521" t="str">
            <v>inventoryTypeId</v>
          </cell>
        </row>
        <row r="522">
          <cell r="AY522">
            <v>520</v>
          </cell>
          <cell r="AZ522" t="str">
            <v>investementId</v>
          </cell>
        </row>
        <row r="523">
          <cell r="AY523">
            <v>521</v>
          </cell>
          <cell r="AZ523" t="str">
            <v>investmentCurrency</v>
          </cell>
        </row>
        <row r="524">
          <cell r="AY524">
            <v>522</v>
          </cell>
          <cell r="AZ524" t="str">
            <v>investmentExclVAT</v>
          </cell>
        </row>
        <row r="525">
          <cell r="AY525">
            <v>523</v>
          </cell>
          <cell r="AZ525" t="str">
            <v>investmentFundName</v>
          </cell>
        </row>
        <row r="526">
          <cell r="AY526">
            <v>524</v>
          </cell>
          <cell r="AZ526" t="str">
            <v>investmentGrade</v>
          </cell>
        </row>
        <row r="527">
          <cell r="AY527">
            <v>525</v>
          </cell>
          <cell r="AZ527" t="str">
            <v>investorShareNtnl</v>
          </cell>
        </row>
        <row r="528">
          <cell r="AY528">
            <v>526</v>
          </cell>
          <cell r="AZ528" t="str">
            <v>investorSharePc</v>
          </cell>
        </row>
        <row r="529">
          <cell r="AY529">
            <v>527</v>
          </cell>
          <cell r="AZ529" t="str">
            <v>IRCAddonValue</v>
          </cell>
        </row>
        <row r="530">
          <cell r="AY530">
            <v>528</v>
          </cell>
          <cell r="AZ530" t="str">
            <v>IRCAddonValueCcy</v>
          </cell>
        </row>
        <row r="531">
          <cell r="AY531">
            <v>529</v>
          </cell>
          <cell r="AZ531" t="str">
            <v>IRCNotionalValue</v>
          </cell>
        </row>
        <row r="532">
          <cell r="AY532">
            <v>530</v>
          </cell>
          <cell r="AZ532" t="str">
            <v>IRCRWAValue</v>
          </cell>
        </row>
        <row r="533">
          <cell r="AY533">
            <v>531</v>
          </cell>
          <cell r="AZ533" t="str">
            <v>IRCValue</v>
          </cell>
        </row>
        <row r="534">
          <cell r="AY534">
            <v>532</v>
          </cell>
          <cell r="AZ534" t="str">
            <v>IRCValueCurrency</v>
          </cell>
        </row>
        <row r="535">
          <cell r="AY535">
            <v>533</v>
          </cell>
          <cell r="AZ535" t="str">
            <v>IRMAAnalysisId</v>
          </cell>
        </row>
        <row r="536">
          <cell r="AY536">
            <v>534</v>
          </cell>
          <cell r="AZ536" t="str">
            <v>ISDA2003ModRestructuring</v>
          </cell>
        </row>
        <row r="537">
          <cell r="AY537">
            <v>535</v>
          </cell>
          <cell r="AZ537" t="str">
            <v>ISDADefinition</v>
          </cell>
        </row>
        <row r="538">
          <cell r="AY538">
            <v>536</v>
          </cell>
          <cell r="AZ538" t="str">
            <v>ISNIERCValue</v>
          </cell>
        </row>
        <row r="539">
          <cell r="AY539">
            <v>537</v>
          </cell>
          <cell r="AZ539" t="str">
            <v>issueDate</v>
          </cell>
        </row>
        <row r="540">
          <cell r="AY540">
            <v>538</v>
          </cell>
          <cell r="AZ540" t="str">
            <v>issueOutstanding</v>
          </cell>
        </row>
        <row r="541">
          <cell r="AY541">
            <v>539</v>
          </cell>
          <cell r="AZ541" t="str">
            <v>issuerId</v>
          </cell>
        </row>
        <row r="542">
          <cell r="AY542">
            <v>540</v>
          </cell>
          <cell r="AZ542" t="str">
            <v>issuerName</v>
          </cell>
        </row>
        <row r="543">
          <cell r="AY543">
            <v>541</v>
          </cell>
          <cell r="AZ543" t="str">
            <v>issuerType</v>
          </cell>
        </row>
        <row r="544">
          <cell r="AY544">
            <v>542</v>
          </cell>
          <cell r="AZ544" t="str">
            <v>ITSMemorandumOfUnderstanding</v>
          </cell>
        </row>
        <row r="545">
          <cell r="AY545">
            <v>543</v>
          </cell>
          <cell r="AZ545" t="str">
            <v>ITSRevenuesForecast</v>
          </cell>
        </row>
        <row r="546">
          <cell r="AY546">
            <v>544</v>
          </cell>
          <cell r="AZ546" t="str">
            <v>jointVenturePercent</v>
          </cell>
        </row>
        <row r="547">
          <cell r="AY547">
            <v>545</v>
          </cell>
          <cell r="AZ547" t="str">
            <v>Kccp</v>
          </cell>
        </row>
        <row r="548">
          <cell r="AY548">
            <v>546</v>
          </cell>
          <cell r="AZ548" t="str">
            <v>keyFlag</v>
          </cell>
        </row>
        <row r="549">
          <cell r="AY549">
            <v>547</v>
          </cell>
          <cell r="AZ549" t="str">
            <v>KTBDerivativeFlag</v>
          </cell>
        </row>
        <row r="550">
          <cell r="AY550">
            <v>548</v>
          </cell>
          <cell r="AZ550" t="str">
            <v>largeExposureInclusionIndicator</v>
          </cell>
        </row>
        <row r="551">
          <cell r="AY551">
            <v>549</v>
          </cell>
          <cell r="AZ551" t="str">
            <v>LCRExcessOutflow</v>
          </cell>
        </row>
        <row r="552">
          <cell r="AY552">
            <v>550</v>
          </cell>
          <cell r="AZ552" t="str">
            <v>leadSubParticipationAccountNumber</v>
          </cell>
        </row>
        <row r="553">
          <cell r="AY553">
            <v>551</v>
          </cell>
          <cell r="AZ553" t="str">
            <v>leasingInvestmentValueExVAT</v>
          </cell>
        </row>
        <row r="554">
          <cell r="AY554">
            <v>552</v>
          </cell>
          <cell r="AZ554" t="str">
            <v>leasingObjectCategory</v>
          </cell>
        </row>
        <row r="555">
          <cell r="AY555">
            <v>553</v>
          </cell>
          <cell r="AZ555" t="str">
            <v>leasingPaymentToSupplier</v>
          </cell>
        </row>
        <row r="556">
          <cell r="AY556">
            <v>554</v>
          </cell>
          <cell r="AZ556" t="str">
            <v>LEBaseValuationParameters</v>
          </cell>
        </row>
        <row r="557">
          <cell r="AY557">
            <v>555</v>
          </cell>
          <cell r="AZ557" t="str">
            <v>legalEntitiesDividendstToParent</v>
          </cell>
        </row>
        <row r="558">
          <cell r="AY558">
            <v>556</v>
          </cell>
          <cell r="AZ558" t="str">
            <v>legalEntityId</v>
          </cell>
        </row>
        <row r="559">
          <cell r="AY559">
            <v>557</v>
          </cell>
          <cell r="AZ559" t="str">
            <v>legEffectiveDate</v>
          </cell>
        </row>
        <row r="560">
          <cell r="AY560">
            <v>558</v>
          </cell>
          <cell r="AZ560" t="str">
            <v>LESpecificCalculationFlag</v>
          </cell>
        </row>
        <row r="561">
          <cell r="AY561">
            <v>559</v>
          </cell>
          <cell r="AZ561" t="str">
            <v>leverageuplift</v>
          </cell>
        </row>
        <row r="562">
          <cell r="AY562">
            <v>560</v>
          </cell>
          <cell r="AZ562" t="str">
            <v>LGDparameters</v>
          </cell>
        </row>
        <row r="563">
          <cell r="AY563">
            <v>561</v>
          </cell>
          <cell r="AZ563" t="str">
            <v>LGDPercentageValue</v>
          </cell>
        </row>
        <row r="564">
          <cell r="AY564">
            <v>562</v>
          </cell>
          <cell r="AZ564" t="str">
            <v>LGDScopeIndicator</v>
          </cell>
        </row>
        <row r="565">
          <cell r="AY565">
            <v>563</v>
          </cell>
          <cell r="AZ565" t="str">
            <v>LGDUplift</v>
          </cell>
        </row>
        <row r="566">
          <cell r="AY566">
            <v>564</v>
          </cell>
          <cell r="AZ566" t="str">
            <v>LGDVolatility</v>
          </cell>
        </row>
        <row r="567">
          <cell r="AY567">
            <v>565</v>
          </cell>
          <cell r="AZ567" t="str">
            <v>liabilityDuration</v>
          </cell>
        </row>
        <row r="568">
          <cell r="AY568">
            <v>566</v>
          </cell>
          <cell r="AZ568" t="str">
            <v>liabilityGrowth</v>
          </cell>
        </row>
        <row r="569">
          <cell r="AY569">
            <v>567</v>
          </cell>
          <cell r="AZ569" t="str">
            <v>liabilityOverlayFactor</v>
          </cell>
        </row>
        <row r="570">
          <cell r="AY570">
            <v>568</v>
          </cell>
          <cell r="AZ570" t="str">
            <v>lifeInsuranceERCValue</v>
          </cell>
        </row>
        <row r="571">
          <cell r="AY571">
            <v>569</v>
          </cell>
          <cell r="AZ571" t="str">
            <v>limitCarrierLimitValue</v>
          </cell>
        </row>
        <row r="572">
          <cell r="AY572">
            <v>570</v>
          </cell>
          <cell r="AZ572" t="str">
            <v>limitStatus</v>
          </cell>
        </row>
        <row r="573">
          <cell r="AY573">
            <v>571</v>
          </cell>
          <cell r="AZ573" t="str">
            <v>limitType</v>
          </cell>
        </row>
        <row r="574">
          <cell r="AY574">
            <v>572</v>
          </cell>
          <cell r="AZ574" t="str">
            <v>limitValue</v>
          </cell>
        </row>
        <row r="575">
          <cell r="AY575">
            <v>573</v>
          </cell>
          <cell r="AZ575" t="str">
            <v>linearityIndicator</v>
          </cell>
        </row>
        <row r="576">
          <cell r="AY576">
            <v>574</v>
          </cell>
          <cell r="AZ576" t="str">
            <v>liquidityBarometerValue</v>
          </cell>
        </row>
        <row r="577">
          <cell r="AY577">
            <v>575</v>
          </cell>
          <cell r="AZ577" t="str">
            <v>liquidityCoverageRatioValue</v>
          </cell>
        </row>
        <row r="578">
          <cell r="AY578">
            <v>576</v>
          </cell>
          <cell r="AZ578" t="str">
            <v>liquidityFlag</v>
          </cell>
        </row>
        <row r="579">
          <cell r="AY579">
            <v>577</v>
          </cell>
          <cell r="AZ579" t="str">
            <v>liquidityHorizon</v>
          </cell>
        </row>
        <row r="580">
          <cell r="AY580">
            <v>578</v>
          </cell>
          <cell r="AZ580" t="str">
            <v>liquidityProductTypeCode</v>
          </cell>
        </row>
        <row r="581">
          <cell r="AY581">
            <v>579</v>
          </cell>
          <cell r="AZ581" t="str">
            <v>liquidTradedRiskERCValue</v>
          </cell>
        </row>
        <row r="582">
          <cell r="AY582">
            <v>580</v>
          </cell>
          <cell r="AZ582" t="str">
            <v>listedOnStockExchangeFlag</v>
          </cell>
        </row>
        <row r="583">
          <cell r="AY583">
            <v>581</v>
          </cell>
          <cell r="AZ583" t="str">
            <v>litigationCaseGroupingID</v>
          </cell>
        </row>
        <row r="584">
          <cell r="AY584">
            <v>582</v>
          </cell>
          <cell r="AZ584" t="str">
            <v>litigationFlag</v>
          </cell>
        </row>
        <row r="585">
          <cell r="AY585">
            <v>583</v>
          </cell>
          <cell r="AZ585" t="str">
            <v>litigationProvisionAmount</v>
          </cell>
        </row>
        <row r="586">
          <cell r="AY586">
            <v>584</v>
          </cell>
          <cell r="AZ586" t="str">
            <v>loanCommitmentAmount</v>
          </cell>
        </row>
        <row r="587">
          <cell r="AY587">
            <v>585</v>
          </cell>
          <cell r="AZ587" t="str">
            <v>loanInDefaultFlag</v>
          </cell>
        </row>
        <row r="588">
          <cell r="AY588">
            <v>586</v>
          </cell>
          <cell r="AZ588" t="str">
            <v>loanMitigationFlag</v>
          </cell>
        </row>
        <row r="589">
          <cell r="AY589">
            <v>587</v>
          </cell>
          <cell r="AZ589" t="str">
            <v>loanPurposeCode</v>
          </cell>
        </row>
        <row r="590">
          <cell r="AY590">
            <v>588</v>
          </cell>
          <cell r="AZ590" t="str">
            <v>loansAndDepositsCategory</v>
          </cell>
        </row>
        <row r="591">
          <cell r="AY591">
            <v>589</v>
          </cell>
          <cell r="AZ591" t="str">
            <v>loanToValue</v>
          </cell>
        </row>
        <row r="592">
          <cell r="AY592">
            <v>590</v>
          </cell>
          <cell r="AZ592" t="str">
            <v>loanType</v>
          </cell>
        </row>
        <row r="593">
          <cell r="AY593">
            <v>591</v>
          </cell>
          <cell r="AZ593" t="str">
            <v>loanTypeCode</v>
          </cell>
        </row>
        <row r="594">
          <cell r="AY594">
            <v>592</v>
          </cell>
          <cell r="AZ594" t="str">
            <v>localCurrency</v>
          </cell>
        </row>
        <row r="595">
          <cell r="AY595">
            <v>593</v>
          </cell>
          <cell r="AZ595" t="str">
            <v>locationName</v>
          </cell>
        </row>
        <row r="596">
          <cell r="AY596">
            <v>594</v>
          </cell>
          <cell r="AZ596" t="str">
            <v>lombardCollateralCarrierLimitValue</v>
          </cell>
        </row>
        <row r="597">
          <cell r="AY597">
            <v>595</v>
          </cell>
          <cell r="AZ597" t="str">
            <v>longMarketValue</v>
          </cell>
        </row>
        <row r="598">
          <cell r="AY598">
            <v>596</v>
          </cell>
          <cell r="AZ598" t="str">
            <v>longShortIndicator</v>
          </cell>
        </row>
        <row r="599">
          <cell r="AY599">
            <v>597</v>
          </cell>
          <cell r="AZ599" t="str">
            <v>longtermFlag</v>
          </cell>
        </row>
        <row r="600">
          <cell r="AY600">
            <v>598</v>
          </cell>
          <cell r="AZ600" t="str">
            <v>lossGivenBreakup</v>
          </cell>
        </row>
        <row r="601">
          <cell r="AY601">
            <v>599</v>
          </cell>
          <cell r="AZ601" t="str">
            <v>lossRecognitionDate</v>
          </cell>
        </row>
        <row r="602">
          <cell r="AY602">
            <v>600</v>
          </cell>
          <cell r="AZ602" t="str">
            <v>LPAScenarioPTIValueExtrapolated</v>
          </cell>
        </row>
        <row r="603">
          <cell r="AY603">
            <v>601</v>
          </cell>
          <cell r="AZ603" t="str">
            <v>LTorST</v>
          </cell>
        </row>
        <row r="604">
          <cell r="AY604">
            <v>602</v>
          </cell>
          <cell r="AZ604" t="str">
            <v>macaulayDuration</v>
          </cell>
        </row>
        <row r="605">
          <cell r="AY605">
            <v>603</v>
          </cell>
          <cell r="AZ605" t="str">
            <v>MacroSensitive</v>
          </cell>
        </row>
        <row r="606">
          <cell r="AY606">
            <v>604</v>
          </cell>
          <cell r="AZ606" t="str">
            <v>macroVariableHistoricalQuarterDate</v>
          </cell>
        </row>
        <row r="607">
          <cell r="AY607">
            <v>605</v>
          </cell>
          <cell r="AZ607" t="str">
            <v>macroVariableHistoricalValue</v>
          </cell>
        </row>
        <row r="608">
          <cell r="AY608">
            <v>606</v>
          </cell>
          <cell r="AZ608" t="str">
            <v>macroVariableProjectedQuarterDate</v>
          </cell>
        </row>
        <row r="609">
          <cell r="AY609">
            <v>607</v>
          </cell>
          <cell r="AZ609" t="str">
            <v>macroVariableProjectedValue</v>
          </cell>
        </row>
        <row r="610">
          <cell r="AY610">
            <v>608</v>
          </cell>
          <cell r="AZ610" t="str">
            <v>macroVariableProjectedValueFormat</v>
          </cell>
        </row>
        <row r="611">
          <cell r="AY611">
            <v>609</v>
          </cell>
          <cell r="AZ611" t="str">
            <v>macroVariableTicker</v>
          </cell>
        </row>
        <row r="612">
          <cell r="AY612">
            <v>610</v>
          </cell>
          <cell r="AZ612" t="str">
            <v>macroVariableTickerValueType</v>
          </cell>
        </row>
        <row r="613">
          <cell r="AY613">
            <v>611</v>
          </cell>
          <cell r="AZ613" t="str">
            <v>mainIndexFlag</v>
          </cell>
        </row>
        <row r="614">
          <cell r="AY614">
            <v>612</v>
          </cell>
          <cell r="AZ614" t="str">
            <v>majorEquityIndexFlag</v>
          </cell>
        </row>
        <row r="615">
          <cell r="AY615">
            <v>613</v>
          </cell>
          <cell r="AZ615" t="str">
            <v>managementActionsPnLValue</v>
          </cell>
        </row>
        <row r="616">
          <cell r="AY616">
            <v>614</v>
          </cell>
          <cell r="AZ616" t="str">
            <v>managementActionsRWAValue</v>
          </cell>
        </row>
        <row r="617">
          <cell r="AY617">
            <v>615</v>
          </cell>
          <cell r="AZ617" t="str">
            <v>marginAccountIndicator</v>
          </cell>
        </row>
        <row r="618">
          <cell r="AY618">
            <v>616</v>
          </cell>
          <cell r="AZ618" t="str">
            <v>marginalContribution</v>
          </cell>
        </row>
        <row r="619">
          <cell r="AY619">
            <v>617</v>
          </cell>
          <cell r="AZ619" t="str">
            <v>marginFlag</v>
          </cell>
        </row>
        <row r="620">
          <cell r="AY620">
            <v>618</v>
          </cell>
          <cell r="AZ620" t="str">
            <v>marginPeriodOfRisk</v>
          </cell>
        </row>
        <row r="621">
          <cell r="AY621">
            <v>619</v>
          </cell>
          <cell r="AZ621" t="str">
            <v>marketDataIdentifier</v>
          </cell>
        </row>
        <row r="622">
          <cell r="AY622">
            <v>620</v>
          </cell>
          <cell r="AZ622" t="str">
            <v>marketDataType</v>
          </cell>
        </row>
        <row r="623">
          <cell r="AY623">
            <v>621</v>
          </cell>
          <cell r="AZ623" t="str">
            <v>marketDataValue</v>
          </cell>
        </row>
        <row r="624">
          <cell r="AY624">
            <v>622</v>
          </cell>
          <cell r="AZ624" t="str">
            <v>marketRiskCapitalMultiplier</v>
          </cell>
        </row>
        <row r="625">
          <cell r="AY625">
            <v>623</v>
          </cell>
          <cell r="AZ625" t="str">
            <v>marketRiskCVAStressRWAValue</v>
          </cell>
        </row>
        <row r="626">
          <cell r="AY626">
            <v>624</v>
          </cell>
          <cell r="AZ626" t="str">
            <v>marketRiskRWAValue</v>
          </cell>
        </row>
        <row r="627">
          <cell r="AY627">
            <v>625</v>
          </cell>
          <cell r="AZ627" t="str">
            <v>marketTriggerableFlag</v>
          </cell>
        </row>
        <row r="628">
          <cell r="AY628">
            <v>626</v>
          </cell>
          <cell r="AZ628" t="str">
            <v>marketValuationAmount</v>
          </cell>
        </row>
        <row r="629">
          <cell r="AY629">
            <v>627</v>
          </cell>
          <cell r="AZ629" t="str">
            <v>marketValuationDate</v>
          </cell>
        </row>
        <row r="630">
          <cell r="AY630">
            <v>628</v>
          </cell>
          <cell r="AZ630" t="str">
            <v>MARSBusinessHierarchy</v>
          </cell>
        </row>
        <row r="631">
          <cell r="AY631">
            <v>629</v>
          </cell>
          <cell r="AZ631" t="str">
            <v>masterAgreementCode</v>
          </cell>
        </row>
        <row r="632">
          <cell r="AY632">
            <v>630</v>
          </cell>
          <cell r="AZ632" t="str">
            <v>masterAgreementLLK</v>
          </cell>
        </row>
        <row r="633">
          <cell r="AY633">
            <v>631</v>
          </cell>
          <cell r="AZ633" t="str">
            <v>masterIndexId</v>
          </cell>
        </row>
        <row r="634">
          <cell r="AY634">
            <v>632</v>
          </cell>
          <cell r="AZ634" t="str">
            <v>maturityDate</v>
          </cell>
        </row>
        <row r="635">
          <cell r="AY635">
            <v>633</v>
          </cell>
          <cell r="AZ635" t="str">
            <v>maturityFactor</v>
          </cell>
        </row>
        <row r="636">
          <cell r="AY636">
            <v>634</v>
          </cell>
          <cell r="AZ636" t="str">
            <v>maturityProfileOfTreasuryProductValue</v>
          </cell>
        </row>
        <row r="637">
          <cell r="AY637">
            <v>635</v>
          </cell>
          <cell r="AZ637" t="str">
            <v>maxDecayDays</v>
          </cell>
        </row>
        <row r="638">
          <cell r="AY638">
            <v>636</v>
          </cell>
          <cell r="AZ638" t="str">
            <v>MBSCCEligibilityFlag</v>
          </cell>
        </row>
        <row r="639">
          <cell r="AY639">
            <v>637</v>
          </cell>
          <cell r="AZ639" t="str">
            <v>MDARValue</v>
          </cell>
        </row>
        <row r="640">
          <cell r="AY640">
            <v>638</v>
          </cell>
          <cell r="AZ640" t="str">
            <v>mediumAndLongTermDebts</v>
          </cell>
        </row>
        <row r="641">
          <cell r="AY641">
            <v>639</v>
          </cell>
          <cell r="AZ641" t="str">
            <v>mergerDealId</v>
          </cell>
        </row>
        <row r="642">
          <cell r="AY642">
            <v>640</v>
          </cell>
          <cell r="AZ642" t="str">
            <v>mergerOfferType</v>
          </cell>
        </row>
        <row r="643">
          <cell r="AY643">
            <v>641</v>
          </cell>
          <cell r="AZ643" t="str">
            <v>mezzCDSCltrlAmtCHF</v>
          </cell>
        </row>
        <row r="644">
          <cell r="AY644">
            <v>642</v>
          </cell>
          <cell r="AZ644" t="str">
            <v>mezzCDSCurrencyCd</v>
          </cell>
        </row>
        <row r="645">
          <cell r="AY645">
            <v>643</v>
          </cell>
          <cell r="AZ645" t="str">
            <v>mezzCDSMaturityDt</v>
          </cell>
        </row>
        <row r="646">
          <cell r="AY646">
            <v>644</v>
          </cell>
          <cell r="AZ646" t="str">
            <v>mezzCDSMtmAmtCHF</v>
          </cell>
        </row>
        <row r="647">
          <cell r="AY647">
            <v>645</v>
          </cell>
          <cell r="AZ647" t="str">
            <v>mezzCDSNtnlAmtCHF</v>
          </cell>
        </row>
        <row r="648">
          <cell r="AY648">
            <v>646</v>
          </cell>
          <cell r="AZ648" t="str">
            <v>mezzCDSOrigExposureID</v>
          </cell>
        </row>
        <row r="649">
          <cell r="AY649">
            <v>647</v>
          </cell>
          <cell r="AZ649" t="str">
            <v>mezzPercentage</v>
          </cell>
        </row>
        <row r="650">
          <cell r="AY650">
            <v>648</v>
          </cell>
          <cell r="AZ650" t="str">
            <v>mezzTrnchCptyID</v>
          </cell>
        </row>
        <row r="651">
          <cell r="AY651">
            <v>649</v>
          </cell>
          <cell r="AZ651" t="str">
            <v>mezzTrnchNetAmtCHF</v>
          </cell>
        </row>
        <row r="652">
          <cell r="AY652">
            <v>650</v>
          </cell>
          <cell r="AZ652" t="str">
            <v>migrationAndDefaultProbablityParameters</v>
          </cell>
        </row>
        <row r="653">
          <cell r="AY653">
            <v>651</v>
          </cell>
          <cell r="AZ653" t="str">
            <v>migrationCCFValue</v>
          </cell>
        </row>
        <row r="654">
          <cell r="AY654">
            <v>652</v>
          </cell>
          <cell r="AZ654" t="str">
            <v>migrationDelta</v>
          </cell>
        </row>
        <row r="655">
          <cell r="AY655">
            <v>653</v>
          </cell>
          <cell r="AZ655" t="str">
            <v>minimumTransferAmount</v>
          </cell>
        </row>
        <row r="656">
          <cell r="AY656">
            <v>654</v>
          </cell>
          <cell r="AZ656" t="str">
            <v>MISOfficeCode</v>
          </cell>
        </row>
        <row r="657">
          <cell r="AY657">
            <v>655</v>
          </cell>
          <cell r="AZ657" t="str">
            <v>misOrgUnitId</v>
          </cell>
        </row>
        <row r="658">
          <cell r="AY658">
            <v>656</v>
          </cell>
          <cell r="AZ658" t="str">
            <v>MISProduct</v>
          </cell>
        </row>
        <row r="659">
          <cell r="AY659">
            <v>657</v>
          </cell>
          <cell r="AZ659" t="str">
            <v>MMLERCValue</v>
          </cell>
        </row>
        <row r="660">
          <cell r="AY660">
            <v>658</v>
          </cell>
          <cell r="AZ660" t="str">
            <v>modifiedDurationValue</v>
          </cell>
        </row>
        <row r="661">
          <cell r="AY661">
            <v>659</v>
          </cell>
          <cell r="AZ661" t="str">
            <v>modifiedModifiedRestructuring</v>
          </cell>
        </row>
        <row r="662">
          <cell r="AY662">
            <v>660</v>
          </cell>
          <cell r="AZ662" t="str">
            <v>mostLikelySettlementDate</v>
          </cell>
        </row>
        <row r="663">
          <cell r="AY663">
            <v>661</v>
          </cell>
          <cell r="AZ663" t="str">
            <v>mostRecentAUM</v>
          </cell>
        </row>
        <row r="664">
          <cell r="AY664">
            <v>662</v>
          </cell>
          <cell r="AZ664" t="str">
            <v>mostRecentFundNAV</v>
          </cell>
        </row>
        <row r="665">
          <cell r="AY665">
            <v>663</v>
          </cell>
          <cell r="AZ665" t="str">
            <v>MSCISectorCode</v>
          </cell>
        </row>
        <row r="666">
          <cell r="AY666">
            <v>664</v>
          </cell>
          <cell r="AZ666" t="str">
            <v>MTMValue</v>
          </cell>
        </row>
        <row r="667">
          <cell r="AY667">
            <v>665</v>
          </cell>
          <cell r="AZ667" t="str">
            <v>MTMValueCCY</v>
          </cell>
        </row>
        <row r="668">
          <cell r="AY668">
            <v>666</v>
          </cell>
          <cell r="AZ668" t="str">
            <v>MTMValueUnderlying</v>
          </cell>
        </row>
        <row r="669">
          <cell r="AY669">
            <v>667</v>
          </cell>
          <cell r="AZ669" t="str">
            <v>multipleholderObligation</v>
          </cell>
        </row>
        <row r="670">
          <cell r="AY670">
            <v>668</v>
          </cell>
          <cell r="AZ670" t="str">
            <v>NCBFlag</v>
          </cell>
        </row>
        <row r="671">
          <cell r="AY671">
            <v>669</v>
          </cell>
          <cell r="AZ671" t="str">
            <v>NCEIOFlag</v>
          </cell>
        </row>
        <row r="672">
          <cell r="AY672">
            <v>670</v>
          </cell>
          <cell r="AZ672" t="str">
            <v>netBookValue</v>
          </cell>
        </row>
        <row r="673">
          <cell r="AY673">
            <v>671</v>
          </cell>
          <cell r="AZ673" t="str">
            <v>netEquity</v>
          </cell>
        </row>
        <row r="674">
          <cell r="AY674">
            <v>672</v>
          </cell>
          <cell r="AZ674" t="str">
            <v>netExposureAtDefaultValue</v>
          </cell>
        </row>
        <row r="675">
          <cell r="AY675">
            <v>673</v>
          </cell>
          <cell r="AZ675" t="str">
            <v>netIndependentCollateralAmount</v>
          </cell>
        </row>
        <row r="676">
          <cell r="AY676">
            <v>674</v>
          </cell>
          <cell r="AZ676" t="str">
            <v>netLeasingObligation</v>
          </cell>
        </row>
        <row r="677">
          <cell r="AY677">
            <v>675</v>
          </cell>
          <cell r="AZ677" t="str">
            <v>netObligation</v>
          </cell>
        </row>
        <row r="678">
          <cell r="AY678">
            <v>676</v>
          </cell>
          <cell r="AZ678" t="str">
            <v>netRevenueValue</v>
          </cell>
        </row>
        <row r="679">
          <cell r="AY679">
            <v>677</v>
          </cell>
          <cell r="AZ679" t="str">
            <v>netStableFundingRatioValue</v>
          </cell>
        </row>
        <row r="680">
          <cell r="AY680">
            <v>678</v>
          </cell>
          <cell r="AZ680" t="str">
            <v>nettableProductFlag</v>
          </cell>
        </row>
        <row r="681">
          <cell r="AY681">
            <v>679</v>
          </cell>
          <cell r="AZ681" t="str">
            <v>nettingAgreementId</v>
          </cell>
        </row>
        <row r="682">
          <cell r="AY682">
            <v>680</v>
          </cell>
          <cell r="AZ682" t="str">
            <v>NettingBasketID</v>
          </cell>
        </row>
        <row r="683">
          <cell r="AY683">
            <v>681</v>
          </cell>
          <cell r="AZ683" t="str">
            <v>nettingEligibilityType</v>
          </cell>
        </row>
        <row r="684">
          <cell r="AY684">
            <v>682</v>
          </cell>
          <cell r="AZ684" t="str">
            <v>nettingEnforcementFlag</v>
          </cell>
        </row>
        <row r="685">
          <cell r="AY685">
            <v>683</v>
          </cell>
          <cell r="AZ685" t="str">
            <v>nettingSetId</v>
          </cell>
        </row>
        <row r="686">
          <cell r="AY686">
            <v>684</v>
          </cell>
          <cell r="AZ686" t="str">
            <v>nextExerciseDate</v>
          </cell>
        </row>
        <row r="687">
          <cell r="AY687">
            <v>685</v>
          </cell>
          <cell r="AZ687" t="str">
            <v>NIIatRiskValue</v>
          </cell>
        </row>
        <row r="688">
          <cell r="AY688">
            <v>686</v>
          </cell>
          <cell r="AZ688" t="str">
            <v>NIIatRiskValueCurrency</v>
          </cell>
        </row>
        <row r="689">
          <cell r="AY689">
            <v>687</v>
          </cell>
          <cell r="AZ689" t="str">
            <v>NIIValue</v>
          </cell>
        </row>
        <row r="690">
          <cell r="AY690">
            <v>688</v>
          </cell>
          <cell r="AZ690" t="str">
            <v>NMPLayer</v>
          </cell>
        </row>
        <row r="691">
          <cell r="AY691">
            <v>689</v>
          </cell>
          <cell r="AZ691" t="str">
            <v>NMPReplicationPortfolioId</v>
          </cell>
        </row>
        <row r="692">
          <cell r="AY692">
            <v>690</v>
          </cell>
          <cell r="AZ692" t="str">
            <v>NOGACode</v>
          </cell>
        </row>
        <row r="693">
          <cell r="AY693">
            <v>691</v>
          </cell>
          <cell r="AZ693" t="str">
            <v>nonAccrualDate</v>
          </cell>
        </row>
        <row r="694">
          <cell r="AY694">
            <v>692</v>
          </cell>
          <cell r="AZ694" t="str">
            <v>nonPerformanceIndicator</v>
          </cell>
        </row>
        <row r="695">
          <cell r="AY695">
            <v>693</v>
          </cell>
          <cell r="AZ695" t="str">
            <v>nonRecourseLoanERCvalue</v>
          </cell>
        </row>
        <row r="696">
          <cell r="AY696">
            <v>694</v>
          </cell>
          <cell r="AZ696" t="str">
            <v>nonTradedCreditSpreadERCValue</v>
          </cell>
        </row>
        <row r="697">
          <cell r="AY697">
            <v>695</v>
          </cell>
          <cell r="AZ697" t="str">
            <v>nonTradedCreditSpreadPriceCap</v>
          </cell>
        </row>
        <row r="698">
          <cell r="AY698">
            <v>696</v>
          </cell>
          <cell r="AZ698" t="str">
            <v>normalizedIdentifier</v>
          </cell>
        </row>
        <row r="699">
          <cell r="AY699">
            <v>697</v>
          </cell>
          <cell r="AZ699" t="str">
            <v>notionalCompressFlag</v>
          </cell>
        </row>
        <row r="700">
          <cell r="AY700">
            <v>698</v>
          </cell>
          <cell r="AZ700" t="str">
            <v>notionalExposureValue</v>
          </cell>
        </row>
        <row r="701">
          <cell r="AY701">
            <v>699</v>
          </cell>
          <cell r="AZ701" t="str">
            <v>notionalWeightedMaturityValue</v>
          </cell>
        </row>
        <row r="702">
          <cell r="AY702">
            <v>700</v>
          </cell>
          <cell r="AZ702" t="str">
            <v>NRWFlag</v>
          </cell>
        </row>
        <row r="703">
          <cell r="AY703">
            <v>701</v>
          </cell>
          <cell r="AZ703" t="str">
            <v>NSFRCategoryCode</v>
          </cell>
        </row>
        <row r="704">
          <cell r="AY704">
            <v>702</v>
          </cell>
          <cell r="AZ704" t="str">
            <v>NTCSIndexValue</v>
          </cell>
        </row>
        <row r="705">
          <cell r="AY705">
            <v>703</v>
          </cell>
          <cell r="AZ705" t="str">
            <v>numberOfContract</v>
          </cell>
        </row>
        <row r="706">
          <cell r="AY706">
            <v>704</v>
          </cell>
          <cell r="AZ706" t="str">
            <v>numberOfEmployees</v>
          </cell>
        </row>
        <row r="707">
          <cell r="AY707">
            <v>705</v>
          </cell>
          <cell r="AZ707" t="str">
            <v>OASId</v>
          </cell>
        </row>
        <row r="708">
          <cell r="AY708">
            <v>706</v>
          </cell>
          <cell r="AZ708" t="str">
            <v>objectGroupID</v>
          </cell>
        </row>
        <row r="709">
          <cell r="AY709">
            <v>707</v>
          </cell>
          <cell r="AZ709" t="str">
            <v>objectMainGroupCD</v>
          </cell>
        </row>
        <row r="710">
          <cell r="AY710">
            <v>708</v>
          </cell>
          <cell r="AZ710" t="str">
            <v>objectTypeCd</v>
          </cell>
        </row>
        <row r="711">
          <cell r="AY711">
            <v>709</v>
          </cell>
          <cell r="AZ711" t="str">
            <v>obligationAcceleration</v>
          </cell>
        </row>
        <row r="712">
          <cell r="AY712">
            <v>710</v>
          </cell>
          <cell r="AZ712" t="str">
            <v>obligationCategory</v>
          </cell>
        </row>
        <row r="713">
          <cell r="AY713">
            <v>711</v>
          </cell>
          <cell r="AZ713" t="str">
            <v>obligationDefault</v>
          </cell>
        </row>
        <row r="714">
          <cell r="AY714">
            <v>712</v>
          </cell>
          <cell r="AZ714" t="str">
            <v>obligationType</v>
          </cell>
        </row>
        <row r="715">
          <cell r="AY715">
            <v>713</v>
          </cell>
          <cell r="AZ715" t="str">
            <v>OECDCountryFlag</v>
          </cell>
        </row>
        <row r="716">
          <cell r="AY716">
            <v>714</v>
          </cell>
          <cell r="AZ716" t="str">
            <v>OECode</v>
          </cell>
        </row>
        <row r="717">
          <cell r="AY717">
            <v>715</v>
          </cell>
          <cell r="AZ717" t="str">
            <v>OEFunction</v>
          </cell>
        </row>
        <row r="718">
          <cell r="AY718">
            <v>716</v>
          </cell>
          <cell r="AZ718" t="str">
            <v>offBalanceSheetExposureToFund</v>
          </cell>
        </row>
        <row r="719">
          <cell r="AY719">
            <v>717</v>
          </cell>
          <cell r="AZ719" t="str">
            <v>offsettingKey</v>
          </cell>
        </row>
        <row r="720">
          <cell r="AY720">
            <v>718</v>
          </cell>
          <cell r="AZ720" t="str">
            <v>openTradeEquity</v>
          </cell>
        </row>
        <row r="721">
          <cell r="AY721">
            <v>719</v>
          </cell>
          <cell r="AZ721" t="str">
            <v>operatingExpenseAmount</v>
          </cell>
        </row>
        <row r="722">
          <cell r="AY722">
            <v>720</v>
          </cell>
          <cell r="AZ722" t="str">
            <v>operationalRiskBIARWAValue</v>
          </cell>
        </row>
        <row r="723">
          <cell r="AY723">
            <v>721</v>
          </cell>
          <cell r="AZ723" t="str">
            <v>operationalRiskERCValue</v>
          </cell>
        </row>
        <row r="724">
          <cell r="AY724">
            <v>722</v>
          </cell>
          <cell r="AZ724" t="str">
            <v>opRiskAMARWAValue</v>
          </cell>
        </row>
        <row r="725">
          <cell r="AY725">
            <v>723</v>
          </cell>
          <cell r="AZ725" t="str">
            <v>opRiskBookingAmt</v>
          </cell>
        </row>
        <row r="726">
          <cell r="AY726">
            <v>724</v>
          </cell>
          <cell r="AZ726" t="str">
            <v>opRiskBookingCurrency</v>
          </cell>
        </row>
        <row r="727">
          <cell r="AY727">
            <v>725</v>
          </cell>
          <cell r="AZ727" t="str">
            <v>opRiskBookingDate</v>
          </cell>
        </row>
        <row r="728">
          <cell r="AY728">
            <v>726</v>
          </cell>
          <cell r="AZ728" t="str">
            <v>opRiskBookingType</v>
          </cell>
        </row>
        <row r="729">
          <cell r="AY729">
            <v>727</v>
          </cell>
          <cell r="AZ729" t="str">
            <v>opRiskdivforreporting</v>
          </cell>
        </row>
        <row r="730">
          <cell r="AY730">
            <v>728</v>
          </cell>
          <cell r="AZ730" t="str">
            <v>opRiskIncidentGrossAmount</v>
          </cell>
        </row>
        <row r="731">
          <cell r="AY731">
            <v>729</v>
          </cell>
          <cell r="AZ731" t="str">
            <v>opRiskIncidentId</v>
          </cell>
        </row>
        <row r="732">
          <cell r="AY732">
            <v>730</v>
          </cell>
          <cell r="AZ732" t="str">
            <v>opRiskIncidentInsuranceRecoveriesAmt</v>
          </cell>
        </row>
        <row r="733">
          <cell r="AY733">
            <v>731</v>
          </cell>
          <cell r="AZ733" t="str">
            <v>opRiskIncidentOtherRecoveryAmount</v>
          </cell>
        </row>
        <row r="734">
          <cell r="AY734">
            <v>732</v>
          </cell>
          <cell r="AZ734" t="str">
            <v>opRiskIncidentRelevantLE</v>
          </cell>
        </row>
        <row r="735">
          <cell r="AY735">
            <v>733</v>
          </cell>
          <cell r="AZ735" t="str">
            <v>opRiskIncidentTotalLegalFee</v>
          </cell>
        </row>
        <row r="736">
          <cell r="AY736">
            <v>734</v>
          </cell>
          <cell r="AZ736" t="str">
            <v>opRiskInsuranceCoverageLimit</v>
          </cell>
        </row>
        <row r="737">
          <cell r="AY737">
            <v>735</v>
          </cell>
          <cell r="AZ737" t="str">
            <v>opRiskInsuranceCoverageLimitYearly</v>
          </cell>
        </row>
        <row r="738">
          <cell r="AY738">
            <v>736</v>
          </cell>
          <cell r="AZ738" t="str">
            <v>opRiskInsuranceExcess</v>
          </cell>
        </row>
        <row r="739">
          <cell r="AY739">
            <v>737</v>
          </cell>
          <cell r="AZ739" t="str">
            <v>opRiskInsuranceHairCut</v>
          </cell>
        </row>
        <row r="740">
          <cell r="AY740">
            <v>738</v>
          </cell>
          <cell r="AZ740" t="str">
            <v>opRiskRegisterPrimary</v>
          </cell>
        </row>
        <row r="741">
          <cell r="AY741">
            <v>739</v>
          </cell>
          <cell r="AZ741" t="str">
            <v>opRiskRWAValue</v>
          </cell>
        </row>
        <row r="742">
          <cell r="AY742">
            <v>740</v>
          </cell>
          <cell r="AZ742" t="str">
            <v>opRiskScenarioValue</v>
          </cell>
        </row>
        <row r="743">
          <cell r="AY743">
            <v>741</v>
          </cell>
          <cell r="AZ743" t="str">
            <v>opRiskStressLossProjectionValue</v>
          </cell>
        </row>
        <row r="744">
          <cell r="AY744">
            <v>742</v>
          </cell>
          <cell r="AZ744" t="str">
            <v>opRiskStressRWAValue</v>
          </cell>
        </row>
        <row r="745">
          <cell r="AY745">
            <v>743</v>
          </cell>
          <cell r="AZ745" t="str">
            <v>opRisksubdivforreporting</v>
          </cell>
        </row>
        <row r="746">
          <cell r="AY746">
            <v>744</v>
          </cell>
          <cell r="AZ746" t="str">
            <v>opRiskToleranceLevel</v>
          </cell>
        </row>
        <row r="747">
          <cell r="AY747">
            <v>745</v>
          </cell>
          <cell r="AZ747" t="str">
            <v>optionPrice</v>
          </cell>
        </row>
        <row r="748">
          <cell r="AY748">
            <v>746</v>
          </cell>
          <cell r="AZ748" t="str">
            <v>optionStyle</v>
          </cell>
        </row>
        <row r="749">
          <cell r="AY749">
            <v>747</v>
          </cell>
          <cell r="AZ749" t="str">
            <v>OREDivisionalAllocationRatio</v>
          </cell>
        </row>
        <row r="750">
          <cell r="AY750">
            <v>748</v>
          </cell>
          <cell r="AZ750" t="str">
            <v>originationDate</v>
          </cell>
        </row>
        <row r="751">
          <cell r="AY751">
            <v>749</v>
          </cell>
          <cell r="AZ751" t="str">
            <v>ORXBusinessLineL1</v>
          </cell>
        </row>
        <row r="752">
          <cell r="AY752">
            <v>750</v>
          </cell>
          <cell r="AZ752" t="str">
            <v>ORXCountry</v>
          </cell>
        </row>
        <row r="753">
          <cell r="AY753">
            <v>751</v>
          </cell>
          <cell r="AZ753" t="str">
            <v>ORXMemberFlag</v>
          </cell>
        </row>
        <row r="754">
          <cell r="AY754">
            <v>752</v>
          </cell>
          <cell r="AZ754" t="str">
            <v>ORXProductTypeL2Code</v>
          </cell>
        </row>
        <row r="755">
          <cell r="AY755">
            <v>753</v>
          </cell>
          <cell r="AZ755" t="str">
            <v>otherDefaultLossAmount</v>
          </cell>
        </row>
        <row r="756">
          <cell r="AY756">
            <v>754</v>
          </cell>
          <cell r="AZ756" t="str">
            <v>outstandingExpiryCount</v>
          </cell>
        </row>
        <row r="757">
          <cell r="AY757">
            <v>755</v>
          </cell>
          <cell r="AZ757" t="str">
            <v>overdraftAmount</v>
          </cell>
        </row>
        <row r="758">
          <cell r="AY758">
            <v>756</v>
          </cell>
          <cell r="AZ758" t="str">
            <v>overlayBaseline</v>
          </cell>
        </row>
        <row r="759">
          <cell r="AY759">
            <v>757</v>
          </cell>
          <cell r="AZ759" t="str">
            <v>overlayScenarios</v>
          </cell>
        </row>
        <row r="760">
          <cell r="AY760">
            <v>758</v>
          </cell>
          <cell r="AZ760" t="str">
            <v>overlayvalue</v>
          </cell>
        </row>
        <row r="761">
          <cell r="AY761">
            <v>759</v>
          </cell>
          <cell r="AZ761" t="str">
            <v>ownedRealEstateERCValue</v>
          </cell>
        </row>
        <row r="762">
          <cell r="AY762">
            <v>760</v>
          </cell>
          <cell r="AZ762" t="str">
            <v>ownEstimateHaircutRate</v>
          </cell>
        </row>
        <row r="763">
          <cell r="AY763">
            <v>761</v>
          </cell>
          <cell r="AZ763" t="str">
            <v>parentCreditNumber</v>
          </cell>
        </row>
        <row r="764">
          <cell r="AY764">
            <v>762</v>
          </cell>
          <cell r="AZ764" t="str">
            <v>parentId</v>
          </cell>
        </row>
        <row r="765">
          <cell r="AY765">
            <v>763</v>
          </cell>
          <cell r="AZ765" t="str">
            <v>parentTrancheId</v>
          </cell>
        </row>
        <row r="766">
          <cell r="AY766">
            <v>764</v>
          </cell>
          <cell r="AZ766" t="str">
            <v>partnerID</v>
          </cell>
        </row>
        <row r="767">
          <cell r="AY767">
            <v>765</v>
          </cell>
          <cell r="AZ767" t="str">
            <v>paymentAmount</v>
          </cell>
        </row>
        <row r="768">
          <cell r="AY768">
            <v>766</v>
          </cell>
          <cell r="AZ768" t="str">
            <v>paymentCurrency</v>
          </cell>
        </row>
        <row r="769">
          <cell r="AY769">
            <v>767</v>
          </cell>
          <cell r="AZ769" t="str">
            <v>paymentDate</v>
          </cell>
        </row>
        <row r="770">
          <cell r="AY770">
            <v>768</v>
          </cell>
          <cell r="AZ770" t="str">
            <v>paymentToSupplier</v>
          </cell>
        </row>
        <row r="771">
          <cell r="AY771">
            <v>769</v>
          </cell>
          <cell r="AZ771" t="str">
            <v>payOrReceiveIndicator</v>
          </cell>
        </row>
        <row r="772">
          <cell r="AY772">
            <v>770</v>
          </cell>
          <cell r="AZ772" t="str">
            <v>payOutAmount</v>
          </cell>
        </row>
        <row r="773">
          <cell r="AY773">
            <v>771</v>
          </cell>
          <cell r="AZ773" t="str">
            <v>PCAType</v>
          </cell>
        </row>
        <row r="774">
          <cell r="AY774">
            <v>772</v>
          </cell>
          <cell r="AZ774" t="str">
            <v>PCContingentDealSuccessProb</v>
          </cell>
        </row>
        <row r="775">
          <cell r="AY775">
            <v>773</v>
          </cell>
          <cell r="AZ775" t="str">
            <v>PDLGDCorrelationParameters</v>
          </cell>
        </row>
        <row r="776">
          <cell r="AY776">
            <v>774</v>
          </cell>
          <cell r="AZ776" t="str">
            <v>PEIlliquidInvERCValue</v>
          </cell>
        </row>
        <row r="777">
          <cell r="AY777">
            <v>775</v>
          </cell>
          <cell r="AZ777" t="str">
            <v>pensionAllocationKey</v>
          </cell>
        </row>
        <row r="778">
          <cell r="AY778">
            <v>776</v>
          </cell>
          <cell r="AZ778" t="str">
            <v>pensionAssetClass</v>
          </cell>
        </row>
        <row r="779">
          <cell r="AY779">
            <v>777</v>
          </cell>
          <cell r="AZ779" t="str">
            <v>pensionAssetValue</v>
          </cell>
        </row>
        <row r="780">
          <cell r="AY780">
            <v>778</v>
          </cell>
          <cell r="AZ780" t="str">
            <v>pensionEquityFloor</v>
          </cell>
        </row>
        <row r="781">
          <cell r="AY781">
            <v>779</v>
          </cell>
          <cell r="AZ781" t="str">
            <v>pensionPlanMarketValue</v>
          </cell>
        </row>
        <row r="782">
          <cell r="AY782">
            <v>780</v>
          </cell>
          <cell r="AZ782" t="str">
            <v>pensionRiskERCValue</v>
          </cell>
        </row>
        <row r="783">
          <cell r="AY783">
            <v>781</v>
          </cell>
          <cell r="AZ783" t="str">
            <v>pensionRiskRefDate</v>
          </cell>
        </row>
        <row r="784">
          <cell r="AY784">
            <v>782</v>
          </cell>
          <cell r="AZ784" t="str">
            <v>penultimatePayDate</v>
          </cell>
        </row>
        <row r="785">
          <cell r="AY785">
            <v>783</v>
          </cell>
          <cell r="AZ785" t="str">
            <v>percentageOfDelinquency</v>
          </cell>
        </row>
        <row r="786">
          <cell r="AY786">
            <v>784</v>
          </cell>
          <cell r="AZ786" t="str">
            <v>percentageOfPrudency</v>
          </cell>
        </row>
        <row r="787">
          <cell r="AY787">
            <v>785</v>
          </cell>
          <cell r="AZ787" t="str">
            <v>percentageOfVotingRights</v>
          </cell>
        </row>
        <row r="788">
          <cell r="AY788">
            <v>786</v>
          </cell>
          <cell r="AZ788" t="str">
            <v>percentageOwnHoldings</v>
          </cell>
        </row>
        <row r="789">
          <cell r="AY789">
            <v>787</v>
          </cell>
          <cell r="AZ789" t="str">
            <v>performanceAdjustment</v>
          </cell>
        </row>
        <row r="790">
          <cell r="AY790">
            <v>788</v>
          </cell>
          <cell r="AZ790" t="str">
            <v>performanceCriteriaFlag</v>
          </cell>
        </row>
        <row r="791">
          <cell r="AY791">
            <v>789</v>
          </cell>
          <cell r="AZ791" t="str">
            <v>permHeadCount</v>
          </cell>
        </row>
        <row r="792">
          <cell r="AY792">
            <v>790</v>
          </cell>
          <cell r="AZ792" t="str">
            <v>personnelExpenses</v>
          </cell>
        </row>
        <row r="793">
          <cell r="AY793">
            <v>791</v>
          </cell>
          <cell r="AZ793" t="str">
            <v>PEValue</v>
          </cell>
        </row>
        <row r="794">
          <cell r="AY794">
            <v>792</v>
          </cell>
          <cell r="AZ794" t="str">
            <v>pledgeEnforceableFlag</v>
          </cell>
        </row>
        <row r="795">
          <cell r="AY795">
            <v>793</v>
          </cell>
          <cell r="AZ795" t="str">
            <v>pledgeFlag</v>
          </cell>
        </row>
        <row r="796">
          <cell r="AY796">
            <v>794</v>
          </cell>
          <cell r="AZ796" t="str">
            <v>PMGIndustry</v>
          </cell>
        </row>
        <row r="797">
          <cell r="AY797">
            <v>795</v>
          </cell>
          <cell r="AZ797" t="str">
            <v>PnLCostStructureNotes</v>
          </cell>
        </row>
        <row r="798">
          <cell r="AY798">
            <v>796</v>
          </cell>
          <cell r="AZ798" t="str">
            <v>poolTypeCode</v>
          </cell>
        </row>
        <row r="799">
          <cell r="AY799">
            <v>797</v>
          </cell>
          <cell r="AZ799" t="str">
            <v>portfolioRiskClassification</v>
          </cell>
        </row>
        <row r="800">
          <cell r="AY800">
            <v>798</v>
          </cell>
          <cell r="AZ800" t="str">
            <v>positionCurrency</v>
          </cell>
        </row>
        <row r="801">
          <cell r="AY801">
            <v>799</v>
          </cell>
          <cell r="AZ801" t="str">
            <v>positionNettingFlag</v>
          </cell>
        </row>
        <row r="802">
          <cell r="AY802">
            <v>800</v>
          </cell>
          <cell r="AZ802" t="str">
            <v>positionRiskAllocated</v>
          </cell>
        </row>
        <row r="803">
          <cell r="AY803">
            <v>801</v>
          </cell>
          <cell r="AZ803" t="str">
            <v>positionRiskERCValue</v>
          </cell>
        </row>
        <row r="804">
          <cell r="AY804">
            <v>802</v>
          </cell>
          <cell r="AZ804" t="str">
            <v>positionRiskStandAlone</v>
          </cell>
        </row>
        <row r="805">
          <cell r="AY805">
            <v>803</v>
          </cell>
          <cell r="AZ805" t="str">
            <v>positionType</v>
          </cell>
        </row>
        <row r="806">
          <cell r="AY806">
            <v>804</v>
          </cell>
          <cell r="AZ806" t="str">
            <v>postHairCutCollateralValue</v>
          </cell>
        </row>
        <row r="807">
          <cell r="AY807">
            <v>805</v>
          </cell>
          <cell r="AZ807" t="str">
            <v>postingAmount</v>
          </cell>
        </row>
        <row r="808">
          <cell r="AY808">
            <v>806</v>
          </cell>
          <cell r="AZ808" t="str">
            <v>postingCurrency</v>
          </cell>
        </row>
        <row r="809">
          <cell r="AY809">
            <v>807</v>
          </cell>
          <cell r="AZ809" t="str">
            <v>preCollateralisedExposureValue</v>
          </cell>
        </row>
        <row r="810">
          <cell r="AY810">
            <v>808</v>
          </cell>
          <cell r="AZ810" t="str">
            <v>preferredStockIndicator</v>
          </cell>
        </row>
        <row r="811">
          <cell r="AY811">
            <v>809</v>
          </cell>
          <cell r="AZ811" t="str">
            <v>premiumExchangeCount</v>
          </cell>
        </row>
        <row r="812">
          <cell r="AY812">
            <v>810</v>
          </cell>
          <cell r="AZ812" t="str">
            <v>premiumIndicator</v>
          </cell>
        </row>
        <row r="813">
          <cell r="AY813">
            <v>811</v>
          </cell>
          <cell r="AZ813" t="str">
            <v>preNetEADAmount</v>
          </cell>
        </row>
        <row r="814">
          <cell r="AY814">
            <v>812</v>
          </cell>
          <cell r="AZ814" t="str">
            <v>presentValue</v>
          </cell>
        </row>
        <row r="815">
          <cell r="AY815">
            <v>813</v>
          </cell>
          <cell r="AZ815" t="str">
            <v>presentValueCurrency</v>
          </cell>
        </row>
        <row r="816">
          <cell r="AY816">
            <v>814</v>
          </cell>
          <cell r="AZ816" t="str">
            <v>priceBand</v>
          </cell>
        </row>
        <row r="817">
          <cell r="AY817">
            <v>815</v>
          </cell>
          <cell r="AZ817" t="str">
            <v>priceOfUnderlying</v>
          </cell>
        </row>
        <row r="818">
          <cell r="AY818">
            <v>816</v>
          </cell>
          <cell r="AZ818" t="str">
            <v>pricingMethod</v>
          </cell>
        </row>
        <row r="819">
          <cell r="AY819">
            <v>817</v>
          </cell>
          <cell r="AZ819" t="str">
            <v>primaryLLK</v>
          </cell>
        </row>
        <row r="820">
          <cell r="AY820">
            <v>818</v>
          </cell>
          <cell r="AZ820" t="str">
            <v>primaryLLKStatus</v>
          </cell>
        </row>
        <row r="821">
          <cell r="AY821">
            <v>819</v>
          </cell>
          <cell r="AZ821" t="str">
            <v>primarySecurityType</v>
          </cell>
        </row>
        <row r="822">
          <cell r="AY822">
            <v>820</v>
          </cell>
          <cell r="AZ822" t="str">
            <v>principalAmount</v>
          </cell>
        </row>
        <row r="823">
          <cell r="AY823">
            <v>821</v>
          </cell>
          <cell r="AZ823" t="str">
            <v>privateLabelCMBSERCValue</v>
          </cell>
        </row>
        <row r="824">
          <cell r="AY824">
            <v>822</v>
          </cell>
          <cell r="AZ824" t="str">
            <v>privateLabelRMBSERCValue</v>
          </cell>
        </row>
        <row r="825">
          <cell r="AY825">
            <v>823</v>
          </cell>
          <cell r="AZ825" t="str">
            <v>probabilityOfDefaultValue</v>
          </cell>
        </row>
        <row r="826">
          <cell r="AY826">
            <v>824</v>
          </cell>
          <cell r="AZ826" t="str">
            <v>productClassificationCode</v>
          </cell>
        </row>
        <row r="827">
          <cell r="AY827">
            <v>825</v>
          </cell>
          <cell r="AZ827" t="str">
            <v>productFileTypeCode</v>
          </cell>
        </row>
        <row r="828">
          <cell r="AY828">
            <v>826</v>
          </cell>
          <cell r="AZ828" t="str">
            <v>productHierarchyLevel1</v>
          </cell>
        </row>
        <row r="829">
          <cell r="AY829">
            <v>827</v>
          </cell>
          <cell r="AZ829" t="str">
            <v>productHierarchyLevel2</v>
          </cell>
        </row>
        <row r="830">
          <cell r="AY830">
            <v>828</v>
          </cell>
          <cell r="AZ830" t="str">
            <v>productHierarchyLevel3</v>
          </cell>
        </row>
        <row r="831">
          <cell r="AY831">
            <v>829</v>
          </cell>
          <cell r="AZ831" t="str">
            <v>productID</v>
          </cell>
        </row>
        <row r="832">
          <cell r="AY832">
            <v>830</v>
          </cell>
          <cell r="AZ832" t="str">
            <v>productName</v>
          </cell>
        </row>
        <row r="833">
          <cell r="AY833">
            <v>831</v>
          </cell>
          <cell r="AZ833" t="str">
            <v>productUnderlyingExchangeId</v>
          </cell>
        </row>
        <row r="834">
          <cell r="AY834">
            <v>832</v>
          </cell>
          <cell r="AZ834" t="str">
            <v>projectedCashAwardExpense</v>
          </cell>
        </row>
        <row r="835">
          <cell r="AY835">
            <v>833</v>
          </cell>
          <cell r="AZ835" t="str">
            <v>ProjectedCashVariablePayIPB</v>
          </cell>
        </row>
        <row r="836">
          <cell r="AY836">
            <v>834</v>
          </cell>
          <cell r="AZ836" t="str">
            <v>projectedDeferredAwardExpense</v>
          </cell>
        </row>
        <row r="837">
          <cell r="AY837">
            <v>835</v>
          </cell>
          <cell r="AZ837" t="str">
            <v>projectedFeeAmount</v>
          </cell>
        </row>
        <row r="838">
          <cell r="AY838">
            <v>836</v>
          </cell>
          <cell r="AZ838" t="str">
            <v>ProjectedLeverageExposure</v>
          </cell>
        </row>
        <row r="839">
          <cell r="AY839">
            <v>837</v>
          </cell>
          <cell r="AZ839" t="str">
            <v>projectedLeverageExposureValue</v>
          </cell>
        </row>
        <row r="840">
          <cell r="AY840">
            <v>838</v>
          </cell>
          <cell r="AZ840" t="str">
            <v>ProjectedOperationalRiskExpense</v>
          </cell>
        </row>
        <row r="841">
          <cell r="AY841">
            <v>839</v>
          </cell>
          <cell r="AZ841" t="str">
            <v>projectedPreAdjustedPreTaxIncome</v>
          </cell>
        </row>
        <row r="842">
          <cell r="AY842">
            <v>840</v>
          </cell>
          <cell r="AZ842" t="str">
            <v>projectedPreTaxIncome</v>
          </cell>
        </row>
        <row r="843">
          <cell r="AY843">
            <v>841</v>
          </cell>
          <cell r="AZ843" t="str">
            <v>projectedRWAValue</v>
          </cell>
        </row>
        <row r="844">
          <cell r="AY844">
            <v>842</v>
          </cell>
          <cell r="AZ844" t="str">
            <v>projectedStressedLeverageExposureValue</v>
          </cell>
        </row>
        <row r="845">
          <cell r="AY845">
            <v>843</v>
          </cell>
          <cell r="AZ845" t="str">
            <v>projectedStressedRWAValue</v>
          </cell>
        </row>
        <row r="846">
          <cell r="AY846">
            <v>844</v>
          </cell>
          <cell r="AZ846" t="str">
            <v>projectedStressedShareholderEquity</v>
          </cell>
        </row>
        <row r="847">
          <cell r="AY847">
            <v>845</v>
          </cell>
          <cell r="AZ847" t="str">
            <v>projectedTotalNetInterestIncome</v>
          </cell>
        </row>
        <row r="848">
          <cell r="AY848">
            <v>846</v>
          </cell>
          <cell r="AZ848" t="str">
            <v>projectedTotalNonInterestExpense</v>
          </cell>
        </row>
        <row r="849">
          <cell r="AY849">
            <v>847</v>
          </cell>
          <cell r="AZ849" t="str">
            <v>ProjectedTotalNonInterestIncome</v>
          </cell>
        </row>
        <row r="850">
          <cell r="AY850">
            <v>848</v>
          </cell>
          <cell r="AZ850" t="str">
            <v>projectionPeriod</v>
          </cell>
        </row>
        <row r="851">
          <cell r="AY851">
            <v>849</v>
          </cell>
          <cell r="AZ851" t="str">
            <v>projectionStartQuarter</v>
          </cell>
        </row>
        <row r="852">
          <cell r="AY852">
            <v>850</v>
          </cell>
          <cell r="AZ852" t="str">
            <v>propertyConstructionQualityStandardCode</v>
          </cell>
        </row>
        <row r="853">
          <cell r="AY853">
            <v>851</v>
          </cell>
          <cell r="AZ853" t="str">
            <v>propertyCurrentValue</v>
          </cell>
        </row>
        <row r="854">
          <cell r="AY854">
            <v>852</v>
          </cell>
          <cell r="AZ854" t="str">
            <v>propertyIndexName</v>
          </cell>
        </row>
        <row r="855">
          <cell r="AY855">
            <v>853</v>
          </cell>
          <cell r="AZ855" t="str">
            <v>propertyType</v>
          </cell>
        </row>
        <row r="856">
          <cell r="AY856">
            <v>854</v>
          </cell>
          <cell r="AZ856" t="str">
            <v>propertyUsedByCode</v>
          </cell>
        </row>
        <row r="857">
          <cell r="AY857">
            <v>855</v>
          </cell>
          <cell r="AZ857" t="str">
            <v>proRataKey</v>
          </cell>
        </row>
        <row r="858">
          <cell r="AY858">
            <v>856</v>
          </cell>
          <cell r="AZ858" t="str">
            <v>prprtyTrancheFromPct</v>
          </cell>
        </row>
        <row r="859">
          <cell r="AY859">
            <v>857</v>
          </cell>
          <cell r="AZ859" t="str">
            <v>prprtyTrancheToPct</v>
          </cell>
        </row>
        <row r="860">
          <cell r="AY860">
            <v>858</v>
          </cell>
          <cell r="AZ860" t="str">
            <v>pruValAVAValue</v>
          </cell>
        </row>
        <row r="861">
          <cell r="AY861">
            <v>859</v>
          </cell>
          <cell r="AZ861" t="str">
            <v>pruValueAdjustmentValue</v>
          </cell>
        </row>
        <row r="862">
          <cell r="AY862">
            <v>860</v>
          </cell>
          <cell r="AZ862" t="str">
            <v>PSAClawback</v>
          </cell>
        </row>
        <row r="863">
          <cell r="AY863">
            <v>861</v>
          </cell>
          <cell r="AZ863" t="str">
            <v>publiclyTradedSecurity</v>
          </cell>
        </row>
        <row r="864">
          <cell r="AY864">
            <v>862</v>
          </cell>
          <cell r="AZ864" t="str">
            <v>putableFlag</v>
          </cell>
        </row>
        <row r="865">
          <cell r="AY865">
            <v>863</v>
          </cell>
          <cell r="AZ865" t="str">
            <v>quantity</v>
          </cell>
        </row>
        <row r="866">
          <cell r="AY866">
            <v>864</v>
          </cell>
          <cell r="AZ866" t="str">
            <v>ratingModelID</v>
          </cell>
        </row>
        <row r="867">
          <cell r="AY867">
            <v>865</v>
          </cell>
          <cell r="AZ867" t="str">
            <v>ratingOverrideCategoryCd</v>
          </cell>
        </row>
        <row r="868">
          <cell r="AY868">
            <v>866</v>
          </cell>
          <cell r="AZ868" t="str">
            <v>ratingsBasedRiskWeightValue</v>
          </cell>
        </row>
        <row r="869">
          <cell r="AY869">
            <v>867</v>
          </cell>
          <cell r="AZ869" t="str">
            <v>ratioActiveRetired</v>
          </cell>
        </row>
        <row r="870">
          <cell r="AY870">
            <v>868</v>
          </cell>
          <cell r="AZ870" t="str">
            <v>realEstateDebtSecuritiesERCValue</v>
          </cell>
        </row>
        <row r="871">
          <cell r="AY871">
            <v>869</v>
          </cell>
          <cell r="AZ871" t="str">
            <v>realEstateUtilizationRate</v>
          </cell>
        </row>
        <row r="872">
          <cell r="AY872">
            <v>870</v>
          </cell>
          <cell r="AZ872" t="str">
            <v>realMarketValue</v>
          </cell>
        </row>
        <row r="873">
          <cell r="AY873">
            <v>871</v>
          </cell>
          <cell r="AZ873" t="str">
            <v>reasonablyPossibleLossAmount</v>
          </cell>
        </row>
        <row r="874">
          <cell r="AY874">
            <v>872</v>
          </cell>
          <cell r="AZ874" t="str">
            <v>rebalancedcollateralvalue</v>
          </cell>
        </row>
        <row r="875">
          <cell r="AY875">
            <v>873</v>
          </cell>
          <cell r="AZ875" t="str">
            <v>receiveCurrency</v>
          </cell>
        </row>
        <row r="876">
          <cell r="AY876">
            <v>874</v>
          </cell>
          <cell r="AZ876" t="str">
            <v>recourseLikeliness</v>
          </cell>
        </row>
        <row r="877">
          <cell r="AY877">
            <v>875</v>
          </cell>
          <cell r="AZ877" t="str">
            <v>recoveryRate</v>
          </cell>
        </row>
        <row r="878">
          <cell r="AY878">
            <v>876</v>
          </cell>
          <cell r="AZ878" t="str">
            <v>recoveryRiskCategory</v>
          </cell>
        </row>
        <row r="879">
          <cell r="AY879">
            <v>877</v>
          </cell>
          <cell r="AZ879" t="str">
            <v>recoveryType</v>
          </cell>
        </row>
        <row r="880">
          <cell r="AY880">
            <v>878</v>
          </cell>
          <cell r="AZ880" t="str">
            <v>recutVersion</v>
          </cell>
        </row>
        <row r="881">
          <cell r="AY881">
            <v>879</v>
          </cell>
          <cell r="AZ881" t="str">
            <v>referenceEntityId</v>
          </cell>
        </row>
        <row r="882">
          <cell r="AY882">
            <v>880</v>
          </cell>
          <cell r="AZ882" t="str">
            <v>referencePrice</v>
          </cell>
        </row>
        <row r="883">
          <cell r="AY883">
            <v>881</v>
          </cell>
          <cell r="AZ883" t="str">
            <v>referenceSource</v>
          </cell>
        </row>
        <row r="884">
          <cell r="AY884">
            <v>882</v>
          </cell>
          <cell r="AZ884" t="str">
            <v>region</v>
          </cell>
        </row>
        <row r="885">
          <cell r="AY885">
            <v>883</v>
          </cell>
          <cell r="AZ885" t="str">
            <v>regionCode</v>
          </cell>
        </row>
        <row r="886">
          <cell r="AY886">
            <v>884</v>
          </cell>
          <cell r="AZ886" t="str">
            <v>regionCodeForLossGivenDefault</v>
          </cell>
        </row>
        <row r="887">
          <cell r="AY887">
            <v>885</v>
          </cell>
          <cell r="AZ887" t="str">
            <v>regionOfRisk</v>
          </cell>
        </row>
        <row r="888">
          <cell r="AY888">
            <v>886</v>
          </cell>
          <cell r="AZ888" t="str">
            <v>regularWayForwardSettlementId</v>
          </cell>
        </row>
        <row r="889">
          <cell r="AY889">
            <v>887</v>
          </cell>
          <cell r="AZ889" t="str">
            <v>regulatedFlag</v>
          </cell>
        </row>
        <row r="890">
          <cell r="AY890">
            <v>888</v>
          </cell>
          <cell r="AZ890" t="str">
            <v>regulatorIndicator</v>
          </cell>
        </row>
        <row r="891">
          <cell r="AY891">
            <v>889</v>
          </cell>
          <cell r="AZ891" t="str">
            <v>regulatoryNotionalValue</v>
          </cell>
        </row>
        <row r="892">
          <cell r="AY892">
            <v>890</v>
          </cell>
          <cell r="AZ892" t="str">
            <v>regulatoryRNiVRWAValue</v>
          </cell>
        </row>
        <row r="893">
          <cell r="AY893">
            <v>891</v>
          </cell>
          <cell r="AZ893" t="str">
            <v>regulatoryScope</v>
          </cell>
        </row>
        <row r="894">
          <cell r="AY894">
            <v>892</v>
          </cell>
          <cell r="AZ894" t="str">
            <v>regulatorySettlementFlag</v>
          </cell>
        </row>
        <row r="895">
          <cell r="AY895">
            <v>893</v>
          </cell>
          <cell r="AZ895" t="str">
            <v>regulatoryVaRRWAValue</v>
          </cell>
        </row>
        <row r="896">
          <cell r="AY896">
            <v>894</v>
          </cell>
          <cell r="AZ896" t="str">
            <v>rehypothecationFlag</v>
          </cell>
        </row>
        <row r="897">
          <cell r="AY897">
            <v>895</v>
          </cell>
          <cell r="AZ897" t="str">
            <v>relatednessFlag</v>
          </cell>
        </row>
        <row r="898">
          <cell r="AY898">
            <v>896</v>
          </cell>
          <cell r="AZ898" t="str">
            <v>relationshipManagerId</v>
          </cell>
        </row>
        <row r="899">
          <cell r="AY899">
            <v>897</v>
          </cell>
          <cell r="AZ899" t="str">
            <v>relevantIssueSize</v>
          </cell>
        </row>
        <row r="900">
          <cell r="AY900">
            <v>898</v>
          </cell>
          <cell r="AZ900" t="str">
            <v>replacementCostValue</v>
          </cell>
        </row>
        <row r="901">
          <cell r="AY901">
            <v>899</v>
          </cell>
          <cell r="AZ901" t="str">
            <v>repoHedgeBookFlag</v>
          </cell>
        </row>
        <row r="902">
          <cell r="AY902">
            <v>900</v>
          </cell>
          <cell r="AZ902" t="str">
            <v>reportingAccount</v>
          </cell>
        </row>
        <row r="903">
          <cell r="AY903">
            <v>901</v>
          </cell>
          <cell r="AZ903" t="str">
            <v>reportingCurrencyCode</v>
          </cell>
        </row>
        <row r="904">
          <cell r="AY904">
            <v>902</v>
          </cell>
          <cell r="AZ904" t="str">
            <v>reportingDate</v>
          </cell>
        </row>
        <row r="905">
          <cell r="AY905">
            <v>903</v>
          </cell>
          <cell r="AZ905" t="str">
            <v>reportTypeIndicator</v>
          </cell>
        </row>
        <row r="906">
          <cell r="AY906">
            <v>904</v>
          </cell>
          <cell r="AZ906" t="str">
            <v>repoSecurityValue</v>
          </cell>
        </row>
        <row r="907">
          <cell r="AY907">
            <v>905</v>
          </cell>
          <cell r="AZ907" t="str">
            <v>repoStyleIndicator</v>
          </cell>
        </row>
        <row r="908">
          <cell r="AY908">
            <v>906</v>
          </cell>
          <cell r="AZ908" t="str">
            <v>repudiationMoratorium</v>
          </cell>
        </row>
        <row r="909">
          <cell r="AY909">
            <v>907</v>
          </cell>
          <cell r="AZ909" t="str">
            <v>requiredStableFundingCategory</v>
          </cell>
        </row>
        <row r="910">
          <cell r="AY910">
            <v>908</v>
          </cell>
          <cell r="AZ910" t="str">
            <v>resecuritizationFlag</v>
          </cell>
        </row>
        <row r="911">
          <cell r="AY911">
            <v>909</v>
          </cell>
          <cell r="AZ911" t="str">
            <v>resecuritizationSecurityFlag</v>
          </cell>
        </row>
        <row r="912">
          <cell r="AY912">
            <v>910</v>
          </cell>
          <cell r="AZ912" t="str">
            <v>reserveAcc</v>
          </cell>
        </row>
        <row r="913">
          <cell r="AY913">
            <v>911</v>
          </cell>
          <cell r="AZ913" t="str">
            <v>resetFrequency</v>
          </cell>
        </row>
        <row r="914">
          <cell r="AY914">
            <v>912</v>
          </cell>
          <cell r="AZ914" t="str">
            <v>residentialLoanERCvalue</v>
          </cell>
        </row>
        <row r="915">
          <cell r="AY915">
            <v>913</v>
          </cell>
          <cell r="AZ915" t="str">
            <v>residentialRealEstateERCValue</v>
          </cell>
        </row>
        <row r="916">
          <cell r="AY916">
            <v>914</v>
          </cell>
          <cell r="AZ916" t="str">
            <v>residualExclVAT</v>
          </cell>
        </row>
        <row r="917">
          <cell r="AY917">
            <v>915</v>
          </cell>
          <cell r="AZ917" t="str">
            <v>residualInt</v>
          </cell>
        </row>
        <row r="918">
          <cell r="AY918">
            <v>916</v>
          </cell>
          <cell r="AZ918" t="str">
            <v>restrictedControlFlag</v>
          </cell>
        </row>
        <row r="919">
          <cell r="AY919">
            <v>917</v>
          </cell>
          <cell r="AZ919" t="str">
            <v>restructuringFlag</v>
          </cell>
        </row>
        <row r="920">
          <cell r="AY920">
            <v>918</v>
          </cell>
          <cell r="AZ920" t="str">
            <v>restructuringLanguage</v>
          </cell>
        </row>
        <row r="921">
          <cell r="AY921">
            <v>919</v>
          </cell>
          <cell r="AZ921" t="str">
            <v>revenueAmount</v>
          </cell>
        </row>
        <row r="922">
          <cell r="AY922">
            <v>920</v>
          </cell>
          <cell r="AZ922" t="str">
            <v>riskFactors</v>
          </cell>
        </row>
        <row r="923">
          <cell r="AY923">
            <v>921</v>
          </cell>
          <cell r="AZ923" t="str">
            <v>riskPortfolioId</v>
          </cell>
        </row>
        <row r="924">
          <cell r="AY924">
            <v>922</v>
          </cell>
          <cell r="AZ924" t="str">
            <v>riskType</v>
          </cell>
        </row>
        <row r="925">
          <cell r="AY925">
            <v>923</v>
          </cell>
          <cell r="AZ925" t="str">
            <v>riskValue</v>
          </cell>
        </row>
        <row r="926">
          <cell r="AY926">
            <v>924</v>
          </cell>
          <cell r="AZ926" t="str">
            <v>riskValueCcy</v>
          </cell>
        </row>
        <row r="927">
          <cell r="AY927">
            <v>925</v>
          </cell>
          <cell r="AZ927" t="str">
            <v>riskyDV01</v>
          </cell>
        </row>
        <row r="928">
          <cell r="AY928">
            <v>926</v>
          </cell>
          <cell r="AZ928" t="str">
            <v>RMMRecoveryRate</v>
          </cell>
        </row>
        <row r="929">
          <cell r="AY929">
            <v>927</v>
          </cell>
          <cell r="AZ929" t="str">
            <v>RNIERCRiskType</v>
          </cell>
        </row>
        <row r="930">
          <cell r="AY930">
            <v>928</v>
          </cell>
          <cell r="AZ930" t="str">
            <v>RNIERCValue</v>
          </cell>
        </row>
        <row r="931">
          <cell r="AY931">
            <v>929</v>
          </cell>
          <cell r="AZ931" t="str">
            <v>RNIVModelId</v>
          </cell>
        </row>
        <row r="932">
          <cell r="AY932">
            <v>930</v>
          </cell>
          <cell r="AZ932" t="str">
            <v>RNIVModelVersion</v>
          </cell>
        </row>
        <row r="933">
          <cell r="AY933">
            <v>931</v>
          </cell>
          <cell r="AZ933" t="str">
            <v>RNIVUplift</v>
          </cell>
        </row>
        <row r="934">
          <cell r="AY934">
            <v>932</v>
          </cell>
          <cell r="AZ934" t="str">
            <v>RNIVValue</v>
          </cell>
        </row>
        <row r="935">
          <cell r="AY935">
            <v>933</v>
          </cell>
          <cell r="AZ935" t="str">
            <v>RNIVValueCurrency</v>
          </cell>
        </row>
        <row r="936">
          <cell r="AY936">
            <v>934</v>
          </cell>
          <cell r="AZ936" t="str">
            <v>roleCode</v>
          </cell>
        </row>
        <row r="937">
          <cell r="AY937">
            <v>935</v>
          </cell>
          <cell r="AZ937" t="str">
            <v>RWAAssetClass</v>
          </cell>
        </row>
        <row r="938">
          <cell r="AY938">
            <v>936</v>
          </cell>
          <cell r="AZ938" t="str">
            <v>RWAExposureCategory</v>
          </cell>
        </row>
        <row r="939">
          <cell r="AY939">
            <v>937</v>
          </cell>
          <cell r="AZ939" t="str">
            <v>RWAExposureSubCategory</v>
          </cell>
        </row>
        <row r="940">
          <cell r="AY940">
            <v>938</v>
          </cell>
          <cell r="AZ940" t="str">
            <v>RWAMaturityDays</v>
          </cell>
        </row>
        <row r="941">
          <cell r="AY941">
            <v>939</v>
          </cell>
          <cell r="AZ941" t="str">
            <v>RWAReliefFlag</v>
          </cell>
        </row>
        <row r="942">
          <cell r="AY942">
            <v>940</v>
          </cell>
          <cell r="AZ942" t="str">
            <v>RWARiskWeightMethodology</v>
          </cell>
        </row>
        <row r="943">
          <cell r="AY943">
            <v>941</v>
          </cell>
          <cell r="AZ943" t="str">
            <v>RWAUplift</v>
          </cell>
        </row>
        <row r="944">
          <cell r="AY944">
            <v>942</v>
          </cell>
          <cell r="AZ944" t="str">
            <v>RWAValue</v>
          </cell>
        </row>
        <row r="945">
          <cell r="AY945">
            <v>943</v>
          </cell>
          <cell r="AZ945" t="str">
            <v>RWAWeightedAverageLifeDate</v>
          </cell>
        </row>
        <row r="946">
          <cell r="AY946">
            <v>944</v>
          </cell>
          <cell r="AZ946" t="str">
            <v>SACCRAddonValue</v>
          </cell>
        </row>
        <row r="947">
          <cell r="AY947">
            <v>945</v>
          </cell>
          <cell r="AZ947" t="str">
            <v>saccrAssetClass</v>
          </cell>
        </row>
        <row r="948">
          <cell r="AY948">
            <v>946</v>
          </cell>
          <cell r="AZ948" t="str">
            <v>SACCRCorrelationFactor</v>
          </cell>
        </row>
        <row r="949">
          <cell r="AY949">
            <v>947</v>
          </cell>
          <cell r="AZ949" t="str">
            <v>saccrNotional</v>
          </cell>
        </row>
        <row r="950">
          <cell r="AY950">
            <v>948</v>
          </cell>
          <cell r="AZ950" t="str">
            <v>saccrPotentialFutureExposure</v>
          </cell>
        </row>
        <row r="951">
          <cell r="AY951">
            <v>949</v>
          </cell>
          <cell r="AZ951" t="str">
            <v>salaryOrPensionBorrowerAmount</v>
          </cell>
        </row>
        <row r="952">
          <cell r="AY952">
            <v>950</v>
          </cell>
          <cell r="AZ952" t="str">
            <v>saleDate</v>
          </cell>
        </row>
        <row r="953">
          <cell r="AY953">
            <v>951</v>
          </cell>
          <cell r="AZ953" t="str">
            <v>scalingFactor</v>
          </cell>
        </row>
        <row r="954">
          <cell r="AY954">
            <v>952</v>
          </cell>
          <cell r="AZ954" t="str">
            <v>scenarioAddOnValue</v>
          </cell>
        </row>
        <row r="955">
          <cell r="AY955">
            <v>953</v>
          </cell>
          <cell r="AZ955" t="str">
            <v>scenarioCollateralValue</v>
          </cell>
        </row>
        <row r="956">
          <cell r="AY956">
            <v>954</v>
          </cell>
          <cell r="AZ956" t="str">
            <v>scenarioCurrentExposureValue</v>
          </cell>
        </row>
        <row r="957">
          <cell r="AY957">
            <v>955</v>
          </cell>
          <cell r="AZ957" t="str">
            <v>scenarioEADValue</v>
          </cell>
        </row>
        <row r="958">
          <cell r="AY958">
            <v>956</v>
          </cell>
          <cell r="AZ958" t="str">
            <v>scenarioExpectedLossValue</v>
          </cell>
        </row>
        <row r="959">
          <cell r="AY959">
            <v>957</v>
          </cell>
          <cell r="AZ959" t="str">
            <v>scenarioHairCutValue</v>
          </cell>
        </row>
        <row r="960">
          <cell r="AY960">
            <v>958</v>
          </cell>
          <cell r="AZ960" t="str">
            <v>scenarioMTMValue</v>
          </cell>
        </row>
        <row r="961">
          <cell r="AY961">
            <v>959</v>
          </cell>
          <cell r="AZ961" t="str">
            <v>scenarioName</v>
          </cell>
        </row>
        <row r="962">
          <cell r="AY962">
            <v>960</v>
          </cell>
          <cell r="AZ962" t="str">
            <v>scenarioPBCreditLossBufferValue</v>
          </cell>
        </row>
        <row r="963">
          <cell r="AY963">
            <v>961</v>
          </cell>
          <cell r="AZ963" t="str">
            <v>scenarioPBCreditLossValue</v>
          </cell>
        </row>
        <row r="964">
          <cell r="AY964">
            <v>962</v>
          </cell>
          <cell r="AZ964" t="str">
            <v>scenarioPEValue</v>
          </cell>
        </row>
        <row r="965">
          <cell r="AY965">
            <v>963</v>
          </cell>
          <cell r="AZ965" t="str">
            <v>scenarioPnLValue</v>
          </cell>
        </row>
        <row r="966">
          <cell r="AY966">
            <v>964</v>
          </cell>
          <cell r="AZ966" t="str">
            <v>ScenarioPTIexGMSValue</v>
          </cell>
        </row>
        <row r="967">
          <cell r="AY967">
            <v>965</v>
          </cell>
          <cell r="AZ967" t="str">
            <v>ScenarioPTIValue</v>
          </cell>
        </row>
        <row r="968">
          <cell r="AY968">
            <v>966</v>
          </cell>
          <cell r="AZ968" t="str">
            <v>ScenarioPTIValueCcy</v>
          </cell>
        </row>
        <row r="969">
          <cell r="AY969">
            <v>967</v>
          </cell>
          <cell r="AZ969" t="str">
            <v>scenarioYear</v>
          </cell>
        </row>
        <row r="970">
          <cell r="AY970">
            <v>968</v>
          </cell>
          <cell r="AZ970" t="str">
            <v>SCVARWAValue</v>
          </cell>
        </row>
        <row r="971">
          <cell r="AY971">
            <v>969</v>
          </cell>
          <cell r="AZ971" t="str">
            <v>secfinModelCategory</v>
          </cell>
        </row>
        <row r="972">
          <cell r="AY972">
            <v>970</v>
          </cell>
          <cell r="AZ972" t="str">
            <v>secrecyWaiver</v>
          </cell>
        </row>
        <row r="973">
          <cell r="AY973">
            <v>971</v>
          </cell>
          <cell r="AZ973" t="str">
            <v>securedByComRealEstate</v>
          </cell>
        </row>
        <row r="974">
          <cell r="AY974">
            <v>972</v>
          </cell>
          <cell r="AZ974" t="str">
            <v>securedInd</v>
          </cell>
        </row>
        <row r="975">
          <cell r="AY975">
            <v>973</v>
          </cell>
          <cell r="AZ975" t="str">
            <v>securitizationAmount</v>
          </cell>
        </row>
        <row r="976">
          <cell r="AY976">
            <v>974</v>
          </cell>
          <cell r="AZ976" t="str">
            <v>securitizationFlag</v>
          </cell>
        </row>
        <row r="977">
          <cell r="AY977">
            <v>975</v>
          </cell>
          <cell r="AZ977" t="str">
            <v>securitizationIRBRiskWeightValue</v>
          </cell>
        </row>
        <row r="978">
          <cell r="AY978">
            <v>976</v>
          </cell>
          <cell r="AZ978" t="str">
            <v>securitizationStandardizedRiskWeightValue</v>
          </cell>
        </row>
        <row r="979">
          <cell r="AY979">
            <v>977</v>
          </cell>
          <cell r="AZ979" t="str">
            <v>securitizationType</v>
          </cell>
        </row>
        <row r="980">
          <cell r="AY980">
            <v>978</v>
          </cell>
          <cell r="AZ980" t="str">
            <v>securitizedAssetClass</v>
          </cell>
        </row>
        <row r="981">
          <cell r="AY981">
            <v>979</v>
          </cell>
          <cell r="AZ981" t="str">
            <v>securitizedProductsERCValue</v>
          </cell>
        </row>
        <row r="982">
          <cell r="AY982">
            <v>980</v>
          </cell>
          <cell r="AZ982" t="str">
            <v>securityCashBorrowLendFlag</v>
          </cell>
        </row>
        <row r="983">
          <cell r="AY983">
            <v>981</v>
          </cell>
          <cell r="AZ983" t="str">
            <v>securityCashExclusionFlag</v>
          </cell>
        </row>
        <row r="984">
          <cell r="AY984">
            <v>982</v>
          </cell>
          <cell r="AZ984" t="str">
            <v>securityVolatilityHaircut</v>
          </cell>
        </row>
        <row r="985">
          <cell r="AY985">
            <v>983</v>
          </cell>
          <cell r="AZ985" t="str">
            <v>segmentTypeCode</v>
          </cell>
        </row>
        <row r="986">
          <cell r="AY986">
            <v>984</v>
          </cell>
          <cell r="AZ986" t="str">
            <v>segregationIndicator</v>
          </cell>
        </row>
        <row r="987">
          <cell r="AY987">
            <v>985</v>
          </cell>
          <cell r="AZ987" t="str">
            <v>SellerSharePc</v>
          </cell>
        </row>
        <row r="988">
          <cell r="AY988">
            <v>986</v>
          </cell>
          <cell r="AZ988" t="str">
            <v>seniorFlag</v>
          </cell>
        </row>
        <row r="989">
          <cell r="AY989">
            <v>987</v>
          </cell>
          <cell r="AZ989" t="str">
            <v>seniority</v>
          </cell>
        </row>
        <row r="990">
          <cell r="AY990">
            <v>988</v>
          </cell>
          <cell r="AZ990" t="str">
            <v>servicingFee</v>
          </cell>
        </row>
        <row r="991">
          <cell r="AY991">
            <v>989</v>
          </cell>
          <cell r="AZ991" t="str">
            <v>settlementCurrency</v>
          </cell>
        </row>
        <row r="992">
          <cell r="AY992">
            <v>990</v>
          </cell>
          <cell r="AZ992" t="str">
            <v>settlementDate</v>
          </cell>
        </row>
        <row r="993">
          <cell r="AY993">
            <v>991</v>
          </cell>
          <cell r="AZ993" t="str">
            <v>settlementExposureValue</v>
          </cell>
        </row>
        <row r="994">
          <cell r="AY994">
            <v>992</v>
          </cell>
          <cell r="AZ994" t="str">
            <v>settlementMonth</v>
          </cell>
        </row>
        <row r="995">
          <cell r="AY995">
            <v>993</v>
          </cell>
          <cell r="AZ995" t="str">
            <v>settlementQuantity</v>
          </cell>
        </row>
        <row r="996">
          <cell r="AY996">
            <v>994</v>
          </cell>
          <cell r="AZ996" t="str">
            <v>settlementStatusIndicator</v>
          </cell>
        </row>
        <row r="997">
          <cell r="AY997">
            <v>995</v>
          </cell>
          <cell r="AZ997" t="str">
            <v>settlementTypeIndicator</v>
          </cell>
        </row>
        <row r="998">
          <cell r="AY998">
            <v>996</v>
          </cell>
          <cell r="AZ998" t="str">
            <v>SFTCollateralHaircutEADValue</v>
          </cell>
        </row>
        <row r="999">
          <cell r="AY999">
            <v>997</v>
          </cell>
          <cell r="AZ999" t="str">
            <v>SFTFCCMEADValue</v>
          </cell>
        </row>
        <row r="1000">
          <cell r="AY1000">
            <v>998</v>
          </cell>
          <cell r="AZ1000" t="str">
            <v>SFTQPosititonLossAmt</v>
          </cell>
        </row>
        <row r="1001">
          <cell r="AY1001">
            <v>999</v>
          </cell>
          <cell r="AZ1001" t="str">
            <v>SFTQPosititonLossAmtCcy</v>
          </cell>
        </row>
        <row r="1002">
          <cell r="AY1002">
            <v>1000</v>
          </cell>
          <cell r="AZ1002" t="str">
            <v>shipAge</v>
          </cell>
        </row>
        <row r="1003">
          <cell r="AY1003">
            <v>1001</v>
          </cell>
          <cell r="AZ1003" t="str">
            <v>shipScrapValue</v>
          </cell>
        </row>
        <row r="1004">
          <cell r="AY1004">
            <v>1002</v>
          </cell>
          <cell r="AZ1004" t="str">
            <v>shipType</v>
          </cell>
        </row>
        <row r="1005">
          <cell r="AY1005">
            <v>1003</v>
          </cell>
          <cell r="AZ1005" t="str">
            <v>shipValue</v>
          </cell>
        </row>
        <row r="1006">
          <cell r="AY1006">
            <v>1004</v>
          </cell>
          <cell r="AZ1006" t="str">
            <v>shockValue</v>
          </cell>
        </row>
        <row r="1007">
          <cell r="AY1007">
            <v>1005</v>
          </cell>
          <cell r="AZ1007" t="str">
            <v>shortCoverFlag</v>
          </cell>
        </row>
        <row r="1008">
          <cell r="AY1008">
            <v>1006</v>
          </cell>
          <cell r="AZ1008" t="str">
            <v>shortTermClaimFlag</v>
          </cell>
        </row>
        <row r="1009">
          <cell r="AY1009">
            <v>1007</v>
          </cell>
          <cell r="AZ1009" t="str">
            <v>simpleRiskWeightValue</v>
          </cell>
        </row>
        <row r="1010">
          <cell r="AY1010">
            <v>1008</v>
          </cell>
          <cell r="AZ1010" t="str">
            <v>singleClientIdentifier</v>
          </cell>
        </row>
        <row r="1011">
          <cell r="AY1011">
            <v>1009</v>
          </cell>
          <cell r="AZ1011" t="str">
            <v>singleNameConcentrationBufferValue</v>
          </cell>
        </row>
        <row r="1012">
          <cell r="AY1012">
            <v>1010</v>
          </cell>
          <cell r="AZ1012" t="str">
            <v>singleNameConcentrationLossAmount</v>
          </cell>
        </row>
        <row r="1013">
          <cell r="AY1013">
            <v>1011</v>
          </cell>
          <cell r="AZ1013" t="str">
            <v>singleNameIndexFlag</v>
          </cell>
        </row>
        <row r="1014">
          <cell r="AY1014">
            <v>1012</v>
          </cell>
          <cell r="AZ1014" t="str">
            <v>skewSurfaceIndicator</v>
          </cell>
        </row>
        <row r="1015">
          <cell r="AY1015">
            <v>1013</v>
          </cell>
          <cell r="AZ1015" t="str">
            <v>skewType</v>
          </cell>
        </row>
        <row r="1016">
          <cell r="AY1016">
            <v>1014</v>
          </cell>
          <cell r="AZ1016" t="str">
            <v>slottingCriteriaRiskWeightValue</v>
          </cell>
        </row>
        <row r="1017">
          <cell r="AY1017">
            <v>1015</v>
          </cell>
          <cell r="AZ1017" t="str">
            <v>SOIDate</v>
          </cell>
        </row>
        <row r="1018">
          <cell r="AY1018">
            <v>1016</v>
          </cell>
          <cell r="AZ1018" t="str">
            <v>sourceSystemCode</v>
          </cell>
        </row>
        <row r="1019">
          <cell r="AY1019">
            <v>1017</v>
          </cell>
          <cell r="AZ1019" t="str">
            <v>sovereignDefaultIndicator</v>
          </cell>
        </row>
        <row r="1020">
          <cell r="AY1020">
            <v>1018</v>
          </cell>
          <cell r="AZ1020" t="str">
            <v>specificRiskAddOnValue</v>
          </cell>
        </row>
        <row r="1021">
          <cell r="AY1021">
            <v>1019</v>
          </cell>
          <cell r="AZ1021" t="str">
            <v>spotLeverageExposurevalue</v>
          </cell>
        </row>
        <row r="1022">
          <cell r="AY1022">
            <v>1020</v>
          </cell>
          <cell r="AZ1022" t="str">
            <v>SpotRWAAdjustmentsValue</v>
          </cell>
        </row>
        <row r="1023">
          <cell r="AY1023">
            <v>1021</v>
          </cell>
          <cell r="AZ1023" t="str">
            <v>spreadPercentage</v>
          </cell>
        </row>
        <row r="1024">
          <cell r="AY1024">
            <v>1022</v>
          </cell>
          <cell r="AZ1024" t="str">
            <v>SPVID</v>
          </cell>
        </row>
        <row r="1025">
          <cell r="AY1025">
            <v>1023</v>
          </cell>
          <cell r="AZ1025" t="str">
            <v>standardApproachPostCollateralizedEADValue</v>
          </cell>
        </row>
        <row r="1026">
          <cell r="AY1026">
            <v>1024</v>
          </cell>
          <cell r="AZ1026" t="str">
            <v>standardApproachPreCollateralizedEADValue</v>
          </cell>
        </row>
        <row r="1027">
          <cell r="AY1027">
            <v>1025</v>
          </cell>
          <cell r="AZ1027" t="str">
            <v>standardizedRiskWeightValue</v>
          </cell>
        </row>
        <row r="1028">
          <cell r="AY1028">
            <v>1026</v>
          </cell>
          <cell r="AZ1028" t="str">
            <v>standardLombardFlag</v>
          </cell>
        </row>
        <row r="1029">
          <cell r="AY1029">
            <v>1027</v>
          </cell>
          <cell r="AZ1029" t="str">
            <v>STCFlag</v>
          </cell>
        </row>
        <row r="1030">
          <cell r="AY1030">
            <v>1028</v>
          </cell>
          <cell r="AZ1030" t="str">
            <v>strategicTransactionERCValue</v>
          </cell>
        </row>
        <row r="1031">
          <cell r="AY1031">
            <v>1029</v>
          </cell>
          <cell r="AZ1031" t="str">
            <v>strategyStyle</v>
          </cell>
        </row>
        <row r="1032">
          <cell r="AY1032">
            <v>1030</v>
          </cell>
          <cell r="AZ1032" t="str">
            <v>stressedCapitalValue</v>
          </cell>
        </row>
        <row r="1033">
          <cell r="AY1033">
            <v>1031</v>
          </cell>
          <cell r="AZ1033" t="str">
            <v>stressedCompensationRiskValue</v>
          </cell>
        </row>
        <row r="1034">
          <cell r="AY1034">
            <v>1032</v>
          </cell>
          <cell r="AZ1034" t="str">
            <v>stressedCTM</v>
          </cell>
        </row>
        <row r="1035">
          <cell r="AY1035">
            <v>1033</v>
          </cell>
          <cell r="AZ1035" t="str">
            <v>stressedDARValue</v>
          </cell>
        </row>
        <row r="1036">
          <cell r="AY1036">
            <v>1034</v>
          </cell>
          <cell r="AZ1036" t="str">
            <v>stressedDeferredCompensationImpactValue</v>
          </cell>
        </row>
        <row r="1037">
          <cell r="AY1037">
            <v>1035</v>
          </cell>
          <cell r="AZ1037" t="str">
            <v>stressedDeferredTaxAssetsImpactValue</v>
          </cell>
        </row>
        <row r="1038">
          <cell r="AY1038">
            <v>1036</v>
          </cell>
          <cell r="AZ1038" t="str">
            <v>stressedEADValue</v>
          </cell>
        </row>
        <row r="1039">
          <cell r="AY1039">
            <v>1037</v>
          </cell>
          <cell r="AZ1039" t="str">
            <v>stressedEEPEValue</v>
          </cell>
        </row>
        <row r="1040">
          <cell r="AY1040">
            <v>1038</v>
          </cell>
          <cell r="AZ1040" t="str">
            <v>stressedFXMismatchValue</v>
          </cell>
        </row>
        <row r="1041">
          <cell r="AY1041">
            <v>1039</v>
          </cell>
          <cell r="AZ1041" t="str">
            <v>stressedGroupROE</v>
          </cell>
        </row>
        <row r="1042">
          <cell r="AY1042">
            <v>1040</v>
          </cell>
          <cell r="AZ1042" t="str">
            <v>StressedITSAllocationValue</v>
          </cell>
        </row>
        <row r="1043">
          <cell r="AY1043">
            <v>1041</v>
          </cell>
          <cell r="AZ1043" t="str">
            <v>stressedLeverageExposureValue</v>
          </cell>
        </row>
        <row r="1044">
          <cell r="AY1044">
            <v>1042</v>
          </cell>
          <cell r="AZ1044" t="str">
            <v>stressedLGDValue</v>
          </cell>
        </row>
        <row r="1045">
          <cell r="AY1045">
            <v>1043</v>
          </cell>
          <cell r="AZ1045" t="str">
            <v>stressedLongevityCashFlow</v>
          </cell>
        </row>
        <row r="1046">
          <cell r="AY1046">
            <v>1044</v>
          </cell>
          <cell r="AZ1046" t="str">
            <v>StressedNSFRValue</v>
          </cell>
        </row>
        <row r="1047">
          <cell r="AY1047">
            <v>1045</v>
          </cell>
          <cell r="AZ1047" t="str">
            <v>stressedOpRiskImpact</v>
          </cell>
        </row>
        <row r="1048">
          <cell r="AY1048">
            <v>1046</v>
          </cell>
          <cell r="AZ1048" t="str">
            <v>stressedPDValue</v>
          </cell>
        </row>
        <row r="1049">
          <cell r="AY1049">
            <v>1047</v>
          </cell>
          <cell r="AZ1049" t="str">
            <v>stressedPensionRiskPTIImpact</v>
          </cell>
        </row>
        <row r="1050">
          <cell r="AY1050">
            <v>1048</v>
          </cell>
          <cell r="AZ1050" t="str">
            <v>stressedRevenueDecline</v>
          </cell>
        </row>
        <row r="1051">
          <cell r="AY1051">
            <v>1049</v>
          </cell>
          <cell r="AZ1051" t="str">
            <v>stressedRNiVRWAValue</v>
          </cell>
        </row>
        <row r="1052">
          <cell r="AY1052">
            <v>1050</v>
          </cell>
          <cell r="AZ1052" t="str">
            <v>stressedRWAExtrapolated</v>
          </cell>
        </row>
        <row r="1053">
          <cell r="AY1053">
            <v>1051</v>
          </cell>
          <cell r="AZ1053" t="str">
            <v>stressedTaxImpact</v>
          </cell>
        </row>
        <row r="1054">
          <cell r="AY1054">
            <v>1052</v>
          </cell>
          <cell r="AZ1054" t="str">
            <v>stressedTreasuryPnLCcy</v>
          </cell>
        </row>
        <row r="1055">
          <cell r="AY1055">
            <v>1053</v>
          </cell>
          <cell r="AZ1055" t="str">
            <v>stressedTreasuryPnLValue</v>
          </cell>
        </row>
        <row r="1056">
          <cell r="AY1056">
            <v>1054</v>
          </cell>
          <cell r="AZ1056" t="str">
            <v>stressedVaRRWAValue</v>
          </cell>
        </row>
        <row r="1057">
          <cell r="AY1057">
            <v>1055</v>
          </cell>
          <cell r="AZ1057" t="str">
            <v>StressedVarValue</v>
          </cell>
        </row>
        <row r="1058">
          <cell r="AY1058">
            <v>1056</v>
          </cell>
          <cell r="AZ1058" t="str">
            <v>strike</v>
          </cell>
        </row>
        <row r="1059">
          <cell r="AY1059">
            <v>1057</v>
          </cell>
          <cell r="AZ1059" t="str">
            <v>strikeccy</v>
          </cell>
        </row>
        <row r="1060">
          <cell r="AY1060">
            <v>1058</v>
          </cell>
          <cell r="AZ1060" t="str">
            <v>strikePriceMultiplier</v>
          </cell>
        </row>
        <row r="1061">
          <cell r="AY1061">
            <v>1059</v>
          </cell>
          <cell r="AZ1061" t="str">
            <v>strikeRate</v>
          </cell>
        </row>
        <row r="1062">
          <cell r="AY1062">
            <v>1060</v>
          </cell>
          <cell r="AZ1062" t="str">
            <v>structureIdOrderNumberExternalId</v>
          </cell>
        </row>
        <row r="1063">
          <cell r="AY1063">
            <v>1061</v>
          </cell>
          <cell r="AZ1063" t="str">
            <v>subAccountNostroID</v>
          </cell>
        </row>
        <row r="1064">
          <cell r="AY1064">
            <v>1062</v>
          </cell>
          <cell r="AZ1064" t="str">
            <v>subAllocationPercentage</v>
          </cell>
        </row>
        <row r="1065">
          <cell r="AY1065">
            <v>1063</v>
          </cell>
          <cell r="AZ1065" t="str">
            <v>subLimitAmount</v>
          </cell>
        </row>
        <row r="1066">
          <cell r="AY1066">
            <v>1064</v>
          </cell>
          <cell r="AZ1066" t="str">
            <v>subNettingSet</v>
          </cell>
        </row>
        <row r="1067">
          <cell r="AY1067">
            <v>1065</v>
          </cell>
          <cell r="AZ1067" t="str">
            <v>subOrdinationFlag</v>
          </cell>
        </row>
        <row r="1068">
          <cell r="AY1068">
            <v>1066</v>
          </cell>
          <cell r="AZ1068" t="str">
            <v>subParticipationFlag</v>
          </cell>
        </row>
        <row r="1069">
          <cell r="AY1069">
            <v>1067</v>
          </cell>
          <cell r="AZ1069" t="str">
            <v>supervisoryDelta</v>
          </cell>
        </row>
        <row r="1070">
          <cell r="AY1070">
            <v>1068</v>
          </cell>
          <cell r="AZ1070" t="str">
            <v>supervisoryDuration</v>
          </cell>
        </row>
        <row r="1071">
          <cell r="AY1071">
            <v>1069</v>
          </cell>
          <cell r="AZ1071" t="str">
            <v>supervisoryFormulaRiskWeightValue</v>
          </cell>
        </row>
        <row r="1072">
          <cell r="AY1072">
            <v>1070</v>
          </cell>
          <cell r="AZ1072" t="str">
            <v>supervisorySecuritizationRole</v>
          </cell>
        </row>
        <row r="1073">
          <cell r="AY1073">
            <v>1071</v>
          </cell>
          <cell r="AZ1073" t="str">
            <v>swaptionId</v>
          </cell>
        </row>
        <row r="1074">
          <cell r="AY1074">
            <v>1072</v>
          </cell>
          <cell r="AZ1074" t="str">
            <v>SWWRCollateralHaircutValue</v>
          </cell>
        </row>
        <row r="1075">
          <cell r="AY1075">
            <v>1073</v>
          </cell>
          <cell r="AZ1075" t="str">
            <v>systematicFactorCorrelationMatrix</v>
          </cell>
        </row>
        <row r="1076">
          <cell r="AY1076">
            <v>1074</v>
          </cell>
          <cell r="AZ1076" t="str">
            <v>taxExpenseValue</v>
          </cell>
        </row>
        <row r="1077">
          <cell r="AY1077">
            <v>1075</v>
          </cell>
          <cell r="AZ1077" t="str">
            <v>tenor</v>
          </cell>
        </row>
        <row r="1078">
          <cell r="AY1078">
            <v>1076</v>
          </cell>
          <cell r="AZ1078" t="str">
            <v>tenorBucket</v>
          </cell>
        </row>
        <row r="1079">
          <cell r="AY1079">
            <v>1077</v>
          </cell>
          <cell r="AZ1079" t="str">
            <v>thresholdValue</v>
          </cell>
        </row>
        <row r="1080">
          <cell r="AY1080">
            <v>1078</v>
          </cell>
          <cell r="AZ1080" t="str">
            <v>tickerCode</v>
          </cell>
        </row>
        <row r="1081">
          <cell r="AY1081">
            <v>1079</v>
          </cell>
          <cell r="AZ1081" t="str">
            <v>tickSize</v>
          </cell>
        </row>
        <row r="1082">
          <cell r="AY1082">
            <v>1080</v>
          </cell>
          <cell r="AZ1082" t="str">
            <v>tickValue</v>
          </cell>
        </row>
        <row r="1083">
          <cell r="AY1083">
            <v>1081</v>
          </cell>
          <cell r="AZ1083" t="str">
            <v>timeBucket</v>
          </cell>
        </row>
        <row r="1084">
          <cell r="AY1084">
            <v>1082</v>
          </cell>
          <cell r="AZ1084" t="str">
            <v>timeBucketOption</v>
          </cell>
        </row>
        <row r="1085">
          <cell r="AY1085">
            <v>1083</v>
          </cell>
          <cell r="AZ1085" t="str">
            <v>timeSeriesDate</v>
          </cell>
        </row>
        <row r="1086">
          <cell r="AY1086">
            <v>1084</v>
          </cell>
          <cell r="AZ1086" t="str">
            <v>timeSeriesERCValue</v>
          </cell>
        </row>
        <row r="1087">
          <cell r="AY1087">
            <v>1085</v>
          </cell>
          <cell r="AZ1087" t="str">
            <v>timeSeriesValue</v>
          </cell>
        </row>
        <row r="1088">
          <cell r="AY1088">
            <v>1086</v>
          </cell>
          <cell r="AZ1088" t="str">
            <v>topUpLikeliness</v>
          </cell>
        </row>
        <row r="1089">
          <cell r="AY1089">
            <v>1087</v>
          </cell>
          <cell r="AZ1089" t="str">
            <v>totalAssetValue</v>
          </cell>
        </row>
        <row r="1090">
          <cell r="AY1090">
            <v>1088</v>
          </cell>
          <cell r="AZ1090" t="str">
            <v>totalCapitalLossRWAUplift</v>
          </cell>
        </row>
        <row r="1091">
          <cell r="AY1091">
            <v>1089</v>
          </cell>
          <cell r="AZ1091" t="str">
            <v>totalCapitaLossAmount</v>
          </cell>
        </row>
        <row r="1092">
          <cell r="AY1092">
            <v>1090</v>
          </cell>
          <cell r="AZ1092" t="str">
            <v>totalCapitaLossAmountCcy</v>
          </cell>
        </row>
        <row r="1093">
          <cell r="AY1093">
            <v>1091</v>
          </cell>
          <cell r="AZ1093" t="str">
            <v>totalCashInflowValue</v>
          </cell>
        </row>
        <row r="1094">
          <cell r="AY1094">
            <v>1092</v>
          </cell>
          <cell r="AZ1094" t="str">
            <v>totalCashOutflowValue</v>
          </cell>
        </row>
        <row r="1095">
          <cell r="AY1095">
            <v>1093</v>
          </cell>
          <cell r="AZ1095" t="str">
            <v>totalCreditLimit</v>
          </cell>
        </row>
        <row r="1096">
          <cell r="AY1096">
            <v>1094</v>
          </cell>
          <cell r="AZ1096" t="str">
            <v>totalEquityValue</v>
          </cell>
        </row>
        <row r="1097">
          <cell r="AY1097">
            <v>1095</v>
          </cell>
          <cell r="AZ1097" t="str">
            <v>totalERCValue</v>
          </cell>
        </row>
        <row r="1098">
          <cell r="AY1098">
            <v>1096</v>
          </cell>
          <cell r="AZ1098" t="str">
            <v>totalFlaggedExpsre</v>
          </cell>
        </row>
        <row r="1099">
          <cell r="AY1099">
            <v>1097</v>
          </cell>
          <cell r="AZ1099" t="str">
            <v>totalIssuanceSpread</v>
          </cell>
        </row>
        <row r="1100">
          <cell r="AY1100">
            <v>1098</v>
          </cell>
          <cell r="AZ1100" t="str">
            <v>totalLiabilities</v>
          </cell>
        </row>
        <row r="1101">
          <cell r="AY1101">
            <v>1099</v>
          </cell>
          <cell r="AZ1101" t="str">
            <v>totalPortfolioMarketValue</v>
          </cell>
        </row>
        <row r="1102">
          <cell r="AY1102">
            <v>1100</v>
          </cell>
          <cell r="AZ1102" t="str">
            <v>totalSubParticipationAmount</v>
          </cell>
        </row>
        <row r="1103">
          <cell r="AY1103">
            <v>1101</v>
          </cell>
          <cell r="AZ1103" t="str">
            <v>totalSubParticipationLimitCarrierLimitValue</v>
          </cell>
        </row>
        <row r="1104">
          <cell r="AY1104">
            <v>1102</v>
          </cell>
          <cell r="AZ1104" t="str">
            <v>TPVLastDoneOn</v>
          </cell>
        </row>
        <row r="1105">
          <cell r="AY1105">
            <v>1103</v>
          </cell>
          <cell r="AZ1105" t="str">
            <v>tradeCurrency</v>
          </cell>
        </row>
        <row r="1106">
          <cell r="AY1106">
            <v>1104</v>
          </cell>
          <cell r="AZ1106" t="str">
            <v>tradeDate</v>
          </cell>
        </row>
        <row r="1107">
          <cell r="AY1107">
            <v>1105</v>
          </cell>
          <cell r="AZ1107" t="str">
            <v>tradeDeltaValue</v>
          </cell>
        </row>
        <row r="1108">
          <cell r="AY1108">
            <v>1106</v>
          </cell>
          <cell r="AZ1108" t="str">
            <v>tradedRiskERCValue</v>
          </cell>
        </row>
        <row r="1109">
          <cell r="AY1109">
            <v>1107</v>
          </cell>
          <cell r="AZ1109" t="str">
            <v>tradeGroup</v>
          </cell>
        </row>
        <row r="1110">
          <cell r="AY1110">
            <v>1108</v>
          </cell>
          <cell r="AZ1110" t="str">
            <v>tradeId</v>
          </cell>
        </row>
        <row r="1111">
          <cell r="AY1111">
            <v>1109</v>
          </cell>
          <cell r="AZ1111" t="str">
            <v>tradeNotionalPrincipal</v>
          </cell>
        </row>
        <row r="1112">
          <cell r="AY1112">
            <v>1110</v>
          </cell>
          <cell r="AZ1112" t="str">
            <v>tradeStatus</v>
          </cell>
        </row>
        <row r="1113">
          <cell r="AY1113">
            <v>1111</v>
          </cell>
          <cell r="AZ1113" t="str">
            <v>tradingBookSecuritizationExposureValue</v>
          </cell>
        </row>
        <row r="1114">
          <cell r="AY1114">
            <v>1112</v>
          </cell>
          <cell r="AZ1114" t="str">
            <v>tradingIssuerDefaultLossAmount</v>
          </cell>
        </row>
        <row r="1115">
          <cell r="AY1115">
            <v>1113</v>
          </cell>
          <cell r="AZ1115" t="str">
            <v>trancheId</v>
          </cell>
        </row>
        <row r="1116">
          <cell r="AY1116">
            <v>1114</v>
          </cell>
          <cell r="AZ1116" t="str">
            <v>trancheMaturityDate</v>
          </cell>
        </row>
        <row r="1117">
          <cell r="AY1117">
            <v>1115</v>
          </cell>
          <cell r="AZ1117" t="str">
            <v>trancheMaturityDateType</v>
          </cell>
        </row>
        <row r="1118">
          <cell r="AY1118">
            <v>1116</v>
          </cell>
          <cell r="AZ1118" t="str">
            <v>trancheRating</v>
          </cell>
        </row>
        <row r="1119">
          <cell r="AY1119">
            <v>1117</v>
          </cell>
          <cell r="AZ1119" t="str">
            <v>transferPricingExpenses</v>
          </cell>
        </row>
        <row r="1120">
          <cell r="AY1120">
            <v>1118</v>
          </cell>
          <cell r="AZ1120" t="str">
            <v>treasuryHeldShares</v>
          </cell>
        </row>
        <row r="1121">
          <cell r="AY1121">
            <v>1119</v>
          </cell>
          <cell r="AZ1121" t="str">
            <v>treasuryPutCallComboOutstanding</v>
          </cell>
        </row>
        <row r="1122">
          <cell r="AY1122">
            <v>1120</v>
          </cell>
          <cell r="AZ1122" t="str">
            <v>triggerContractFlag</v>
          </cell>
        </row>
        <row r="1123">
          <cell r="AY1123">
            <v>1121</v>
          </cell>
          <cell r="AZ1123" t="str">
            <v>triggerLoanToValue</v>
          </cell>
        </row>
        <row r="1124">
          <cell r="AY1124">
            <v>1122</v>
          </cell>
          <cell r="AZ1124" t="str">
            <v>triggerProbability</v>
          </cell>
        </row>
        <row r="1125">
          <cell r="AY1125">
            <v>1123</v>
          </cell>
          <cell r="AZ1125" t="str">
            <v>underlyingAssetClass</v>
          </cell>
        </row>
        <row r="1126">
          <cell r="AY1126">
            <v>1124</v>
          </cell>
          <cell r="AZ1126" t="str">
            <v>underlyingCurrency</v>
          </cell>
        </row>
        <row r="1127">
          <cell r="AY1127">
            <v>1125</v>
          </cell>
          <cell r="AZ1127" t="str">
            <v>underlyingEffectiveDate</v>
          </cell>
        </row>
        <row r="1128">
          <cell r="AY1128">
            <v>1126</v>
          </cell>
          <cell r="AZ1128" t="str">
            <v>underlyingId</v>
          </cell>
        </row>
        <row r="1129">
          <cell r="AY1129">
            <v>1127</v>
          </cell>
          <cell r="AZ1129" t="str">
            <v>underlyingProductExchangeId</v>
          </cell>
        </row>
        <row r="1130">
          <cell r="AY1130">
            <v>1128</v>
          </cell>
          <cell r="AZ1130" t="str">
            <v>underlyingTypeCode</v>
          </cell>
        </row>
        <row r="1131">
          <cell r="AY1131">
            <v>1129</v>
          </cell>
          <cell r="AZ1131" t="str">
            <v>unfundedAmount</v>
          </cell>
        </row>
        <row r="1132">
          <cell r="AY1132">
            <v>1130</v>
          </cell>
          <cell r="AZ1132" t="str">
            <v>unityFXTKey</v>
          </cell>
        </row>
        <row r="1133">
          <cell r="AY1133">
            <v>1131</v>
          </cell>
          <cell r="AZ1133" t="str">
            <v>unityKey</v>
          </cell>
        </row>
        <row r="1134">
          <cell r="AY1134">
            <v>1132</v>
          </cell>
          <cell r="AZ1134" t="str">
            <v>unstressedProvisionBufferValue</v>
          </cell>
        </row>
        <row r="1135">
          <cell r="AY1135">
            <v>1133</v>
          </cell>
          <cell r="AZ1135" t="str">
            <v>USGAAPValue</v>
          </cell>
        </row>
        <row r="1136">
          <cell r="AY1136">
            <v>1134</v>
          </cell>
          <cell r="AZ1136" t="str">
            <v>valuationModelName</v>
          </cell>
        </row>
        <row r="1137">
          <cell r="AY1137">
            <v>1135</v>
          </cell>
          <cell r="AZ1137" t="str">
            <v>valueToLoan</v>
          </cell>
        </row>
        <row r="1138">
          <cell r="AY1138">
            <v>1136</v>
          </cell>
          <cell r="AZ1138" t="str">
            <v>VaRCalculationMethod</v>
          </cell>
        </row>
        <row r="1139">
          <cell r="AY1139">
            <v>1137</v>
          </cell>
          <cell r="AZ1139" t="str">
            <v>variationHeld</v>
          </cell>
        </row>
        <row r="1140">
          <cell r="AY1140">
            <v>1138</v>
          </cell>
          <cell r="AZ1140" t="str">
            <v>variationMarginCALLK</v>
          </cell>
        </row>
        <row r="1141">
          <cell r="AY1141">
            <v>1139</v>
          </cell>
          <cell r="AZ1141" t="str">
            <v>variationPledged</v>
          </cell>
        </row>
        <row r="1142">
          <cell r="AY1142">
            <v>1140</v>
          </cell>
          <cell r="AZ1142" t="str">
            <v>VaRValue</v>
          </cell>
        </row>
        <row r="1143">
          <cell r="AY1143">
            <v>1141</v>
          </cell>
          <cell r="AZ1143" t="str">
            <v>VaRValueCurrency</v>
          </cell>
        </row>
        <row r="1144">
          <cell r="AY1144">
            <v>1142</v>
          </cell>
          <cell r="AZ1144" t="str">
            <v>vegaType</v>
          </cell>
        </row>
        <row r="1145">
          <cell r="AY1145">
            <v>1143</v>
          </cell>
          <cell r="AZ1145" t="str">
            <v>versionLGD</v>
          </cell>
        </row>
        <row r="1146">
          <cell r="AY1146">
            <v>1144</v>
          </cell>
          <cell r="AZ1146" t="str">
            <v>volatilityFactor</v>
          </cell>
        </row>
        <row r="1147">
          <cell r="AY1147">
            <v>1145</v>
          </cell>
          <cell r="AZ1147" t="str">
            <v>volatilityFlag</v>
          </cell>
        </row>
        <row r="1148">
          <cell r="AY1148">
            <v>1146</v>
          </cell>
          <cell r="AZ1148" t="str">
            <v>volatilityTrade</v>
          </cell>
        </row>
        <row r="1149">
          <cell r="AY1149">
            <v>1147</v>
          </cell>
          <cell r="AZ1149" t="str">
            <v>volckerAdjustment</v>
          </cell>
        </row>
        <row r="1150">
          <cell r="AY1150">
            <v>1148</v>
          </cell>
          <cell r="AZ1150" t="str">
            <v>watchlistEndDate</v>
          </cell>
        </row>
        <row r="1151">
          <cell r="AY1151">
            <v>1149</v>
          </cell>
          <cell r="AZ1151" t="str">
            <v>watchlistFlag</v>
          </cell>
        </row>
        <row r="1152">
          <cell r="AY1152">
            <v>1150</v>
          </cell>
          <cell r="AZ1152" t="str">
            <v>watchlistStartDate</v>
          </cell>
        </row>
        <row r="1153">
          <cell r="AY1153">
            <v>1151</v>
          </cell>
          <cell r="AZ1153" t="str">
            <v>weightedAverageLife</v>
          </cell>
        </row>
        <row r="1154">
          <cell r="AY1154">
            <v>1152</v>
          </cell>
          <cell r="AZ1154" t="str">
            <v>weightedAverageMaturity</v>
          </cell>
        </row>
        <row r="1155">
          <cell r="AY1155">
            <v>1153</v>
          </cell>
          <cell r="AZ1155" t="str">
            <v>wrongWayRiskFlag</v>
          </cell>
        </row>
        <row r="1156">
          <cell r="AY1156">
            <v>1154</v>
          </cell>
          <cell r="AZ1156" t="str">
            <v>WWRExposureAddOnValue</v>
          </cell>
        </row>
        <row r="1157">
          <cell r="AY1157">
            <v>1155</v>
          </cell>
          <cell r="AZ1157" t="str">
            <v>XMValue</v>
          </cell>
        </row>
        <row r="1158">
          <cell r="AY1158">
            <v>1156</v>
          </cell>
          <cell r="AZ1158" t="str">
            <v>yearEndCleardownDate</v>
          </cell>
        </row>
        <row r="1159">
          <cell r="AY1159">
            <v>1157</v>
          </cell>
          <cell r="AZ1159" t="str">
            <v>yieldRate</v>
          </cell>
        </row>
        <row r="1160">
          <cell r="AY1160">
            <v>1158</v>
          </cell>
          <cell r="AZ1160" t="str">
            <v>ZCXMValue</v>
          </cell>
        </row>
        <row r="1161">
          <cell r="AY1161">
            <v>1159</v>
          </cell>
          <cell r="AZ1161" t="str">
            <v>zeroRiskWeightEntity</v>
          </cell>
        </row>
        <row r="1162">
          <cell r="AY1162">
            <v>1160</v>
          </cell>
          <cell r="AZ1162" t="str">
            <v>CIFNumber</v>
          </cell>
        </row>
        <row r="1163">
          <cell r="AY1163">
            <v>1161</v>
          </cell>
          <cell r="AZ1163" t="str">
            <v>initialReceivedMargin</v>
          </cell>
        </row>
        <row r="1164">
          <cell r="AY1164" t="str">
            <v/>
          </cell>
          <cell r="AZ1164" t="str">
            <v/>
          </cell>
        </row>
        <row r="1165">
          <cell r="AY1165" t="str">
            <v/>
          </cell>
          <cell r="AZ1165" t="str">
            <v/>
          </cell>
        </row>
      </sheetData>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Mtx"/>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ykiel, Jacek (CDTH 2)" refreshedDate="44250.600317824072" createdVersion="6" refreshedVersion="6" minRefreshableVersion="3" recordCount="1165" xr:uid="{00000000-000A-0000-FFFF-FFFF02000000}">
  <cacheSource type="worksheet">
    <worksheetSource ref="AM1:AM1048576" sheet="Lookups2"/>
  </cacheSource>
  <cacheFields count="1">
    <cacheField name="Data Element" numFmtId="0">
      <sharedItems containsBlank="1" count="1162">
        <m/>
        <s v="ABRParameters"/>
        <s v="accountBalanceAmount"/>
        <s v="accountCurrency"/>
        <s v="accountingMethod"/>
        <s v="accountTypeCode"/>
        <s v="accrualAmount"/>
        <s v="accrualAmountCurrency"/>
        <s v="accrualDayCountCode"/>
        <s v="accruedPremium"/>
        <s v="ACMparameters"/>
        <s v="ACPValue"/>
        <s v="activesLeavingPercent"/>
        <s v="ACVARWAValue"/>
        <s v="ADACPosResAcc"/>
        <s v="ADACPosResInt"/>
        <s v="ADACPosServFee"/>
        <s v="ADACPosSsh"/>
        <s v="additionalFundingRatio"/>
        <s v="adjustedExpiryDate"/>
        <s v="adjustedNotional"/>
        <s v="affiliateCode"/>
        <s v="affiliateDealerFlag"/>
        <s v="agencyCMBSERCValue"/>
        <s v="agencyRMBSERCValue"/>
        <s v="agreedMarginAmount"/>
        <s v="agreementLifecycleStatus"/>
        <s v="AIRBRiskWeightValue"/>
        <s v="allocatedCoverValue"/>
        <s v="allocatedQuotaValue"/>
        <s v="allowedProductsUnderLimit"/>
        <s v="alpha"/>
        <s v="amortizationAmount"/>
        <s v="amortizationSchedule"/>
        <s v="amortizedNotional"/>
        <s v="amountOutstanding"/>
        <s v="amtAddRiskRprtngCcy"/>
        <s v="analyticDelta"/>
        <s v="annualizationFactor"/>
        <s v="APACClientIndustryCode"/>
        <s v="appliedFundRiskWeight"/>
        <s v="appliedModelName"/>
        <s v="assetBackedSecuritiesERCValue"/>
        <s v="assetClass"/>
        <s v="assetCurrency"/>
        <s v="assetLiabilityFlag"/>
        <s v="ATECost"/>
        <s v="attachmentPoint"/>
        <s v="AUMCode"/>
        <s v="availableEconomicCapitalValue"/>
        <s v="availableStableFundingCategory"/>
        <s v="averageDailyTradedVolume"/>
        <s v="averageDailyTradedVolumeRatio"/>
        <s v="balanceAmountType"/>
        <s v="balanceBasisTypeCode"/>
        <s v="balanceSheetCoverageBufferValue"/>
        <s v="bankruptcy"/>
        <s v="bankruptcyRemoteFlag"/>
        <s v="barrierCode"/>
        <s v="baseCurrency"/>
        <s v="basel2TierInfo"/>
        <s v="basel3TierInfo"/>
        <s v="baselCategory"/>
        <s v="baselineCapitalPlan"/>
        <s v="baselineScenarioCost"/>
        <s v="baseRateType"/>
        <s v="baseScenarioEmergingInactives"/>
        <s v="baseScenarioInactives"/>
        <s v="basisSwap"/>
        <s v="basisTrade"/>
        <s v="BasisTradeTransactionFlag"/>
        <s v="basketInsuranceBenefit"/>
        <s v="benchmarkTicker"/>
        <s v="beta"/>
        <s v="BFIFlag"/>
        <s v="BFIHoldingFlag"/>
        <s v="BFIHoldingInFunds"/>
        <s v="BFIValue"/>
        <s v="BFIValueCurrency"/>
        <s v="BOCollectionId"/>
        <s v="bondType"/>
        <s v="bookCategoryCode"/>
        <s v="bookCoveredPositionFlag"/>
        <s v="bookingEntityGroupId"/>
        <s v="bookingEntityId"/>
        <s v="branchCode"/>
        <s v="bumpSize"/>
        <s v="bumpType"/>
        <s v="businessDayConvention"/>
        <s v="businessUnitCode"/>
        <s v="businessUnitGroupId"/>
        <s v="buySellIndicator"/>
        <s v="calculatedAvailableStableFundingValue"/>
        <s v="calculatedRequiredStableFundingValue"/>
        <s v="callableFlag"/>
        <s v="callFrequency"/>
        <s v="callPutIndicator"/>
        <s v="capFloorIndicator"/>
        <s v="capitalBase"/>
        <s v="capitalChargeWeight"/>
        <s v="capitalHorizon"/>
        <s v="capitalRelevantFlag"/>
        <s v="capitalReserves"/>
        <s v="capitalTier"/>
        <s v="capitalTreatmentIndicator"/>
        <s v="cashAccountId"/>
        <s v="cashBalanceInAccountCCY"/>
        <s v="cashBalanceInFunctionalCCY"/>
        <s v="cashDeposit"/>
        <s v="cashDerivativesFlag"/>
        <s v="cashExposureEquivalencyFactorValue"/>
        <s v="cashflowAmount"/>
        <s v="cashflowType"/>
        <s v="cashflowValueDate"/>
        <s v="cashOrGoldBullion"/>
        <s v="cashSecurityFlag"/>
        <s v="categoryType"/>
        <s v="CCFAppliedPC"/>
        <s v="CCFSegment"/>
        <s v="CCPLegType"/>
        <s v="CCYBPercentage"/>
        <s v="CcyOfParticipantCountryOfIncorporation"/>
        <s v="CDSCltrlAmtCHF"/>
        <s v="CDSIndicator"/>
        <s v="CDSMtmAmtCHF"/>
        <s v="CDSNtnlAmtCHF"/>
        <s v="CDSOrigExposureID"/>
        <s v="CDSpremium"/>
        <s v="CDSSpreadStandardDeviation"/>
        <s v="CECLimpactBeyondLPALosses"/>
        <s v="centralCounterpartyType"/>
        <s v="CESmethod"/>
        <s v="CFactor"/>
        <s v="childFundId"/>
        <s v="cleanedTotalExpenses"/>
        <s v="clearingHouse"/>
        <s v="clientCurrentAssets"/>
        <s v="clientRelationshipCode"/>
        <s v="clientRevenueHaircut"/>
        <s v="clientSalesRevenuePercentage"/>
        <s v="clientType"/>
        <s v="clientTypeCode"/>
        <s v="clientUltimateParentId"/>
        <s v="CLOWarehouseERCValue"/>
        <s v="CMDFCValue"/>
        <s v="CNCOMCharge"/>
        <s v="COBDate"/>
        <s v="collateralAgreementId"/>
        <s v="collateralAnnexLLK"/>
        <s v="collateralCarrierLimitValue"/>
        <s v="collateralCouponAmount"/>
        <s v="collateralCurrency"/>
        <s v="collateralDate"/>
        <s v="collateralEligibilityFlag"/>
        <s v="collateralEnforceableProducts"/>
        <s v="collateralId"/>
        <s v="collateralizationMultiplier"/>
        <s v="collateralizedLoanObligationERCvalue"/>
        <s v="collateralMaturityDate"/>
        <s v="collateralPostingEligibilityFlag"/>
        <s v="collateralPrice"/>
        <s v="collateralQuantity"/>
        <s v="collateralRecordIndicator"/>
        <s v="collateralSubType"/>
        <s v="collateralType"/>
        <s v="collateralValue"/>
        <s v="commercialLoanERCvalue"/>
        <s v="commissionExpenseSavingsValue"/>
        <s v="commitmentType"/>
        <s v="committedOrUncommittedFacility"/>
        <s v="CommodityClass"/>
        <s v="commodityCurveId"/>
        <s v="commodityId"/>
        <s v="commoditySubClass"/>
        <s v="componentId"/>
        <s v="conditionalIndicator"/>
        <s v="confidenceLevel"/>
        <s v="constituentWeight"/>
        <s v="contingentDealDropDeadDate"/>
        <s v="contingentDealHedgeId"/>
        <s v="contingentDealHedgeIndicator"/>
        <s v="contingentDealId"/>
        <s v="contingentDealStartDate"/>
        <s v="contractAmt"/>
        <s v="contractEndDate"/>
        <s v="contractId"/>
        <s v="contractLimitAmount"/>
        <s v="contractSize"/>
        <s v="contractStartDate"/>
        <s v="contractualRecoveryRate"/>
        <s v="conversionRatio"/>
        <s v="corporateRetailCode"/>
        <s v="correlationCoefficient"/>
        <s v="correlationTradingIndicator"/>
        <s v="correlationVariable"/>
        <s v="counterpartyDefaultLossValue"/>
        <s v="counterpartyId"/>
        <s v="counterpartyLongName"/>
        <s v="counterpartyParentId"/>
        <s v="counterpartyThresholdAmount"/>
        <s v="counterpartyUltimateParentId"/>
        <s v="countryISOCode"/>
        <s v="countryOfDomicile"/>
        <s v="countryOfIncorporation"/>
        <s v="countryOfListing"/>
        <s v="countryOfResidence"/>
        <s v="countryOfRisk"/>
        <s v="countryRiskClassification"/>
        <s v="creditClass"/>
        <s v="creditCurveId"/>
        <s v="creditERCValue"/>
        <s v="creditEvent"/>
        <s v="creditGroupCode"/>
        <s v="creditHierarchyLevel"/>
        <s v="creditLimitAmount"/>
        <s v="creditLineTypeId"/>
        <s v="creditMarkCd"/>
        <s v="creditProductSubTypeCode"/>
        <s v="creditProductTypeCode"/>
        <s v="creditProvisionValue"/>
        <s v="creditPurposeCode"/>
        <s v="creditQualityStep"/>
        <s v="creditRating"/>
        <s v="creditRatingAgency"/>
        <s v="creditRatingDate"/>
        <s v="creditRatingType"/>
        <s v="creditRelationshipCode"/>
        <s v="creditRiskFlag"/>
        <s v="creditRiskRWAValue"/>
        <s v="creditRiskStressRWAValue"/>
        <s v="creditSpreadParameters"/>
        <s v="creditUseCode"/>
        <s v="CSAdditionalCollateralPosted"/>
        <s v="CSAEnforcementFlag"/>
        <s v="CSARegulationIndicator"/>
        <s v="CSID"/>
        <s v="CSOwnIssuanceFlag"/>
        <s v="CSSubScenario"/>
        <s v="CSThresholdAmount"/>
        <s v="cumulativeLossAmount"/>
        <s v="currencyCode"/>
        <s v="currencyLambdaAdjustment"/>
        <s v="currencyOfListing"/>
        <s v="currencyPair"/>
        <s v="currentCreditBureauScore"/>
        <s v="currentExposureValue"/>
        <s v="currentIRCRating"/>
        <s v="currentMonthExposure"/>
        <s v="currTempResidualValue"/>
        <s v="curveId"/>
        <s v="curveIdType"/>
        <s v="curveIndex"/>
        <s v="curveTenor"/>
        <s v="curveType"/>
        <s v="custodianBIC"/>
        <s v="customerAccountId"/>
        <s v="customerOfficeId"/>
        <s v="customerTurnover"/>
        <s v="customerTypeCode"/>
        <s v="CVAVaRValue"/>
        <s v="CVAVaRValueCurrency"/>
        <s v="DARCalculationMethod"/>
        <s v="DARValue"/>
        <s v="dateOfDefault"/>
        <s v="dealBreakupProbability"/>
        <s v="dealClassificationType"/>
        <s v="dealerOffshoreFlag"/>
        <s v="dealStage"/>
        <s v="debtPriorityClass"/>
        <s v="debtTypeSeniority"/>
        <s v="decayFactor"/>
        <s v="DECBDivisionalAllocationKey"/>
        <s v="decompStatus"/>
        <s v="defaultCCFValue"/>
        <s v="defaultedInterestAdjustmentValue"/>
        <s v="defaultedLoanCapitalAdjustmentValue"/>
        <s v="defaultRiskERCValue"/>
        <s v="deferredAwardExpensePercentage"/>
        <s v="deferredAwardExpenseRecognition"/>
        <s v="deferredEquityCompensationBenefitValue"/>
        <s v="delcredereOfficeId"/>
        <s v="deliveryConditionCode"/>
        <s v="deliverySegment"/>
        <s v="DeltaEVEValue"/>
        <s v="DeltaEVEValueCurrency"/>
        <s v="deminimisCapitalCharge"/>
        <s v="deminimisRWAValue"/>
        <s v="derivativesCEMEADValue"/>
        <s v="derivativesIMMEADValue"/>
        <s v="deskCode"/>
        <s v="detachmentPoint"/>
        <s v="detectionDate"/>
        <s v="DFccp"/>
        <s v="DFcm"/>
        <s v="directIndirectIndicator"/>
        <s v="disposedBusinessFlag"/>
        <s v="divisionActualLoss"/>
        <s v="divisionalDeferralRate"/>
        <s v="divisionId"/>
        <s v="divisionNetBudgetedRevenue"/>
        <s v="divisionProductSubTypeCode"/>
        <s v="divisionProductTypeCode"/>
        <s v="drawDownFactorValue"/>
        <s v="drawnAmount"/>
        <s v="drawnCcy"/>
        <s v="drawnDate"/>
        <s v="ECLValue"/>
        <s v="economicDiscountCurve"/>
        <s v="economicStatus"/>
        <s v="EEPEValue"/>
        <s v="EEValue"/>
        <s v="effectiveDate"/>
        <s v="effectiveMaturityValue"/>
        <s v="effectiveNotionalValue"/>
        <s v="ELAExpensesValue"/>
        <s v="ELARiskUsageExposureValue"/>
        <s v="embeddedPutFlag"/>
        <s v="EPEValue"/>
        <s v="EQIFMBAMaximumAllocation"/>
        <s v="equCDSCurrencyCd"/>
        <s v="equCDSMaturityDt"/>
        <s v="equitiesExposureValue"/>
        <s v="equitiesHolding"/>
        <s v="equitiesnotinIRCExpectedLossValue"/>
        <s v="equityAwardType"/>
        <s v="equityId"/>
        <s v="equityInvestmentInFund"/>
        <s v="equityRegion"/>
        <s v="equityRiskArbitrageValue"/>
        <s v="equityScaleDownFlag"/>
        <s v="equityTypeIndicator"/>
        <s v="equPercentage"/>
        <s v="equTrnchCptyID"/>
        <s v="equTrnchNetAmtCHF"/>
        <s v="ERCCreditRiskBufferValue"/>
        <s v="ERCDECBBufferValue"/>
        <s v="ERCDirectInvestmentBufferValue"/>
        <s v="ERCEXPENSEbuffervalue"/>
        <s v="ERCFrameworkBufferValue"/>
        <s v="ERCFXTBufferValue"/>
        <s v="ERCLifeInsuranceAddonValue"/>
        <s v="ERCNonTradedCreditSpreadBufferValue"/>
        <s v="ERCOREBufferValue"/>
        <s v="ERCPensionRiskBufferValue"/>
        <s v="ERCSecuritisedProductBufferValue"/>
        <s v="ERCTradedRiskBufferValue"/>
        <s v="EUDefaultLossAmount"/>
        <s v="EVAdjustmentValue"/>
        <s v="eventDate"/>
        <s v="eventSummaryDescription"/>
        <s v="EWMAVolatility"/>
        <s v="exceriseDate"/>
        <s v="exchangeTradedFlag"/>
        <s v="exemptionFlag"/>
        <s v="ExIBLendingNSUPowerLossBuffer"/>
        <s v="ExIBLendingUnstressedEADBufferValue"/>
        <s v="ExIBLendingUnstressedprovisionBufferValue"/>
        <s v="expectedLossRWAEquivalentValue"/>
        <s v="expectedLossValue"/>
        <s v="expenseRevenueAmount"/>
        <s v="expenseRevenueBookingDate"/>
        <s v="expenseRevenueCurrency"/>
        <s v="expenseRevenueType"/>
        <s v="expenseRiskERCValue"/>
        <s v="expenseRiskFXTAllocation"/>
        <s v="expiryDate"/>
        <s v="exposure0"/>
        <s v="exposureAllocation"/>
        <s v="exposureAtDefaultValue"/>
        <s v="exposureCarrierLimitValue"/>
        <s v="exposureCurrency"/>
        <s v="exposureIdentificationKey"/>
        <s v="facilityApprovedAmount"/>
        <s v="facilityConfirmedLimitAmount"/>
        <s v="facilityCurrency"/>
        <s v="facilityId"/>
        <s v="facilityMaturityDate"/>
        <s v="facilityTypeCode"/>
        <s v="factorCovarianceMatrix"/>
        <s v="failureToPay"/>
        <s v="FAS5UsageAmtCHF"/>
        <s v="feeType"/>
        <s v="finalExposureValue"/>
        <s v="finalSettlementDate"/>
        <s v="financeCounterpartyClassificationCode"/>
        <s v="financialBusinessUnitCode"/>
        <s v="financialInstitutionFlag"/>
        <s v="financialInstrumentCurrency"/>
        <s v="financialInstrumentKey"/>
        <s v="FINMAGap6Value"/>
        <s v="FINMAReportingDateFirst"/>
        <s v="FINMAReReportingDateLatest"/>
        <s v="firstExerciseDate"/>
        <s v="firstPaymentDate"/>
        <s v="firstSettlementDate"/>
        <s v="fixedExchangeRate"/>
        <s v="fixedVariableIndicator"/>
        <s v="fixingCalendar"/>
        <s v="fixingDate"/>
        <s v="fixingFrequency"/>
        <s v="flexPriceProtection"/>
        <s v="FOContingentDealSuccessProb"/>
        <s v="forwardPrice"/>
        <s v="fractionOfOustandingRelevantIssueSize"/>
        <s v="FTPAddOnSpread"/>
        <s v="FTPBaseFundingRate"/>
        <s v="functionalCurrencyCode"/>
        <s v="fundExposureValue"/>
        <s v="fundingConcentrationValue"/>
        <s v="fundingMaturityComposition"/>
        <s v="fundingSurplusAmount"/>
        <s v="fundName"/>
        <s v="fundType"/>
        <s v="FVODHaircut"/>
        <s v="FxContingentERCValue"/>
        <s v="FXTAddOnValue"/>
        <s v="FXVolatilityHaircut"/>
        <s v="GAAPID"/>
        <s v="GACInstrumentCategory"/>
        <s v="GACMarketCategory"/>
        <s v="GACSalesCategory"/>
        <s v="GCCExposureMoveValue"/>
        <s v="gender"/>
        <s v="generalLedgerAmountTypeCode"/>
        <s v="givenPreHaircutValue"/>
        <s v="GLAccountCode"/>
        <s v="GLAccountType"/>
        <s v="globalBookId"/>
        <s v="globalDepartmentId"/>
        <s v="GLSubAccountCode"/>
        <s v="GMHedgesModelParameters"/>
        <s v="GMManagementBROverlays"/>
        <s v="GMManagementCRBufferValue"/>
        <s v="GMManagementMROverlays"/>
        <s v="grantPrice"/>
        <s v="granularityCode"/>
        <s v="grossEADValue"/>
        <s v="grossLoansAndCommitmentsExposureValue"/>
        <s v="guaranteeAmount"/>
        <s v="guaranteeCurrency"/>
        <s v="guaranteeId"/>
        <s v="guarantees"/>
        <s v="harmonisedCSRating"/>
        <s v="headOfficeBranchIndicator"/>
        <s v="hedgeOverlayFactor"/>
        <s v="hedgeType"/>
        <s v="hedgeValue"/>
        <s v="hedgingSet"/>
        <s v="hedgingSubSet"/>
        <s v="heldPreHaircutValue"/>
        <s v="HFIlliquidInvERCValue"/>
        <s v="historicalCashAwardExpense"/>
        <s v="historicalDeferredAwardExpense"/>
        <s v="historicalFeeAmount"/>
        <s v="HistoricalMortalityTable"/>
        <s v="historicalObservationPeriod"/>
        <s v="holdingPeriod"/>
        <s v="HQLALevel"/>
        <s v="HQLAPriceDropPercentage"/>
        <s v="HQLAValue"/>
        <s v="IHCCounterpartyCategoryCode"/>
        <s v="illiquidCollateralFlag"/>
        <s v="impactCCFOnSsh"/>
        <s v="impairmentStressedCapitalValue"/>
        <s v="impliedMarketRating"/>
        <s v="impliedMarketRatingSource"/>
        <s v="ImpliedVolatility"/>
        <s v="incentivePerformanceBonus"/>
        <s v="incidentEventStatus"/>
        <s v="independentAmount"/>
        <s v="indexCode"/>
        <s v="indexId"/>
        <s v="indexName"/>
        <s v="indexTenor"/>
        <s v="indexType"/>
        <s v="indexValue"/>
        <s v="individualLossAmount"/>
        <s v="industryGICSCode"/>
        <s v="industryNAICSCode"/>
        <s v="industrySector"/>
        <s v="inflationIndex"/>
        <s v="inflationRegion"/>
        <s v="inflationScenarioCashFlow"/>
        <s v="inflationType"/>
        <s v="initialHeld"/>
        <s v="initialMargin"/>
        <s v="initialMarginCALLKCALL"/>
        <s v="initialMarginCALLKPOST"/>
        <s v="initialPaidMargin"/>
        <s v="initialPledged"/>
        <s v="initialVariance"/>
        <s v="inrstOutstandingRate"/>
        <s v="instantaneousDefaultRisk"/>
        <s v="instrumentFlag"/>
        <s v="instrumentIdIssue"/>
        <s v="instrumentIdListing"/>
        <s v="instrumentIdType"/>
        <s v="instrumentPriceDivider"/>
        <s v="instrumentRating"/>
        <s v="insuranceId"/>
        <s v="insuredAmount"/>
        <s v="insurerAge"/>
        <s v="interCompanyFundingPNLCCY"/>
        <s v="interCompanyFundingPNLValue"/>
        <s v="interestFeeDueDate"/>
        <s v="interestPaymentFrequency"/>
        <s v="interestRate"/>
        <s v="interestRateCategoryType"/>
        <s v="interestRateFactor"/>
        <s v="interestRateSpread"/>
        <s v="interimBaseNetIncome"/>
        <s v="interimScenarioPTIValue"/>
        <s v="interimStressedNetIncome"/>
        <s v="internalCollectionId"/>
        <s v="internalCreditRatingCode"/>
        <s v="internalCreditRatingModelCode"/>
        <s v="internalExternalIndicator"/>
        <s v="internalTransactionRating"/>
        <s v="intraTradeNettingFlag"/>
        <s v="inventoryTypeId"/>
        <s v="investementId"/>
        <s v="investmentCurrency"/>
        <s v="investmentExclVAT"/>
        <s v="investmentFundName"/>
        <s v="investmentGrade"/>
        <s v="investorShareNtnl"/>
        <s v="investorSharePc"/>
        <s v="IRCAddonValue"/>
        <s v="IRCAddonValueCcy"/>
        <s v="IRCNotionalValue"/>
        <s v="IRCRWAValue"/>
        <s v="IRCValue"/>
        <s v="IRCValueCurrency"/>
        <s v="IRMAAnalysisId"/>
        <s v="ISDA2003ModRestructuring"/>
        <s v="ISDADefinition"/>
        <s v="ISNIERCValue"/>
        <s v="issueDate"/>
        <s v="issueOutstanding"/>
        <s v="issuerId"/>
        <s v="issuerName"/>
        <s v="issuerType"/>
        <s v="ITSMemorandumOfUnderstanding"/>
        <s v="ITSRevenuesForecast"/>
        <s v="jointVenturePercent"/>
        <s v="Kccp"/>
        <s v="keyFlag"/>
        <s v="KTBDerivativeFlag"/>
        <s v="largeExposureInclusionIndicator"/>
        <s v="LCRExcessOutflow"/>
        <s v="leadSubParticipationAccountNumber"/>
        <s v="leasingInvestmentValueExVAT"/>
        <s v="leasingObjectCategory"/>
        <s v="leasingPaymentToSupplier"/>
        <s v="LEBaseValuationParameters"/>
        <s v="legalEntitiesDividendstToParent"/>
        <s v="legalEntityId"/>
        <s v="legEffectiveDate"/>
        <s v="LESpecificCalculationFlag"/>
        <s v="leverageuplift"/>
        <s v="LGDparameters"/>
        <s v="LGDPercentageValue"/>
        <s v="LGDScopeIndicator"/>
        <s v="LGDUplift"/>
        <s v="LGDVolatility"/>
        <s v="liabilityDuration"/>
        <s v="liabilityGrowth"/>
        <s v="liabilityOverlayFactor"/>
        <s v="lifeInsuranceERCValue"/>
        <s v="limitCarrierLimitValue"/>
        <s v="limitStatus"/>
        <s v="limitType"/>
        <s v="limitValue"/>
        <s v="linearityIndicator"/>
        <s v="liquidityBarometerValue"/>
        <s v="liquidityCoverageRatioValue"/>
        <s v="liquidityFlag"/>
        <s v="liquidityHorizon"/>
        <s v="liquidityProductTypeCode"/>
        <s v="liquidTradedRiskERCValue"/>
        <s v="listedOnStockExchangeFlag"/>
        <s v="litigationCaseGroupingID"/>
        <s v="litigationFlag"/>
        <s v="litigationProvisionAmount"/>
        <s v="loanCommitmentAmount"/>
        <s v="loanInDefaultFlag"/>
        <s v="loanMitigationFlag"/>
        <s v="loanPurposeCode"/>
        <s v="loansAndDepositsCategory"/>
        <s v="loanToValue"/>
        <s v="loanType"/>
        <s v="loanTypeCode"/>
        <s v="localCurrency"/>
        <s v="locationName"/>
        <s v="lombardCollateralCarrierLimitValue"/>
        <s v="longMarketValue"/>
        <s v="longShortIndicator"/>
        <s v="longtermFlag"/>
        <s v="lossGivenBreakup"/>
        <s v="lossRecognitionDate"/>
        <s v="LPAScenarioPTIValueExtrapolated"/>
        <s v="LTorST"/>
        <s v="macaulayDuration"/>
        <s v="MacroSensitive"/>
        <s v="macroVariableHistoricalQuarterDate"/>
        <s v="macroVariableHistoricalValue"/>
        <s v="macroVariableProjectedQuarterDate"/>
        <s v="macroVariableProjectedValue"/>
        <s v="macroVariableProjectedValueFormat"/>
        <s v="macroVariableTicker"/>
        <s v="macroVariableTickerValueType"/>
        <s v="mainIndexFlag"/>
        <s v="majorEquityIndexFlag"/>
        <s v="managementActionsPnLValue"/>
        <s v="managementActionsRWAValue"/>
        <s v="marginAccountIndicator"/>
        <s v="marginalContribution"/>
        <s v="marginFlag"/>
        <s v="marginPeriodOfRisk"/>
        <s v="marketDataIdentifier"/>
        <s v="marketDataType"/>
        <s v="marketDataValue"/>
        <s v="marketRiskCapitalMultiplier"/>
        <s v="marketRiskCVAStressRWAValue"/>
        <s v="marketRiskRWAValue"/>
        <s v="marketTriggerableFlag"/>
        <s v="marketValuationAmount"/>
        <s v="marketValuationDate"/>
        <s v="MARSBusinessHierarchy"/>
        <s v="masterAgreementCode"/>
        <s v="masterAgreementLLK"/>
        <s v="masterIndexId"/>
        <s v="maturityDate"/>
        <s v="maturityFactor"/>
        <s v="maturityProfileOfTreasuryProductValue"/>
        <s v="maxDecayDays"/>
        <s v="MBSCCEligibilityFlag"/>
        <s v="MDARValue"/>
        <s v="mediumAndLongTermDebts"/>
        <s v="mergerDealId"/>
        <s v="mergerOfferType"/>
        <s v="mezzCDSCltrlAmtCHF"/>
        <s v="mezzCDSCurrencyCd"/>
        <s v="mezzCDSMaturityDt"/>
        <s v="mezzCDSMtmAmtCHF"/>
        <s v="mezzCDSNtnlAmtCHF"/>
        <s v="mezzCDSOrigExposureID"/>
        <s v="mezzPercentage"/>
        <s v="mezzTrnchCptyID"/>
        <s v="mezzTrnchNetAmtCHF"/>
        <s v="migrationAndDefaultProbablityParameters"/>
        <s v="migrationCCFValue"/>
        <s v="migrationDelta"/>
        <s v="minimumTransferAmount"/>
        <s v="MISOfficeCode"/>
        <s v="misOrgUnitId"/>
        <s v="MISProduct"/>
        <s v="MMLERCValue"/>
        <s v="modifiedDurationValue"/>
        <s v="modifiedModifiedRestructuring"/>
        <s v="mostLikelySettlementDate"/>
        <s v="mostRecentAUM"/>
        <s v="mostRecentFundNAV"/>
        <s v="MSCISectorCode"/>
        <s v="MTMValue"/>
        <s v="MTMValueCCY"/>
        <s v="MTMValueUnderlying"/>
        <s v="multipleholderObligation"/>
        <s v="NCBFlag"/>
        <s v="NCEIOFlag"/>
        <s v="netBookValue"/>
        <s v="netEquity"/>
        <s v="netExposureAtDefaultValue"/>
        <s v="netIndependentCollateralAmount"/>
        <s v="netLeasingObligation"/>
        <s v="netObligation"/>
        <s v="netRevenueValue"/>
        <s v="netStableFundingRatioValue"/>
        <s v="nettableProductFlag"/>
        <s v="nettingAgreementId"/>
        <s v="NettingBasketID"/>
        <s v="nettingEligibilityType"/>
        <s v="nettingEnforcementFlag"/>
        <s v="nettingSetId"/>
        <s v="nextExerciseDate"/>
        <s v="NIIatRiskValue"/>
        <s v="NIIatRiskValueCurrency"/>
        <s v="NIIValue"/>
        <s v="NMPLayer"/>
        <s v="NMPReplicationPortfolioId"/>
        <s v="NOGACode"/>
        <s v="nonAccrualDate"/>
        <s v="nonPerformanceIndicator"/>
        <s v="nonRecourseLoanERCvalue"/>
        <s v="nonTradedCreditSpreadERCValue"/>
        <s v="nonTradedCreditSpreadPriceCap"/>
        <s v="normalizedIdentifier"/>
        <s v="notionalCompressFlag"/>
        <s v="notionalExposureValue"/>
        <s v="notionalWeightedMaturityValue"/>
        <s v="NRWFlag"/>
        <s v="NSFRCategoryCode"/>
        <s v="NTCSIndexValue"/>
        <s v="numberOfContract"/>
        <s v="numberOfEmployees"/>
        <s v="OASId"/>
        <s v="objectGroupID"/>
        <s v="objectMainGroupCD"/>
        <s v="objectTypeCd"/>
        <s v="obligationAcceleration"/>
        <s v="obligationCategory"/>
        <s v="obligationDefault"/>
        <s v="obligationType"/>
        <s v="OECDCountryFlag"/>
        <s v="OECode"/>
        <s v="OEFunction"/>
        <s v="offBalanceSheetExposureToFund"/>
        <s v="offsettingKey"/>
        <s v="openTradeEquity"/>
        <s v="operatingExpenseAmount"/>
        <s v="operationalRiskBIARWAValue"/>
        <s v="operationalRiskERCValue"/>
        <s v="opRiskAMARWAValue"/>
        <s v="opRiskBookingAmt"/>
        <s v="opRiskBookingCurrency"/>
        <s v="opRiskBookingDate"/>
        <s v="opRiskBookingType"/>
        <s v="opRiskdivforreporting"/>
        <s v="opRiskIncidentGrossAmount"/>
        <s v="opRiskIncidentId"/>
        <s v="opRiskIncidentInsuranceRecoveriesAmt"/>
        <s v="opRiskIncidentOtherRecoveryAmount"/>
        <s v="opRiskIncidentRelevantLE"/>
        <s v="opRiskIncidentTotalLegalFee"/>
        <s v="opRiskInsuranceCoverageLimit"/>
        <s v="opRiskInsuranceCoverageLimitYearly"/>
        <s v="opRiskInsuranceExcess"/>
        <s v="opRiskInsuranceHairCut"/>
        <s v="opRiskRegisterPrimary"/>
        <s v="opRiskRWAValue"/>
        <s v="opRiskScenarioValue"/>
        <s v="opRiskStressLossProjectionValue"/>
        <s v="opRiskStressRWAValue"/>
        <s v="opRisksubdivforreporting"/>
        <s v="opRiskToleranceLevel"/>
        <s v="optionPrice"/>
        <s v="optionStyle"/>
        <s v="OREDivisionalAllocationRatio"/>
        <s v="originationDate"/>
        <s v="ORXBusinessLineL1"/>
        <s v="ORXCountry"/>
        <s v="ORXMemberFlag"/>
        <s v="ORXProductTypeL2Code"/>
        <s v="otherDefaultLossAmount"/>
        <s v="outstandingExpiryCount"/>
        <s v="overdraftAmount"/>
        <s v="overlayBaseline"/>
        <s v="overlayScenarios"/>
        <s v="overlayvalue"/>
        <s v="ownedRealEstateERCValue"/>
        <s v="ownEstimateHaircutRate"/>
        <s v="parentCreditNumber"/>
        <s v="parentId"/>
        <s v="parentTrancheId"/>
        <s v="partnerID"/>
        <s v="paymentAmount"/>
        <s v="paymentCurrency"/>
        <s v="paymentDate"/>
        <s v="paymentToSupplier"/>
        <s v="payOrReceiveIndicator"/>
        <s v="payOutAmount"/>
        <s v="PCAType"/>
        <s v="PCContingentDealSuccessProb"/>
        <s v="PDLGDCorrelationParameters"/>
        <s v="PEIlliquidInvERCValue"/>
        <s v="pensionAllocationKey"/>
        <s v="pensionAssetClass"/>
        <s v="pensionAssetValue"/>
        <s v="pensionEquityFloor"/>
        <s v="pensionPlanMarketValue"/>
        <s v="pensionRiskERCValue"/>
        <s v="pensionRiskRefDate"/>
        <s v="penultimatePayDate"/>
        <s v="percentageOfDelinquency"/>
        <s v="percentageOfPrudency"/>
        <s v="percentageOfVotingRights"/>
        <s v="percentageOwnHoldings"/>
        <s v="performanceAdjustment"/>
        <s v="performanceCriteriaFlag"/>
        <s v="permHeadCount"/>
        <s v="personnelExpenses"/>
        <s v="PEValue"/>
        <s v="pledgeEnforceableFlag"/>
        <s v="pledgeFlag"/>
        <s v="PMGIndustry"/>
        <s v="PnLCostStructureNotes"/>
        <s v="poolTypeCode"/>
        <s v="portfolioRiskClassification"/>
        <s v="positionCurrency"/>
        <s v="positionNettingFlag"/>
        <s v="positionRiskAllocated"/>
        <s v="positionRiskERCValue"/>
        <s v="positionRiskStandAlone"/>
        <s v="positionType"/>
        <s v="postHairCutCollateralValue"/>
        <s v="postingAmount"/>
        <s v="postingCurrency"/>
        <s v="preCollateralisedExposureValue"/>
        <s v="preferredStockIndicator"/>
        <s v="premiumExchangeCount"/>
        <s v="premiumIndicator"/>
        <s v="preNetEADAmount"/>
        <s v="presentValue"/>
        <s v="presentValueCurrency"/>
        <s v="priceBand"/>
        <s v="priceOfUnderlying"/>
        <s v="pricingMethod"/>
        <s v="primaryLLK"/>
        <s v="primaryLLKStatus"/>
        <s v="primarySecurityType"/>
        <s v="principalAmount"/>
        <s v="privateLabelCMBSERCValue"/>
        <s v="privateLabelRMBSERCValue"/>
        <s v="probabilityOfDefaultValue"/>
        <s v="productClassificationCode"/>
        <s v="productFileTypeCode"/>
        <s v="productHierarchyLevel1"/>
        <s v="productHierarchyLevel2"/>
        <s v="productHierarchyLevel3"/>
        <s v="productID"/>
        <s v="productName"/>
        <s v="productUnderlyingExchangeId"/>
        <s v="projectedCashAwardExpense"/>
        <s v="ProjectedCashVariablePayIPB"/>
        <s v="projectedDeferredAwardExpense"/>
        <s v="projectedFeeAmount"/>
        <s v="ProjectedLeverageExposure"/>
        <s v="projectedLeverageExposureValue"/>
        <s v="ProjectedOperationalRiskExpense"/>
        <s v="projectedPreAdjustedPreTaxIncome"/>
        <s v="projectedPreTaxIncome"/>
        <s v="projectedRWAValue"/>
        <s v="projectedStressedLeverageExposureValue"/>
        <s v="projectedStressedRWAValue"/>
        <s v="projectedStressedShareholderEquity"/>
        <s v="projectedTotalNetInterestIncome"/>
        <s v="projectedTotalNonInterestExpense"/>
        <s v="ProjectedTotalNonInterestIncome"/>
        <s v="projectionPeriod"/>
        <s v="projectionStartQuarter"/>
        <s v="propertyConstructionQualityStandardCode"/>
        <s v="propertyCurrentValue"/>
        <s v="propertyIndexName"/>
        <s v="propertyType"/>
        <s v="propertyUsedByCode"/>
        <s v="proRataKey"/>
        <s v="prprtyTrancheFromPct"/>
        <s v="prprtyTrancheToPct"/>
        <s v="pruValAVAValue"/>
        <s v="pruValueAdjustmentValue"/>
        <s v="PSAClawback"/>
        <s v="publiclyTradedSecurity"/>
        <s v="putableFlag"/>
        <s v="quantity"/>
        <s v="ratingModelID"/>
        <s v="ratingOverrideCategoryCd"/>
        <s v="ratingsBasedRiskWeightValue"/>
        <s v="ratioActiveRetired"/>
        <s v="realEstateDebtSecuritiesERCValue"/>
        <s v="realEstateUtilizationRate"/>
        <s v="realMarketValue"/>
        <s v="reasonablyPossibleLossAmount"/>
        <s v="rebalancedcollateralvalue"/>
        <s v="receiveCurrency"/>
        <s v="recourseLikeliness"/>
        <s v="recoveryRate"/>
        <s v="recoveryRiskCategory"/>
        <s v="recoveryType"/>
        <s v="recutVersion"/>
        <s v="referenceEntityId"/>
        <s v="referencePrice"/>
        <s v="referenceSource"/>
        <s v="region"/>
        <s v="regionCode"/>
        <s v="regionCodeForLossGivenDefault"/>
        <s v="regionOfRisk"/>
        <s v="regularWayForwardSettlementId"/>
        <s v="regulatedFlag"/>
        <s v="regulatorIndicator"/>
        <s v="regulatoryNotionalValue"/>
        <s v="regulatoryRNiVRWAValue"/>
        <s v="regulatoryScope"/>
        <s v="regulatorySettlementFlag"/>
        <s v="regulatoryVaRRWAValue"/>
        <s v="rehypothecationFlag"/>
        <s v="relatednessFlag"/>
        <s v="relationshipManagerId"/>
        <s v="relevantIssueSize"/>
        <s v="replacementCostValue"/>
        <s v="repoHedgeBookFlag"/>
        <s v="reportingAccount"/>
        <s v="reportingCurrencyCode"/>
        <s v="reportingDate"/>
        <s v="reportTypeIndicator"/>
        <s v="repoSecurityValue"/>
        <s v="repoStyleIndicator"/>
        <s v="repudiationMoratorium"/>
        <s v="requiredStableFundingCategory"/>
        <s v="resecuritizationFlag"/>
        <s v="resecuritizationSecurityFlag"/>
        <s v="reserveAcc"/>
        <s v="resetFrequency"/>
        <s v="residentialLoanERCvalue"/>
        <s v="residentialRealEstateERCValue"/>
        <s v="residualExclVAT"/>
        <s v="residualInt"/>
        <s v="restrictedControlFlag"/>
        <s v="restructuringFlag"/>
        <s v="restructuringLanguage"/>
        <s v="revenueAmount"/>
        <s v="riskFactors"/>
        <s v="riskPortfolioId"/>
        <s v="riskType"/>
        <s v="riskValue"/>
        <s v="riskValueCcy"/>
        <s v="riskyDV01"/>
        <s v="RMMRecoveryRate"/>
        <s v="RNIERCRiskType"/>
        <s v="RNIERCValue"/>
        <s v="RNIVModelId"/>
        <s v="RNIVModelVersion"/>
        <s v="RNIVUplift"/>
        <s v="RNIVValue"/>
        <s v="RNIVValueCurrency"/>
        <s v="roleCode"/>
        <s v="RWAAssetClass"/>
        <s v="RWAExposureCategory"/>
        <s v="RWAExposureSubCategory"/>
        <s v="RWAMaturityDays"/>
        <s v="RWAReliefFlag"/>
        <s v="RWARiskWeightMethodology"/>
        <s v="RWAUplift"/>
        <s v="RWAValue"/>
        <s v="RWAWeightedAverageLifeDate"/>
        <s v="SACCRAddonValue"/>
        <s v="saccrAssetClass"/>
        <s v="SACCRCorrelationFactor"/>
        <s v="saccrNotional"/>
        <s v="saccrPotentialFutureExposure"/>
        <s v="salaryOrPensionBorrowerAmount"/>
        <s v="saleDate"/>
        <s v="scalingFactor"/>
        <s v="scenarioAddOnValue"/>
        <s v="scenarioCollateralValue"/>
        <s v="scenarioCurrentExposureValue"/>
        <s v="scenarioEADValue"/>
        <s v="scenarioExpectedLossValue"/>
        <s v="scenarioHairCutValue"/>
        <s v="scenarioMTMValue"/>
        <s v="scenarioName"/>
        <s v="scenarioPBCreditLossBufferValue"/>
        <s v="scenarioPBCreditLossValue"/>
        <s v="scenarioPEValue"/>
        <s v="scenarioPnLValue"/>
        <s v="ScenarioPTIexGMSValue"/>
        <s v="ScenarioPTIValue"/>
        <s v="ScenarioPTIValueCcy"/>
        <s v="scenarioYear"/>
        <s v="SCVARWAValue"/>
        <s v="secfinModelCategory"/>
        <s v="secrecyWaiver"/>
        <s v="securedByComRealEstate"/>
        <s v="securedInd"/>
        <s v="securitizationAmount"/>
        <s v="securitizationFlag"/>
        <s v="securitizationIRBRiskWeightValue"/>
        <s v="securitizationStandardizedRiskWeightValue"/>
        <s v="securitizationType"/>
        <s v="securitizedAssetClass"/>
        <s v="securitizedProductsERCValue"/>
        <s v="securityCashBorrowLendFlag"/>
        <s v="securityCashExclusionFlag"/>
        <s v="securityVolatilityHaircut"/>
        <s v="segmentTypeCode"/>
        <s v="segregationIndicator"/>
        <s v="SellerSharePc"/>
        <s v="seniorFlag"/>
        <s v="seniority"/>
        <s v="servicingFee"/>
        <s v="settlementCurrency"/>
        <s v="settlementDate"/>
        <s v="settlementExposureValue"/>
        <s v="settlementMonth"/>
        <s v="settlementQuantity"/>
        <s v="settlementStatusIndicator"/>
        <s v="settlementTypeIndicator"/>
        <s v="SFTCollateralHaircutEADValue"/>
        <s v="SFTFCCMEADValue"/>
        <s v="SFTQPosititonLossAmt"/>
        <s v="SFTQPosititonLossAmtCcy"/>
        <s v="shipAge"/>
        <s v="shipScrapValue"/>
        <s v="shipType"/>
        <s v="shipValue"/>
        <s v="shockValue"/>
        <s v="shortCoverFlag"/>
        <s v="shortTermClaimFlag"/>
        <s v="simpleRiskWeightValue"/>
        <s v="singleClientIdentifier"/>
        <s v="singleNameConcentrationBufferValue"/>
        <s v="singleNameConcentrationLossAmount"/>
        <s v="singleNameIndexFlag"/>
        <s v="skewSurfaceIndicator"/>
        <s v="skewType"/>
        <s v="slottingCriteriaRiskWeightValue"/>
        <s v="SOIDate"/>
        <s v="sourceSystemCode"/>
        <s v="sovereignDefaultIndicator"/>
        <s v="specificRiskAddOnValue"/>
        <s v="spotLeverageExposurevalue"/>
        <s v="SpotRWAAdjustmentsValue"/>
        <s v="spreadPercentage"/>
        <s v="SPVID"/>
        <s v="standardApproachPostCollateralizedEADValue"/>
        <s v="standardApproachPreCollateralizedEADValue"/>
        <s v="standardizedRiskWeightValue"/>
        <s v="standardLombardFlag"/>
        <s v="STCFlag"/>
        <s v="strategicTransactionERCValue"/>
        <s v="strategyStyle"/>
        <s v="stressedCapitalValue"/>
        <s v="stressedCompensationRiskValue"/>
        <s v="stressedCTM"/>
        <s v="stressedDARValue"/>
        <s v="stressedDeferredCompensationImpactValue"/>
        <s v="stressedDeferredTaxAssetsImpactValue"/>
        <s v="stressedEADValue"/>
        <s v="stressedEEPEValue"/>
        <s v="stressedFXMismatchValue"/>
        <s v="stressedGroupROE"/>
        <s v="StressedITSAllocationValue"/>
        <s v="stressedLeverageExposureValue"/>
        <s v="stressedLGDValue"/>
        <s v="stressedLongevityCashFlow"/>
        <s v="StressedNSFRValue"/>
        <s v="stressedOpRiskImpact"/>
        <s v="stressedPDValue"/>
        <s v="stressedPensionRiskPTIImpact"/>
        <s v="stressedRevenueDecline"/>
        <s v="stressedRNiVRWAValue"/>
        <s v="stressedRWAExtrapolated"/>
        <s v="stressedTaxImpact"/>
        <s v="stressedTreasuryPnLCcy"/>
        <s v="stressedTreasuryPnLValue"/>
        <s v="stressedVaRRWAValue"/>
        <s v="StressedVarValue"/>
        <s v="strike"/>
        <s v="strikeccy"/>
        <s v="strikePriceMultiplier"/>
        <s v="strikeRate"/>
        <s v="structureIdOrderNumberExternalId"/>
        <s v="subAccountNostroID"/>
        <s v="subAllocationPercentage"/>
        <s v="subLimitAmount"/>
        <s v="subNettingSet"/>
        <s v="subOrdinationFlag"/>
        <s v="subParticipationFlag"/>
        <s v="supervisoryDelta"/>
        <s v="supervisoryDuration"/>
        <s v="supervisoryFormulaRiskWeightValue"/>
        <s v="supervisorySecuritizationRole"/>
        <s v="swaptionId"/>
        <s v="SWWRCollateralHaircutValue"/>
        <s v="systematicFactorCorrelationMatrix"/>
        <s v="taxExpenseValue"/>
        <s v="tenor"/>
        <s v="tenorBucket"/>
        <s v="thresholdValue"/>
        <s v="tickerCode"/>
        <s v="tickSize"/>
        <s v="tickValue"/>
        <s v="timeBucket"/>
        <s v="timeBucketOption"/>
        <s v="timeSeriesDate"/>
        <s v="timeSeriesERCValue"/>
        <s v="timeSeriesValue"/>
        <s v="topUpLikeliness"/>
        <s v="totalAssetValue"/>
        <s v="totalCapitalLossRWAUplift"/>
        <s v="totalCapitaLossAmount"/>
        <s v="totalCapitaLossAmountCcy"/>
        <s v="totalCashInflowValue"/>
        <s v="totalCashOutflowValue"/>
        <s v="totalCreditLimit"/>
        <s v="totalEquityValue"/>
        <s v="totalERCValue"/>
        <s v="totalFlaggedExpsre"/>
        <s v="totalIssuanceSpread"/>
        <s v="totalLiabilities"/>
        <s v="totalPortfolioMarketValue"/>
        <s v="totalSubParticipationAmount"/>
        <s v="totalSubParticipationLimitCarrierLimitValue"/>
        <s v="TPVLastDoneOn"/>
        <s v="tradeCurrency"/>
        <s v="tradeDate"/>
        <s v="tradeDeltaValue"/>
        <s v="tradedRiskERCValue"/>
        <s v="tradeGroup"/>
        <s v="tradeId"/>
        <s v="tradeNotionalPrincipal"/>
        <s v="tradeStatus"/>
        <s v="tradingBookSecuritizationExposureValue"/>
        <s v="tradingIssuerDefaultLossAmount"/>
        <s v="trancheId"/>
        <s v="trancheMaturityDate"/>
        <s v="trancheMaturityDateType"/>
        <s v="trancheRating"/>
        <s v="transferPricingExpenses"/>
        <s v="treasuryHeldShares"/>
        <s v="treasuryPutCallComboOutstanding"/>
        <s v="triggerContractFlag"/>
        <s v="triggerLoanToValue"/>
        <s v="triggerProbability"/>
        <s v="underlyingAssetClass"/>
        <s v="underlyingCurrency"/>
        <s v="underlyingEffectiveDate"/>
        <s v="underlyingId"/>
        <s v="underlyingProductExchangeId"/>
        <s v="underlyingTypeCode"/>
        <s v="unfundedAmount"/>
        <s v="unityFXTKey"/>
        <s v="unityKey"/>
        <s v="unstressedProvisionBufferValue"/>
        <s v="USGAAPValue"/>
        <s v="valuationModelName"/>
        <s v="valueToLoan"/>
        <s v="VaRCalculationMethod"/>
        <s v="variationHeld"/>
        <s v="variationMarginCALLK"/>
        <s v="variationPledged"/>
        <s v="VaRValue"/>
        <s v="VaRValueCurrency"/>
        <s v="vegaType"/>
        <s v="versionLGD"/>
        <s v="volatilityFactor"/>
        <s v="volatilityFlag"/>
        <s v="volatilityTrade"/>
        <s v="volckerAdjustment"/>
        <s v="watchlistEndDate"/>
        <s v="watchlistFlag"/>
        <s v="watchlistStartDate"/>
        <s v="weightedAverageLife"/>
        <s v="weightedAverageMaturity"/>
        <s v="wrongWayRiskFlag"/>
        <s v="WWRExposureAddOnValue"/>
        <s v="XMValue"/>
        <s v="yearEndCleardownDate"/>
        <s v="yieldRate"/>
        <s v="ZCXMValue"/>
        <s v="zeroRiskWeightEntity"/>
        <s v="CIFNumber"/>
        <s v="initialReceivedMargin"/>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65">
  <r>
    <x v="0"/>
  </r>
  <r>
    <x v="1"/>
  </r>
  <r>
    <x v="2"/>
  </r>
  <r>
    <x v="3"/>
  </r>
  <r>
    <x v="4"/>
  </r>
  <r>
    <x v="5"/>
  </r>
  <r>
    <x v="6"/>
  </r>
  <r>
    <x v="7"/>
  </r>
  <r>
    <x v="8"/>
  </r>
  <r>
    <x v="9"/>
  </r>
  <r>
    <x v="10"/>
  </r>
  <r>
    <x v="11"/>
  </r>
  <r>
    <x v="12"/>
  </r>
  <r>
    <x v="13"/>
  </r>
  <r>
    <x v="14"/>
  </r>
  <r>
    <x v="15"/>
  </r>
  <r>
    <x v="16"/>
  </r>
  <r>
    <x v="17"/>
  </r>
  <r>
    <x v="18"/>
  </r>
  <r>
    <x v="19"/>
  </r>
  <r>
    <x v="20"/>
  </r>
  <r>
    <x v="21"/>
  </r>
  <r>
    <x v="22"/>
  </r>
  <r>
    <x v="23"/>
  </r>
  <r>
    <x v="24"/>
  </r>
  <r>
    <x v="25"/>
  </r>
  <r>
    <x v="26"/>
  </r>
  <r>
    <x v="27"/>
  </r>
  <r>
    <x v="28"/>
  </r>
  <r>
    <x v="29"/>
  </r>
  <r>
    <x v="30"/>
  </r>
  <r>
    <x v="31"/>
  </r>
  <r>
    <x v="32"/>
  </r>
  <r>
    <x v="33"/>
  </r>
  <r>
    <x v="34"/>
  </r>
  <r>
    <x v="35"/>
  </r>
  <r>
    <x v="36"/>
  </r>
  <r>
    <x v="37"/>
  </r>
  <r>
    <x v="38"/>
  </r>
  <r>
    <x v="39"/>
  </r>
  <r>
    <x v="40"/>
  </r>
  <r>
    <x v="41"/>
  </r>
  <r>
    <x v="42"/>
  </r>
  <r>
    <x v="43"/>
  </r>
  <r>
    <x v="44"/>
  </r>
  <r>
    <x v="45"/>
  </r>
  <r>
    <x v="46"/>
  </r>
  <r>
    <x v="47"/>
  </r>
  <r>
    <x v="48"/>
  </r>
  <r>
    <x v="49"/>
  </r>
  <r>
    <x v="50"/>
  </r>
  <r>
    <x v="51"/>
  </r>
  <r>
    <x v="52"/>
  </r>
  <r>
    <x v="53"/>
  </r>
  <r>
    <x v="54"/>
  </r>
  <r>
    <x v="55"/>
  </r>
  <r>
    <x v="56"/>
  </r>
  <r>
    <x v="57"/>
  </r>
  <r>
    <x v="58"/>
  </r>
  <r>
    <x v="59"/>
  </r>
  <r>
    <x v="60"/>
  </r>
  <r>
    <x v="61"/>
  </r>
  <r>
    <x v="62"/>
  </r>
  <r>
    <x v="63"/>
  </r>
  <r>
    <x v="64"/>
  </r>
  <r>
    <x v="65"/>
  </r>
  <r>
    <x v="66"/>
  </r>
  <r>
    <x v="67"/>
  </r>
  <r>
    <x v="68"/>
  </r>
  <r>
    <x v="69"/>
  </r>
  <r>
    <x v="70"/>
  </r>
  <r>
    <x v="71"/>
  </r>
  <r>
    <x v="72"/>
  </r>
  <r>
    <x v="73"/>
  </r>
  <r>
    <x v="74"/>
  </r>
  <r>
    <x v="75"/>
  </r>
  <r>
    <x v="76"/>
  </r>
  <r>
    <x v="77"/>
  </r>
  <r>
    <x v="78"/>
  </r>
  <r>
    <x v="79"/>
  </r>
  <r>
    <x v="80"/>
  </r>
  <r>
    <x v="81"/>
  </r>
  <r>
    <x v="82"/>
  </r>
  <r>
    <x v="83"/>
  </r>
  <r>
    <x v="84"/>
  </r>
  <r>
    <x v="85"/>
  </r>
  <r>
    <x v="86"/>
  </r>
  <r>
    <x v="87"/>
  </r>
  <r>
    <x v="88"/>
  </r>
  <r>
    <x v="89"/>
  </r>
  <r>
    <x v="90"/>
  </r>
  <r>
    <x v="91"/>
  </r>
  <r>
    <x v="92"/>
  </r>
  <r>
    <x v="93"/>
  </r>
  <r>
    <x v="94"/>
  </r>
  <r>
    <x v="95"/>
  </r>
  <r>
    <x v="96"/>
  </r>
  <r>
    <x v="97"/>
  </r>
  <r>
    <x v="98"/>
  </r>
  <r>
    <x v="99"/>
  </r>
  <r>
    <x v="100"/>
  </r>
  <r>
    <x v="101"/>
  </r>
  <r>
    <x v="102"/>
  </r>
  <r>
    <x v="103"/>
  </r>
  <r>
    <x v="104"/>
  </r>
  <r>
    <x v="105"/>
  </r>
  <r>
    <x v="106"/>
  </r>
  <r>
    <x v="107"/>
  </r>
  <r>
    <x v="108"/>
  </r>
  <r>
    <x v="109"/>
  </r>
  <r>
    <x v="110"/>
  </r>
  <r>
    <x v="111"/>
  </r>
  <r>
    <x v="112"/>
  </r>
  <r>
    <x v="113"/>
  </r>
  <r>
    <x v="114"/>
  </r>
  <r>
    <x v="115"/>
  </r>
  <r>
    <x v="116"/>
  </r>
  <r>
    <x v="117"/>
  </r>
  <r>
    <x v="118"/>
  </r>
  <r>
    <x v="119"/>
  </r>
  <r>
    <x v="120"/>
  </r>
  <r>
    <x v="121"/>
  </r>
  <r>
    <x v="122"/>
  </r>
  <r>
    <x v="123"/>
  </r>
  <r>
    <x v="124"/>
  </r>
  <r>
    <x v="125"/>
  </r>
  <r>
    <x v="126"/>
  </r>
  <r>
    <x v="127"/>
  </r>
  <r>
    <x v="128"/>
  </r>
  <r>
    <x v="129"/>
  </r>
  <r>
    <x v="130"/>
  </r>
  <r>
    <x v="131"/>
  </r>
  <r>
    <x v="132"/>
  </r>
  <r>
    <x v="133"/>
  </r>
  <r>
    <x v="134"/>
  </r>
  <r>
    <x v="135"/>
  </r>
  <r>
    <x v="136"/>
  </r>
  <r>
    <x v="137"/>
  </r>
  <r>
    <x v="138"/>
  </r>
  <r>
    <x v="139"/>
  </r>
  <r>
    <x v="140"/>
  </r>
  <r>
    <x v="141"/>
  </r>
  <r>
    <x v="142"/>
  </r>
  <r>
    <x v="143"/>
  </r>
  <r>
    <x v="144"/>
  </r>
  <r>
    <x v="145"/>
  </r>
  <r>
    <x v="146"/>
  </r>
  <r>
    <x v="147"/>
  </r>
  <r>
    <x v="148"/>
  </r>
  <r>
    <x v="149"/>
  </r>
  <r>
    <x v="150"/>
  </r>
  <r>
    <x v="151"/>
  </r>
  <r>
    <x v="152"/>
  </r>
  <r>
    <x v="153"/>
  </r>
  <r>
    <x v="154"/>
  </r>
  <r>
    <x v="155"/>
  </r>
  <r>
    <x v="156"/>
  </r>
  <r>
    <x v="157"/>
  </r>
  <r>
    <x v="158"/>
  </r>
  <r>
    <x v="159"/>
  </r>
  <r>
    <x v="160"/>
  </r>
  <r>
    <x v="161"/>
  </r>
  <r>
    <x v="162"/>
  </r>
  <r>
    <x v="163"/>
  </r>
  <r>
    <x v="164"/>
  </r>
  <r>
    <x v="165"/>
  </r>
  <r>
    <x v="166"/>
  </r>
  <r>
    <x v="167"/>
  </r>
  <r>
    <x v="168"/>
  </r>
  <r>
    <x v="169"/>
  </r>
  <r>
    <x v="170"/>
  </r>
  <r>
    <x v="171"/>
  </r>
  <r>
    <x v="172"/>
  </r>
  <r>
    <x v="173"/>
  </r>
  <r>
    <x v="174"/>
  </r>
  <r>
    <x v="175"/>
  </r>
  <r>
    <x v="176"/>
  </r>
  <r>
    <x v="177"/>
  </r>
  <r>
    <x v="178"/>
  </r>
  <r>
    <x v="179"/>
  </r>
  <r>
    <x v="180"/>
  </r>
  <r>
    <x v="181"/>
  </r>
  <r>
    <x v="182"/>
  </r>
  <r>
    <x v="183"/>
  </r>
  <r>
    <x v="184"/>
  </r>
  <r>
    <x v="185"/>
  </r>
  <r>
    <x v="186"/>
  </r>
  <r>
    <x v="187"/>
  </r>
  <r>
    <x v="188"/>
  </r>
  <r>
    <x v="189"/>
  </r>
  <r>
    <x v="190"/>
  </r>
  <r>
    <x v="191"/>
  </r>
  <r>
    <x v="192"/>
  </r>
  <r>
    <x v="193"/>
  </r>
  <r>
    <x v="194"/>
  </r>
  <r>
    <x v="195"/>
  </r>
  <r>
    <x v="196"/>
  </r>
  <r>
    <x v="197"/>
  </r>
  <r>
    <x v="198"/>
  </r>
  <r>
    <x v="199"/>
  </r>
  <r>
    <x v="200"/>
  </r>
  <r>
    <x v="201"/>
  </r>
  <r>
    <x v="202"/>
  </r>
  <r>
    <x v="203"/>
  </r>
  <r>
    <x v="204"/>
  </r>
  <r>
    <x v="205"/>
  </r>
  <r>
    <x v="206"/>
  </r>
  <r>
    <x v="207"/>
  </r>
  <r>
    <x v="208"/>
  </r>
  <r>
    <x v="209"/>
  </r>
  <r>
    <x v="210"/>
  </r>
  <r>
    <x v="211"/>
  </r>
  <r>
    <x v="212"/>
  </r>
  <r>
    <x v="213"/>
  </r>
  <r>
    <x v="214"/>
  </r>
  <r>
    <x v="215"/>
  </r>
  <r>
    <x v="216"/>
  </r>
  <r>
    <x v="217"/>
  </r>
  <r>
    <x v="218"/>
  </r>
  <r>
    <x v="219"/>
  </r>
  <r>
    <x v="220"/>
  </r>
  <r>
    <x v="221"/>
  </r>
  <r>
    <x v="222"/>
  </r>
  <r>
    <x v="223"/>
  </r>
  <r>
    <x v="224"/>
  </r>
  <r>
    <x v="225"/>
  </r>
  <r>
    <x v="226"/>
  </r>
  <r>
    <x v="227"/>
  </r>
  <r>
    <x v="228"/>
  </r>
  <r>
    <x v="229"/>
  </r>
  <r>
    <x v="230"/>
  </r>
  <r>
    <x v="231"/>
  </r>
  <r>
    <x v="232"/>
  </r>
  <r>
    <x v="233"/>
  </r>
  <r>
    <x v="234"/>
  </r>
  <r>
    <x v="235"/>
  </r>
  <r>
    <x v="236"/>
  </r>
  <r>
    <x v="237"/>
  </r>
  <r>
    <x v="238"/>
  </r>
  <r>
    <x v="239"/>
  </r>
  <r>
    <x v="240"/>
  </r>
  <r>
    <x v="241"/>
  </r>
  <r>
    <x v="242"/>
  </r>
  <r>
    <x v="243"/>
  </r>
  <r>
    <x v="244"/>
  </r>
  <r>
    <x v="245"/>
  </r>
  <r>
    <x v="246"/>
  </r>
  <r>
    <x v="247"/>
  </r>
  <r>
    <x v="248"/>
  </r>
  <r>
    <x v="249"/>
  </r>
  <r>
    <x v="250"/>
  </r>
  <r>
    <x v="251"/>
  </r>
  <r>
    <x v="252"/>
  </r>
  <r>
    <x v="253"/>
  </r>
  <r>
    <x v="254"/>
  </r>
  <r>
    <x v="255"/>
  </r>
  <r>
    <x v="256"/>
  </r>
  <r>
    <x v="257"/>
  </r>
  <r>
    <x v="258"/>
  </r>
  <r>
    <x v="259"/>
  </r>
  <r>
    <x v="260"/>
  </r>
  <r>
    <x v="261"/>
  </r>
  <r>
    <x v="262"/>
  </r>
  <r>
    <x v="263"/>
  </r>
  <r>
    <x v="264"/>
  </r>
  <r>
    <x v="265"/>
  </r>
  <r>
    <x v="266"/>
  </r>
  <r>
    <x v="267"/>
  </r>
  <r>
    <x v="268"/>
  </r>
  <r>
    <x v="269"/>
  </r>
  <r>
    <x v="270"/>
  </r>
  <r>
    <x v="271"/>
  </r>
  <r>
    <x v="272"/>
  </r>
  <r>
    <x v="273"/>
  </r>
  <r>
    <x v="274"/>
  </r>
  <r>
    <x v="275"/>
  </r>
  <r>
    <x v="276"/>
  </r>
  <r>
    <x v="277"/>
  </r>
  <r>
    <x v="278"/>
  </r>
  <r>
    <x v="279"/>
  </r>
  <r>
    <x v="280"/>
  </r>
  <r>
    <x v="281"/>
  </r>
  <r>
    <x v="282"/>
  </r>
  <r>
    <x v="283"/>
  </r>
  <r>
    <x v="284"/>
  </r>
  <r>
    <x v="285"/>
  </r>
  <r>
    <x v="286"/>
  </r>
  <r>
    <x v="287"/>
  </r>
  <r>
    <x v="288"/>
  </r>
  <r>
    <x v="289"/>
  </r>
  <r>
    <x v="290"/>
  </r>
  <r>
    <x v="291"/>
  </r>
  <r>
    <x v="292"/>
  </r>
  <r>
    <x v="293"/>
  </r>
  <r>
    <x v="294"/>
  </r>
  <r>
    <x v="295"/>
  </r>
  <r>
    <x v="296"/>
  </r>
  <r>
    <x v="297"/>
  </r>
  <r>
    <x v="298"/>
  </r>
  <r>
    <x v="299"/>
  </r>
  <r>
    <x v="300"/>
  </r>
  <r>
    <x v="301"/>
  </r>
  <r>
    <x v="302"/>
  </r>
  <r>
    <x v="303"/>
  </r>
  <r>
    <x v="304"/>
  </r>
  <r>
    <x v="305"/>
  </r>
  <r>
    <x v="306"/>
  </r>
  <r>
    <x v="307"/>
  </r>
  <r>
    <x v="308"/>
  </r>
  <r>
    <x v="309"/>
  </r>
  <r>
    <x v="310"/>
  </r>
  <r>
    <x v="311"/>
  </r>
  <r>
    <x v="312"/>
  </r>
  <r>
    <x v="313"/>
  </r>
  <r>
    <x v="314"/>
  </r>
  <r>
    <x v="315"/>
  </r>
  <r>
    <x v="316"/>
  </r>
  <r>
    <x v="317"/>
  </r>
  <r>
    <x v="318"/>
  </r>
  <r>
    <x v="319"/>
  </r>
  <r>
    <x v="320"/>
  </r>
  <r>
    <x v="321"/>
  </r>
  <r>
    <x v="322"/>
  </r>
  <r>
    <x v="323"/>
  </r>
  <r>
    <x v="324"/>
  </r>
  <r>
    <x v="325"/>
  </r>
  <r>
    <x v="326"/>
  </r>
  <r>
    <x v="327"/>
  </r>
  <r>
    <x v="328"/>
  </r>
  <r>
    <x v="329"/>
  </r>
  <r>
    <x v="330"/>
  </r>
  <r>
    <x v="331"/>
  </r>
  <r>
    <x v="332"/>
  </r>
  <r>
    <x v="333"/>
  </r>
  <r>
    <x v="334"/>
  </r>
  <r>
    <x v="335"/>
  </r>
  <r>
    <x v="336"/>
  </r>
  <r>
    <x v="337"/>
  </r>
  <r>
    <x v="338"/>
  </r>
  <r>
    <x v="339"/>
  </r>
  <r>
    <x v="340"/>
  </r>
  <r>
    <x v="341"/>
  </r>
  <r>
    <x v="342"/>
  </r>
  <r>
    <x v="343"/>
  </r>
  <r>
    <x v="344"/>
  </r>
  <r>
    <x v="345"/>
  </r>
  <r>
    <x v="346"/>
  </r>
  <r>
    <x v="347"/>
  </r>
  <r>
    <x v="348"/>
  </r>
  <r>
    <x v="349"/>
  </r>
  <r>
    <x v="350"/>
  </r>
  <r>
    <x v="351"/>
  </r>
  <r>
    <x v="352"/>
  </r>
  <r>
    <x v="353"/>
  </r>
  <r>
    <x v="354"/>
  </r>
  <r>
    <x v="355"/>
  </r>
  <r>
    <x v="356"/>
  </r>
  <r>
    <x v="357"/>
  </r>
  <r>
    <x v="358"/>
  </r>
  <r>
    <x v="359"/>
  </r>
  <r>
    <x v="360"/>
  </r>
  <r>
    <x v="361"/>
  </r>
  <r>
    <x v="362"/>
  </r>
  <r>
    <x v="363"/>
  </r>
  <r>
    <x v="364"/>
  </r>
  <r>
    <x v="365"/>
  </r>
  <r>
    <x v="366"/>
  </r>
  <r>
    <x v="367"/>
  </r>
  <r>
    <x v="368"/>
  </r>
  <r>
    <x v="369"/>
  </r>
  <r>
    <x v="370"/>
  </r>
  <r>
    <x v="371"/>
  </r>
  <r>
    <x v="372"/>
  </r>
  <r>
    <x v="373"/>
  </r>
  <r>
    <x v="374"/>
  </r>
  <r>
    <x v="375"/>
  </r>
  <r>
    <x v="376"/>
  </r>
  <r>
    <x v="377"/>
  </r>
  <r>
    <x v="378"/>
  </r>
  <r>
    <x v="379"/>
  </r>
  <r>
    <x v="380"/>
  </r>
  <r>
    <x v="381"/>
  </r>
  <r>
    <x v="382"/>
  </r>
  <r>
    <x v="383"/>
  </r>
  <r>
    <x v="384"/>
  </r>
  <r>
    <x v="385"/>
  </r>
  <r>
    <x v="386"/>
  </r>
  <r>
    <x v="387"/>
  </r>
  <r>
    <x v="388"/>
  </r>
  <r>
    <x v="389"/>
  </r>
  <r>
    <x v="390"/>
  </r>
  <r>
    <x v="391"/>
  </r>
  <r>
    <x v="392"/>
  </r>
  <r>
    <x v="393"/>
  </r>
  <r>
    <x v="394"/>
  </r>
  <r>
    <x v="395"/>
  </r>
  <r>
    <x v="396"/>
  </r>
  <r>
    <x v="397"/>
  </r>
  <r>
    <x v="398"/>
  </r>
  <r>
    <x v="399"/>
  </r>
  <r>
    <x v="400"/>
  </r>
  <r>
    <x v="401"/>
  </r>
  <r>
    <x v="402"/>
  </r>
  <r>
    <x v="403"/>
  </r>
  <r>
    <x v="404"/>
  </r>
  <r>
    <x v="405"/>
  </r>
  <r>
    <x v="406"/>
  </r>
  <r>
    <x v="407"/>
  </r>
  <r>
    <x v="408"/>
  </r>
  <r>
    <x v="409"/>
  </r>
  <r>
    <x v="410"/>
  </r>
  <r>
    <x v="411"/>
  </r>
  <r>
    <x v="412"/>
  </r>
  <r>
    <x v="413"/>
  </r>
  <r>
    <x v="414"/>
  </r>
  <r>
    <x v="415"/>
  </r>
  <r>
    <x v="416"/>
  </r>
  <r>
    <x v="417"/>
  </r>
  <r>
    <x v="418"/>
  </r>
  <r>
    <x v="419"/>
  </r>
  <r>
    <x v="420"/>
  </r>
  <r>
    <x v="421"/>
  </r>
  <r>
    <x v="422"/>
  </r>
  <r>
    <x v="423"/>
  </r>
  <r>
    <x v="424"/>
  </r>
  <r>
    <x v="425"/>
  </r>
  <r>
    <x v="426"/>
  </r>
  <r>
    <x v="427"/>
  </r>
  <r>
    <x v="428"/>
  </r>
  <r>
    <x v="429"/>
  </r>
  <r>
    <x v="430"/>
  </r>
  <r>
    <x v="431"/>
  </r>
  <r>
    <x v="432"/>
  </r>
  <r>
    <x v="433"/>
  </r>
  <r>
    <x v="434"/>
  </r>
  <r>
    <x v="435"/>
  </r>
  <r>
    <x v="436"/>
  </r>
  <r>
    <x v="437"/>
  </r>
  <r>
    <x v="438"/>
  </r>
  <r>
    <x v="439"/>
  </r>
  <r>
    <x v="440"/>
  </r>
  <r>
    <x v="441"/>
  </r>
  <r>
    <x v="442"/>
  </r>
  <r>
    <x v="443"/>
  </r>
  <r>
    <x v="444"/>
  </r>
  <r>
    <x v="445"/>
  </r>
  <r>
    <x v="446"/>
  </r>
  <r>
    <x v="447"/>
  </r>
  <r>
    <x v="448"/>
  </r>
  <r>
    <x v="449"/>
  </r>
  <r>
    <x v="450"/>
  </r>
  <r>
    <x v="451"/>
  </r>
  <r>
    <x v="452"/>
  </r>
  <r>
    <x v="453"/>
  </r>
  <r>
    <x v="454"/>
  </r>
  <r>
    <x v="455"/>
  </r>
  <r>
    <x v="456"/>
  </r>
  <r>
    <x v="457"/>
  </r>
  <r>
    <x v="458"/>
  </r>
  <r>
    <x v="459"/>
  </r>
  <r>
    <x v="460"/>
  </r>
  <r>
    <x v="461"/>
  </r>
  <r>
    <x v="462"/>
  </r>
  <r>
    <x v="463"/>
  </r>
  <r>
    <x v="464"/>
  </r>
  <r>
    <x v="465"/>
  </r>
  <r>
    <x v="466"/>
  </r>
  <r>
    <x v="467"/>
  </r>
  <r>
    <x v="468"/>
  </r>
  <r>
    <x v="469"/>
  </r>
  <r>
    <x v="470"/>
  </r>
  <r>
    <x v="471"/>
  </r>
  <r>
    <x v="472"/>
  </r>
  <r>
    <x v="473"/>
  </r>
  <r>
    <x v="474"/>
  </r>
  <r>
    <x v="475"/>
  </r>
  <r>
    <x v="476"/>
  </r>
  <r>
    <x v="477"/>
  </r>
  <r>
    <x v="478"/>
  </r>
  <r>
    <x v="479"/>
  </r>
  <r>
    <x v="480"/>
  </r>
  <r>
    <x v="481"/>
  </r>
  <r>
    <x v="482"/>
  </r>
  <r>
    <x v="483"/>
  </r>
  <r>
    <x v="484"/>
  </r>
  <r>
    <x v="485"/>
  </r>
  <r>
    <x v="486"/>
  </r>
  <r>
    <x v="487"/>
  </r>
  <r>
    <x v="488"/>
  </r>
  <r>
    <x v="489"/>
  </r>
  <r>
    <x v="490"/>
  </r>
  <r>
    <x v="491"/>
  </r>
  <r>
    <x v="492"/>
  </r>
  <r>
    <x v="493"/>
  </r>
  <r>
    <x v="494"/>
  </r>
  <r>
    <x v="495"/>
  </r>
  <r>
    <x v="496"/>
  </r>
  <r>
    <x v="497"/>
  </r>
  <r>
    <x v="498"/>
  </r>
  <r>
    <x v="499"/>
  </r>
  <r>
    <x v="500"/>
  </r>
  <r>
    <x v="501"/>
  </r>
  <r>
    <x v="502"/>
  </r>
  <r>
    <x v="503"/>
  </r>
  <r>
    <x v="504"/>
  </r>
  <r>
    <x v="505"/>
  </r>
  <r>
    <x v="506"/>
  </r>
  <r>
    <x v="507"/>
  </r>
  <r>
    <x v="508"/>
  </r>
  <r>
    <x v="509"/>
  </r>
  <r>
    <x v="510"/>
  </r>
  <r>
    <x v="511"/>
  </r>
  <r>
    <x v="512"/>
  </r>
  <r>
    <x v="513"/>
  </r>
  <r>
    <x v="514"/>
  </r>
  <r>
    <x v="515"/>
  </r>
  <r>
    <x v="516"/>
  </r>
  <r>
    <x v="517"/>
  </r>
  <r>
    <x v="518"/>
  </r>
  <r>
    <x v="519"/>
  </r>
  <r>
    <x v="520"/>
  </r>
  <r>
    <x v="521"/>
  </r>
  <r>
    <x v="522"/>
  </r>
  <r>
    <x v="523"/>
  </r>
  <r>
    <x v="524"/>
  </r>
  <r>
    <x v="525"/>
  </r>
  <r>
    <x v="526"/>
  </r>
  <r>
    <x v="527"/>
  </r>
  <r>
    <x v="528"/>
  </r>
  <r>
    <x v="529"/>
  </r>
  <r>
    <x v="530"/>
  </r>
  <r>
    <x v="531"/>
  </r>
  <r>
    <x v="532"/>
  </r>
  <r>
    <x v="533"/>
  </r>
  <r>
    <x v="534"/>
  </r>
  <r>
    <x v="535"/>
  </r>
  <r>
    <x v="536"/>
  </r>
  <r>
    <x v="537"/>
  </r>
  <r>
    <x v="538"/>
  </r>
  <r>
    <x v="539"/>
  </r>
  <r>
    <x v="540"/>
  </r>
  <r>
    <x v="541"/>
  </r>
  <r>
    <x v="542"/>
  </r>
  <r>
    <x v="543"/>
  </r>
  <r>
    <x v="544"/>
  </r>
  <r>
    <x v="545"/>
  </r>
  <r>
    <x v="546"/>
  </r>
  <r>
    <x v="547"/>
  </r>
  <r>
    <x v="548"/>
  </r>
  <r>
    <x v="549"/>
  </r>
  <r>
    <x v="550"/>
  </r>
  <r>
    <x v="551"/>
  </r>
  <r>
    <x v="552"/>
  </r>
  <r>
    <x v="553"/>
  </r>
  <r>
    <x v="554"/>
  </r>
  <r>
    <x v="555"/>
  </r>
  <r>
    <x v="556"/>
  </r>
  <r>
    <x v="557"/>
  </r>
  <r>
    <x v="558"/>
  </r>
  <r>
    <x v="559"/>
  </r>
  <r>
    <x v="560"/>
  </r>
  <r>
    <x v="561"/>
  </r>
  <r>
    <x v="562"/>
  </r>
  <r>
    <x v="563"/>
  </r>
  <r>
    <x v="564"/>
  </r>
  <r>
    <x v="565"/>
  </r>
  <r>
    <x v="566"/>
  </r>
  <r>
    <x v="567"/>
  </r>
  <r>
    <x v="568"/>
  </r>
  <r>
    <x v="569"/>
  </r>
  <r>
    <x v="570"/>
  </r>
  <r>
    <x v="571"/>
  </r>
  <r>
    <x v="572"/>
  </r>
  <r>
    <x v="573"/>
  </r>
  <r>
    <x v="574"/>
  </r>
  <r>
    <x v="575"/>
  </r>
  <r>
    <x v="576"/>
  </r>
  <r>
    <x v="577"/>
  </r>
  <r>
    <x v="578"/>
  </r>
  <r>
    <x v="579"/>
  </r>
  <r>
    <x v="580"/>
  </r>
  <r>
    <x v="581"/>
  </r>
  <r>
    <x v="582"/>
  </r>
  <r>
    <x v="583"/>
  </r>
  <r>
    <x v="584"/>
  </r>
  <r>
    <x v="585"/>
  </r>
  <r>
    <x v="586"/>
  </r>
  <r>
    <x v="587"/>
  </r>
  <r>
    <x v="588"/>
  </r>
  <r>
    <x v="589"/>
  </r>
  <r>
    <x v="590"/>
  </r>
  <r>
    <x v="591"/>
  </r>
  <r>
    <x v="592"/>
  </r>
  <r>
    <x v="593"/>
  </r>
  <r>
    <x v="594"/>
  </r>
  <r>
    <x v="595"/>
  </r>
  <r>
    <x v="596"/>
  </r>
  <r>
    <x v="597"/>
  </r>
  <r>
    <x v="598"/>
  </r>
  <r>
    <x v="599"/>
  </r>
  <r>
    <x v="600"/>
  </r>
  <r>
    <x v="601"/>
  </r>
  <r>
    <x v="602"/>
  </r>
  <r>
    <x v="603"/>
  </r>
  <r>
    <x v="604"/>
  </r>
  <r>
    <x v="605"/>
  </r>
  <r>
    <x v="606"/>
  </r>
  <r>
    <x v="607"/>
  </r>
  <r>
    <x v="608"/>
  </r>
  <r>
    <x v="609"/>
  </r>
  <r>
    <x v="610"/>
  </r>
  <r>
    <x v="611"/>
  </r>
  <r>
    <x v="612"/>
  </r>
  <r>
    <x v="613"/>
  </r>
  <r>
    <x v="614"/>
  </r>
  <r>
    <x v="615"/>
  </r>
  <r>
    <x v="616"/>
  </r>
  <r>
    <x v="617"/>
  </r>
  <r>
    <x v="618"/>
  </r>
  <r>
    <x v="619"/>
  </r>
  <r>
    <x v="620"/>
  </r>
  <r>
    <x v="621"/>
  </r>
  <r>
    <x v="622"/>
  </r>
  <r>
    <x v="623"/>
  </r>
  <r>
    <x v="624"/>
  </r>
  <r>
    <x v="625"/>
  </r>
  <r>
    <x v="626"/>
  </r>
  <r>
    <x v="627"/>
  </r>
  <r>
    <x v="628"/>
  </r>
  <r>
    <x v="629"/>
  </r>
  <r>
    <x v="630"/>
  </r>
  <r>
    <x v="631"/>
  </r>
  <r>
    <x v="632"/>
  </r>
  <r>
    <x v="633"/>
  </r>
  <r>
    <x v="634"/>
  </r>
  <r>
    <x v="635"/>
  </r>
  <r>
    <x v="636"/>
  </r>
  <r>
    <x v="637"/>
  </r>
  <r>
    <x v="638"/>
  </r>
  <r>
    <x v="639"/>
  </r>
  <r>
    <x v="640"/>
  </r>
  <r>
    <x v="641"/>
  </r>
  <r>
    <x v="642"/>
  </r>
  <r>
    <x v="643"/>
  </r>
  <r>
    <x v="644"/>
  </r>
  <r>
    <x v="645"/>
  </r>
  <r>
    <x v="646"/>
  </r>
  <r>
    <x v="647"/>
  </r>
  <r>
    <x v="648"/>
  </r>
  <r>
    <x v="649"/>
  </r>
  <r>
    <x v="650"/>
  </r>
  <r>
    <x v="651"/>
  </r>
  <r>
    <x v="652"/>
  </r>
  <r>
    <x v="653"/>
  </r>
  <r>
    <x v="654"/>
  </r>
  <r>
    <x v="655"/>
  </r>
  <r>
    <x v="656"/>
  </r>
  <r>
    <x v="657"/>
  </r>
  <r>
    <x v="658"/>
  </r>
  <r>
    <x v="659"/>
  </r>
  <r>
    <x v="660"/>
  </r>
  <r>
    <x v="661"/>
  </r>
  <r>
    <x v="662"/>
  </r>
  <r>
    <x v="663"/>
  </r>
  <r>
    <x v="664"/>
  </r>
  <r>
    <x v="665"/>
  </r>
  <r>
    <x v="666"/>
  </r>
  <r>
    <x v="667"/>
  </r>
  <r>
    <x v="668"/>
  </r>
  <r>
    <x v="669"/>
  </r>
  <r>
    <x v="670"/>
  </r>
  <r>
    <x v="671"/>
  </r>
  <r>
    <x v="672"/>
  </r>
  <r>
    <x v="673"/>
  </r>
  <r>
    <x v="674"/>
  </r>
  <r>
    <x v="675"/>
  </r>
  <r>
    <x v="676"/>
  </r>
  <r>
    <x v="677"/>
  </r>
  <r>
    <x v="678"/>
  </r>
  <r>
    <x v="679"/>
  </r>
  <r>
    <x v="680"/>
  </r>
  <r>
    <x v="681"/>
  </r>
  <r>
    <x v="682"/>
  </r>
  <r>
    <x v="683"/>
  </r>
  <r>
    <x v="684"/>
  </r>
  <r>
    <x v="685"/>
  </r>
  <r>
    <x v="686"/>
  </r>
  <r>
    <x v="687"/>
  </r>
  <r>
    <x v="688"/>
  </r>
  <r>
    <x v="689"/>
  </r>
  <r>
    <x v="690"/>
  </r>
  <r>
    <x v="691"/>
  </r>
  <r>
    <x v="692"/>
  </r>
  <r>
    <x v="693"/>
  </r>
  <r>
    <x v="694"/>
  </r>
  <r>
    <x v="695"/>
  </r>
  <r>
    <x v="696"/>
  </r>
  <r>
    <x v="697"/>
  </r>
  <r>
    <x v="698"/>
  </r>
  <r>
    <x v="699"/>
  </r>
  <r>
    <x v="700"/>
  </r>
  <r>
    <x v="701"/>
  </r>
  <r>
    <x v="702"/>
  </r>
  <r>
    <x v="703"/>
  </r>
  <r>
    <x v="704"/>
  </r>
  <r>
    <x v="705"/>
  </r>
  <r>
    <x v="706"/>
  </r>
  <r>
    <x v="707"/>
  </r>
  <r>
    <x v="708"/>
  </r>
  <r>
    <x v="709"/>
  </r>
  <r>
    <x v="710"/>
  </r>
  <r>
    <x v="711"/>
  </r>
  <r>
    <x v="712"/>
  </r>
  <r>
    <x v="713"/>
  </r>
  <r>
    <x v="714"/>
  </r>
  <r>
    <x v="715"/>
  </r>
  <r>
    <x v="716"/>
  </r>
  <r>
    <x v="717"/>
  </r>
  <r>
    <x v="718"/>
  </r>
  <r>
    <x v="719"/>
  </r>
  <r>
    <x v="720"/>
  </r>
  <r>
    <x v="721"/>
  </r>
  <r>
    <x v="722"/>
  </r>
  <r>
    <x v="723"/>
  </r>
  <r>
    <x v="724"/>
  </r>
  <r>
    <x v="725"/>
  </r>
  <r>
    <x v="726"/>
  </r>
  <r>
    <x v="727"/>
  </r>
  <r>
    <x v="728"/>
  </r>
  <r>
    <x v="729"/>
  </r>
  <r>
    <x v="730"/>
  </r>
  <r>
    <x v="731"/>
  </r>
  <r>
    <x v="732"/>
  </r>
  <r>
    <x v="733"/>
  </r>
  <r>
    <x v="734"/>
  </r>
  <r>
    <x v="735"/>
  </r>
  <r>
    <x v="736"/>
  </r>
  <r>
    <x v="737"/>
  </r>
  <r>
    <x v="738"/>
  </r>
  <r>
    <x v="739"/>
  </r>
  <r>
    <x v="740"/>
  </r>
  <r>
    <x v="741"/>
  </r>
  <r>
    <x v="742"/>
  </r>
  <r>
    <x v="743"/>
  </r>
  <r>
    <x v="744"/>
  </r>
  <r>
    <x v="745"/>
  </r>
  <r>
    <x v="746"/>
  </r>
  <r>
    <x v="747"/>
  </r>
  <r>
    <x v="748"/>
  </r>
  <r>
    <x v="749"/>
  </r>
  <r>
    <x v="750"/>
  </r>
  <r>
    <x v="751"/>
  </r>
  <r>
    <x v="752"/>
  </r>
  <r>
    <x v="753"/>
  </r>
  <r>
    <x v="754"/>
  </r>
  <r>
    <x v="755"/>
  </r>
  <r>
    <x v="756"/>
  </r>
  <r>
    <x v="757"/>
  </r>
  <r>
    <x v="758"/>
  </r>
  <r>
    <x v="759"/>
  </r>
  <r>
    <x v="760"/>
  </r>
  <r>
    <x v="761"/>
  </r>
  <r>
    <x v="762"/>
  </r>
  <r>
    <x v="763"/>
  </r>
  <r>
    <x v="764"/>
  </r>
  <r>
    <x v="765"/>
  </r>
  <r>
    <x v="766"/>
  </r>
  <r>
    <x v="767"/>
  </r>
  <r>
    <x v="768"/>
  </r>
  <r>
    <x v="769"/>
  </r>
  <r>
    <x v="770"/>
  </r>
  <r>
    <x v="771"/>
  </r>
  <r>
    <x v="772"/>
  </r>
  <r>
    <x v="773"/>
  </r>
  <r>
    <x v="774"/>
  </r>
  <r>
    <x v="775"/>
  </r>
  <r>
    <x v="776"/>
  </r>
  <r>
    <x v="777"/>
  </r>
  <r>
    <x v="778"/>
  </r>
  <r>
    <x v="779"/>
  </r>
  <r>
    <x v="780"/>
  </r>
  <r>
    <x v="781"/>
  </r>
  <r>
    <x v="782"/>
  </r>
  <r>
    <x v="783"/>
  </r>
  <r>
    <x v="784"/>
  </r>
  <r>
    <x v="785"/>
  </r>
  <r>
    <x v="786"/>
  </r>
  <r>
    <x v="787"/>
  </r>
  <r>
    <x v="788"/>
  </r>
  <r>
    <x v="789"/>
  </r>
  <r>
    <x v="790"/>
  </r>
  <r>
    <x v="791"/>
  </r>
  <r>
    <x v="792"/>
  </r>
  <r>
    <x v="793"/>
  </r>
  <r>
    <x v="794"/>
  </r>
  <r>
    <x v="795"/>
  </r>
  <r>
    <x v="796"/>
  </r>
  <r>
    <x v="797"/>
  </r>
  <r>
    <x v="798"/>
  </r>
  <r>
    <x v="799"/>
  </r>
  <r>
    <x v="800"/>
  </r>
  <r>
    <x v="801"/>
  </r>
  <r>
    <x v="802"/>
  </r>
  <r>
    <x v="803"/>
  </r>
  <r>
    <x v="804"/>
  </r>
  <r>
    <x v="805"/>
  </r>
  <r>
    <x v="806"/>
  </r>
  <r>
    <x v="807"/>
  </r>
  <r>
    <x v="808"/>
  </r>
  <r>
    <x v="809"/>
  </r>
  <r>
    <x v="810"/>
  </r>
  <r>
    <x v="811"/>
  </r>
  <r>
    <x v="812"/>
  </r>
  <r>
    <x v="813"/>
  </r>
  <r>
    <x v="814"/>
  </r>
  <r>
    <x v="815"/>
  </r>
  <r>
    <x v="816"/>
  </r>
  <r>
    <x v="817"/>
  </r>
  <r>
    <x v="818"/>
  </r>
  <r>
    <x v="819"/>
  </r>
  <r>
    <x v="820"/>
  </r>
  <r>
    <x v="821"/>
  </r>
  <r>
    <x v="822"/>
  </r>
  <r>
    <x v="823"/>
  </r>
  <r>
    <x v="824"/>
  </r>
  <r>
    <x v="825"/>
  </r>
  <r>
    <x v="826"/>
  </r>
  <r>
    <x v="827"/>
  </r>
  <r>
    <x v="828"/>
  </r>
  <r>
    <x v="829"/>
  </r>
  <r>
    <x v="830"/>
  </r>
  <r>
    <x v="831"/>
  </r>
  <r>
    <x v="832"/>
  </r>
  <r>
    <x v="833"/>
  </r>
  <r>
    <x v="834"/>
  </r>
  <r>
    <x v="835"/>
  </r>
  <r>
    <x v="836"/>
  </r>
  <r>
    <x v="837"/>
  </r>
  <r>
    <x v="838"/>
  </r>
  <r>
    <x v="839"/>
  </r>
  <r>
    <x v="840"/>
  </r>
  <r>
    <x v="841"/>
  </r>
  <r>
    <x v="842"/>
  </r>
  <r>
    <x v="843"/>
  </r>
  <r>
    <x v="844"/>
  </r>
  <r>
    <x v="845"/>
  </r>
  <r>
    <x v="846"/>
  </r>
  <r>
    <x v="847"/>
  </r>
  <r>
    <x v="848"/>
  </r>
  <r>
    <x v="849"/>
  </r>
  <r>
    <x v="850"/>
  </r>
  <r>
    <x v="851"/>
  </r>
  <r>
    <x v="852"/>
  </r>
  <r>
    <x v="853"/>
  </r>
  <r>
    <x v="854"/>
  </r>
  <r>
    <x v="855"/>
  </r>
  <r>
    <x v="856"/>
  </r>
  <r>
    <x v="857"/>
  </r>
  <r>
    <x v="858"/>
  </r>
  <r>
    <x v="859"/>
  </r>
  <r>
    <x v="860"/>
  </r>
  <r>
    <x v="861"/>
  </r>
  <r>
    <x v="862"/>
  </r>
  <r>
    <x v="863"/>
  </r>
  <r>
    <x v="864"/>
  </r>
  <r>
    <x v="865"/>
  </r>
  <r>
    <x v="866"/>
  </r>
  <r>
    <x v="867"/>
  </r>
  <r>
    <x v="868"/>
  </r>
  <r>
    <x v="869"/>
  </r>
  <r>
    <x v="870"/>
  </r>
  <r>
    <x v="871"/>
  </r>
  <r>
    <x v="872"/>
  </r>
  <r>
    <x v="873"/>
  </r>
  <r>
    <x v="874"/>
  </r>
  <r>
    <x v="875"/>
  </r>
  <r>
    <x v="876"/>
  </r>
  <r>
    <x v="877"/>
  </r>
  <r>
    <x v="878"/>
  </r>
  <r>
    <x v="879"/>
  </r>
  <r>
    <x v="880"/>
  </r>
  <r>
    <x v="881"/>
  </r>
  <r>
    <x v="882"/>
  </r>
  <r>
    <x v="883"/>
  </r>
  <r>
    <x v="884"/>
  </r>
  <r>
    <x v="885"/>
  </r>
  <r>
    <x v="886"/>
  </r>
  <r>
    <x v="887"/>
  </r>
  <r>
    <x v="888"/>
  </r>
  <r>
    <x v="889"/>
  </r>
  <r>
    <x v="890"/>
  </r>
  <r>
    <x v="891"/>
  </r>
  <r>
    <x v="892"/>
  </r>
  <r>
    <x v="893"/>
  </r>
  <r>
    <x v="894"/>
  </r>
  <r>
    <x v="895"/>
  </r>
  <r>
    <x v="896"/>
  </r>
  <r>
    <x v="897"/>
  </r>
  <r>
    <x v="898"/>
  </r>
  <r>
    <x v="899"/>
  </r>
  <r>
    <x v="900"/>
  </r>
  <r>
    <x v="901"/>
  </r>
  <r>
    <x v="902"/>
  </r>
  <r>
    <x v="903"/>
  </r>
  <r>
    <x v="904"/>
  </r>
  <r>
    <x v="905"/>
  </r>
  <r>
    <x v="906"/>
  </r>
  <r>
    <x v="907"/>
  </r>
  <r>
    <x v="908"/>
  </r>
  <r>
    <x v="909"/>
  </r>
  <r>
    <x v="910"/>
  </r>
  <r>
    <x v="911"/>
  </r>
  <r>
    <x v="912"/>
  </r>
  <r>
    <x v="913"/>
  </r>
  <r>
    <x v="914"/>
  </r>
  <r>
    <x v="915"/>
  </r>
  <r>
    <x v="916"/>
  </r>
  <r>
    <x v="917"/>
  </r>
  <r>
    <x v="918"/>
  </r>
  <r>
    <x v="919"/>
  </r>
  <r>
    <x v="920"/>
  </r>
  <r>
    <x v="921"/>
  </r>
  <r>
    <x v="922"/>
  </r>
  <r>
    <x v="923"/>
  </r>
  <r>
    <x v="924"/>
  </r>
  <r>
    <x v="925"/>
  </r>
  <r>
    <x v="926"/>
  </r>
  <r>
    <x v="927"/>
  </r>
  <r>
    <x v="928"/>
  </r>
  <r>
    <x v="929"/>
  </r>
  <r>
    <x v="930"/>
  </r>
  <r>
    <x v="931"/>
  </r>
  <r>
    <x v="932"/>
  </r>
  <r>
    <x v="933"/>
  </r>
  <r>
    <x v="934"/>
  </r>
  <r>
    <x v="935"/>
  </r>
  <r>
    <x v="936"/>
  </r>
  <r>
    <x v="937"/>
  </r>
  <r>
    <x v="938"/>
  </r>
  <r>
    <x v="939"/>
  </r>
  <r>
    <x v="940"/>
  </r>
  <r>
    <x v="941"/>
  </r>
  <r>
    <x v="942"/>
  </r>
  <r>
    <x v="943"/>
  </r>
  <r>
    <x v="944"/>
  </r>
  <r>
    <x v="945"/>
  </r>
  <r>
    <x v="946"/>
  </r>
  <r>
    <x v="947"/>
  </r>
  <r>
    <x v="948"/>
  </r>
  <r>
    <x v="949"/>
  </r>
  <r>
    <x v="950"/>
  </r>
  <r>
    <x v="951"/>
  </r>
  <r>
    <x v="952"/>
  </r>
  <r>
    <x v="953"/>
  </r>
  <r>
    <x v="954"/>
  </r>
  <r>
    <x v="955"/>
  </r>
  <r>
    <x v="956"/>
  </r>
  <r>
    <x v="957"/>
  </r>
  <r>
    <x v="958"/>
  </r>
  <r>
    <x v="959"/>
  </r>
  <r>
    <x v="960"/>
  </r>
  <r>
    <x v="961"/>
  </r>
  <r>
    <x v="962"/>
  </r>
  <r>
    <x v="963"/>
  </r>
  <r>
    <x v="964"/>
  </r>
  <r>
    <x v="965"/>
  </r>
  <r>
    <x v="966"/>
  </r>
  <r>
    <x v="967"/>
  </r>
  <r>
    <x v="968"/>
  </r>
  <r>
    <x v="969"/>
  </r>
  <r>
    <x v="970"/>
  </r>
  <r>
    <x v="971"/>
  </r>
  <r>
    <x v="972"/>
  </r>
  <r>
    <x v="973"/>
  </r>
  <r>
    <x v="974"/>
  </r>
  <r>
    <x v="975"/>
  </r>
  <r>
    <x v="976"/>
  </r>
  <r>
    <x v="977"/>
  </r>
  <r>
    <x v="978"/>
  </r>
  <r>
    <x v="979"/>
  </r>
  <r>
    <x v="980"/>
  </r>
  <r>
    <x v="981"/>
  </r>
  <r>
    <x v="982"/>
  </r>
  <r>
    <x v="983"/>
  </r>
  <r>
    <x v="984"/>
  </r>
  <r>
    <x v="985"/>
  </r>
  <r>
    <x v="986"/>
  </r>
  <r>
    <x v="987"/>
  </r>
  <r>
    <x v="988"/>
  </r>
  <r>
    <x v="989"/>
  </r>
  <r>
    <x v="990"/>
  </r>
  <r>
    <x v="991"/>
  </r>
  <r>
    <x v="992"/>
  </r>
  <r>
    <x v="993"/>
  </r>
  <r>
    <x v="994"/>
  </r>
  <r>
    <x v="995"/>
  </r>
  <r>
    <x v="996"/>
  </r>
  <r>
    <x v="997"/>
  </r>
  <r>
    <x v="998"/>
  </r>
  <r>
    <x v="999"/>
  </r>
  <r>
    <x v="1000"/>
  </r>
  <r>
    <x v="1001"/>
  </r>
  <r>
    <x v="1002"/>
  </r>
  <r>
    <x v="1003"/>
  </r>
  <r>
    <x v="1004"/>
  </r>
  <r>
    <x v="1005"/>
  </r>
  <r>
    <x v="1006"/>
  </r>
  <r>
    <x v="1007"/>
  </r>
  <r>
    <x v="1008"/>
  </r>
  <r>
    <x v="1009"/>
  </r>
  <r>
    <x v="1010"/>
  </r>
  <r>
    <x v="1011"/>
  </r>
  <r>
    <x v="1012"/>
  </r>
  <r>
    <x v="1013"/>
  </r>
  <r>
    <x v="1014"/>
  </r>
  <r>
    <x v="1015"/>
  </r>
  <r>
    <x v="1016"/>
  </r>
  <r>
    <x v="1017"/>
  </r>
  <r>
    <x v="1018"/>
  </r>
  <r>
    <x v="1019"/>
  </r>
  <r>
    <x v="1020"/>
  </r>
  <r>
    <x v="1021"/>
  </r>
  <r>
    <x v="1022"/>
  </r>
  <r>
    <x v="1023"/>
  </r>
  <r>
    <x v="1024"/>
  </r>
  <r>
    <x v="1025"/>
  </r>
  <r>
    <x v="1026"/>
  </r>
  <r>
    <x v="1027"/>
  </r>
  <r>
    <x v="1028"/>
  </r>
  <r>
    <x v="1029"/>
  </r>
  <r>
    <x v="1030"/>
  </r>
  <r>
    <x v="1031"/>
  </r>
  <r>
    <x v="1032"/>
  </r>
  <r>
    <x v="1033"/>
  </r>
  <r>
    <x v="1034"/>
  </r>
  <r>
    <x v="1035"/>
  </r>
  <r>
    <x v="1036"/>
  </r>
  <r>
    <x v="1037"/>
  </r>
  <r>
    <x v="1038"/>
  </r>
  <r>
    <x v="1039"/>
  </r>
  <r>
    <x v="1040"/>
  </r>
  <r>
    <x v="1041"/>
  </r>
  <r>
    <x v="1042"/>
  </r>
  <r>
    <x v="1043"/>
  </r>
  <r>
    <x v="1044"/>
  </r>
  <r>
    <x v="1045"/>
  </r>
  <r>
    <x v="1046"/>
  </r>
  <r>
    <x v="1047"/>
  </r>
  <r>
    <x v="1048"/>
  </r>
  <r>
    <x v="1049"/>
  </r>
  <r>
    <x v="1050"/>
  </r>
  <r>
    <x v="1051"/>
  </r>
  <r>
    <x v="1052"/>
  </r>
  <r>
    <x v="1053"/>
  </r>
  <r>
    <x v="1054"/>
  </r>
  <r>
    <x v="1055"/>
  </r>
  <r>
    <x v="1056"/>
  </r>
  <r>
    <x v="1057"/>
  </r>
  <r>
    <x v="1058"/>
  </r>
  <r>
    <x v="1059"/>
  </r>
  <r>
    <x v="1060"/>
  </r>
  <r>
    <x v="1061"/>
  </r>
  <r>
    <x v="1062"/>
  </r>
  <r>
    <x v="1063"/>
  </r>
  <r>
    <x v="1064"/>
  </r>
  <r>
    <x v="1065"/>
  </r>
  <r>
    <x v="1066"/>
  </r>
  <r>
    <x v="1067"/>
  </r>
  <r>
    <x v="1068"/>
  </r>
  <r>
    <x v="1069"/>
  </r>
  <r>
    <x v="1070"/>
  </r>
  <r>
    <x v="1071"/>
  </r>
  <r>
    <x v="1072"/>
  </r>
  <r>
    <x v="1073"/>
  </r>
  <r>
    <x v="1074"/>
  </r>
  <r>
    <x v="1075"/>
  </r>
  <r>
    <x v="1076"/>
  </r>
  <r>
    <x v="1077"/>
  </r>
  <r>
    <x v="1078"/>
  </r>
  <r>
    <x v="1079"/>
  </r>
  <r>
    <x v="1080"/>
  </r>
  <r>
    <x v="1081"/>
  </r>
  <r>
    <x v="1082"/>
  </r>
  <r>
    <x v="1083"/>
  </r>
  <r>
    <x v="1084"/>
  </r>
  <r>
    <x v="1085"/>
  </r>
  <r>
    <x v="1086"/>
  </r>
  <r>
    <x v="1087"/>
  </r>
  <r>
    <x v="1088"/>
  </r>
  <r>
    <x v="1089"/>
  </r>
  <r>
    <x v="1090"/>
  </r>
  <r>
    <x v="1091"/>
  </r>
  <r>
    <x v="1092"/>
  </r>
  <r>
    <x v="1093"/>
  </r>
  <r>
    <x v="1094"/>
  </r>
  <r>
    <x v="1095"/>
  </r>
  <r>
    <x v="1096"/>
  </r>
  <r>
    <x v="1097"/>
  </r>
  <r>
    <x v="1098"/>
  </r>
  <r>
    <x v="1099"/>
  </r>
  <r>
    <x v="1100"/>
  </r>
  <r>
    <x v="1101"/>
  </r>
  <r>
    <x v="1102"/>
  </r>
  <r>
    <x v="1103"/>
  </r>
  <r>
    <x v="1104"/>
  </r>
  <r>
    <x v="1105"/>
  </r>
  <r>
    <x v="1106"/>
  </r>
  <r>
    <x v="1107"/>
  </r>
  <r>
    <x v="1108"/>
  </r>
  <r>
    <x v="1109"/>
  </r>
  <r>
    <x v="1110"/>
  </r>
  <r>
    <x v="1111"/>
  </r>
  <r>
    <x v="1112"/>
  </r>
  <r>
    <x v="1113"/>
  </r>
  <r>
    <x v="1114"/>
  </r>
  <r>
    <x v="1115"/>
  </r>
  <r>
    <x v="1116"/>
  </r>
  <r>
    <x v="1117"/>
  </r>
  <r>
    <x v="1118"/>
  </r>
  <r>
    <x v="1119"/>
  </r>
  <r>
    <x v="1120"/>
  </r>
  <r>
    <x v="1121"/>
  </r>
  <r>
    <x v="1122"/>
  </r>
  <r>
    <x v="1123"/>
  </r>
  <r>
    <x v="1124"/>
  </r>
  <r>
    <x v="1125"/>
  </r>
  <r>
    <x v="1126"/>
  </r>
  <r>
    <x v="1127"/>
  </r>
  <r>
    <x v="1128"/>
  </r>
  <r>
    <x v="1129"/>
  </r>
  <r>
    <x v="1130"/>
  </r>
  <r>
    <x v="1131"/>
  </r>
  <r>
    <x v="1132"/>
  </r>
  <r>
    <x v="1133"/>
  </r>
  <r>
    <x v="1134"/>
  </r>
  <r>
    <x v="1135"/>
  </r>
  <r>
    <x v="1136"/>
  </r>
  <r>
    <x v="1137"/>
  </r>
  <r>
    <x v="1138"/>
  </r>
  <r>
    <x v="1139"/>
  </r>
  <r>
    <x v="1140"/>
  </r>
  <r>
    <x v="1141"/>
  </r>
  <r>
    <x v="1142"/>
  </r>
  <r>
    <x v="1143"/>
  </r>
  <r>
    <x v="1144"/>
  </r>
  <r>
    <x v="1145"/>
  </r>
  <r>
    <x v="1146"/>
  </r>
  <r>
    <x v="1147"/>
  </r>
  <r>
    <x v="1148"/>
  </r>
  <r>
    <x v="1149"/>
  </r>
  <r>
    <x v="1150"/>
  </r>
  <r>
    <x v="1151"/>
  </r>
  <r>
    <x v="1152"/>
  </r>
  <r>
    <x v="1153"/>
  </r>
  <r>
    <x v="1154"/>
  </r>
  <r>
    <x v="1155"/>
  </r>
  <r>
    <x v="1156"/>
  </r>
  <r>
    <x v="1157"/>
  </r>
  <r>
    <x v="1158"/>
  </r>
  <r>
    <x v="1159"/>
  </r>
  <r>
    <x v="1160"/>
  </r>
  <r>
    <x v="1161"/>
  </r>
  <r>
    <x v="0"/>
  </r>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1255">
      <pivotArea field="0" type="button" dataOnly="0" labelOnly="1" outline="0" axis="axisPage" fieldPosition="0"/>
    </format>
    <format dxfId="1254">
      <pivotArea field="0" type="button" dataOnly="0" labelOnly="1" outline="0" axis="axisPage" fieldPosition="0"/>
    </format>
    <format dxfId="1253">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D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item="240" hier="-1"/>
  </pageFields>
  <formats count="3">
    <format dxfId="1157">
      <pivotArea field="0" type="button" dataOnly="0" labelOnly="1" outline="0" axis="axisPage" fieldPosition="0"/>
    </format>
    <format dxfId="1156">
      <pivotArea field="0" type="button" dataOnly="0" labelOnly="1" outline="0" axis="axisPage" fieldPosition="0"/>
    </format>
    <format dxfId="1155">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E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1110">
      <pivotArea field="0" type="button" dataOnly="0" labelOnly="1" outline="0" axis="axisPage" fieldPosition="0"/>
    </format>
    <format dxfId="1109">
      <pivotArea field="0" type="button" dataOnly="0" labelOnly="1" outline="0" axis="axisPage" fieldPosition="0"/>
    </format>
    <format dxfId="1108">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item="58" hier="-1"/>
  </pageFields>
  <formats count="3">
    <format dxfId="1059">
      <pivotArea field="0" type="button" dataOnly="0" labelOnly="1" outline="0" axis="axisPage" fieldPosition="0"/>
    </format>
    <format dxfId="1058">
      <pivotArea field="0" type="button" dataOnly="0" labelOnly="1" outline="0" axis="axisPage" fieldPosition="0"/>
    </format>
    <format dxfId="1057">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10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1010">
      <pivotArea field="0" type="button" dataOnly="0" labelOnly="1" outline="0" axis="axisPage" fieldPosition="0"/>
    </format>
    <format dxfId="1009">
      <pivotArea field="0" type="button" dataOnly="0" labelOnly="1" outline="0" axis="axisPage" fieldPosition="0"/>
    </format>
    <format dxfId="1008">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11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957">
      <pivotArea field="0" type="button" dataOnly="0" labelOnly="1" outline="0" axis="axisPage" fieldPosition="0"/>
    </format>
    <format dxfId="956">
      <pivotArea field="0" type="button" dataOnly="0" labelOnly="1" outline="0" axis="axisPage" fieldPosition="0"/>
    </format>
    <format dxfId="955">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12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902">
      <pivotArea field="0" type="button" dataOnly="0" labelOnly="1" outline="0" axis="axisPage" fieldPosition="0"/>
    </format>
    <format dxfId="901">
      <pivotArea field="0" type="button" dataOnly="0" labelOnly="1" outline="0" axis="axisPage" fieldPosition="0"/>
    </format>
    <format dxfId="900">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13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850">
      <pivotArea field="0" type="button" dataOnly="0" labelOnly="1" outline="0" axis="axisPage" fieldPosition="0"/>
    </format>
    <format dxfId="849">
      <pivotArea field="0" type="button" dataOnly="0" labelOnly="1" outline="0" axis="axisPage" fieldPosition="0"/>
    </format>
    <format dxfId="848">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14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802">
      <pivotArea field="0" type="button" dataOnly="0" labelOnly="1" outline="0" axis="axisPage" fieldPosition="0"/>
    </format>
    <format dxfId="801">
      <pivotArea field="0" type="button" dataOnly="0" labelOnly="1" outline="0" axis="axisPage" fieldPosition="0"/>
    </format>
    <format dxfId="800">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15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752">
      <pivotArea field="0" type="button" dataOnly="0" labelOnly="1" outline="0" axis="axisPage" fieldPosition="0"/>
    </format>
    <format dxfId="751">
      <pivotArea field="0" type="button" dataOnly="0" labelOnly="1" outline="0" axis="axisPage" fieldPosition="0"/>
    </format>
    <format dxfId="750">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16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692">
      <pivotArea field="0" type="button" dataOnly="0" labelOnly="1" outline="0" axis="axisPage" fieldPosition="0"/>
    </format>
    <format dxfId="691">
      <pivotArea field="0" type="button" dataOnly="0" labelOnly="1" outline="0" axis="axisPage" fieldPosition="0"/>
    </format>
    <format dxfId="690">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17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632">
      <pivotArea field="0" type="button" dataOnly="0" labelOnly="1" outline="0" axis="axisPage" fieldPosition="0"/>
    </format>
    <format dxfId="631">
      <pivotArea field="0" type="button" dataOnly="0" labelOnly="1" outline="0" axis="axisPage" fieldPosition="0"/>
    </format>
    <format dxfId="630">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18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566">
      <pivotArea field="0" type="button" dataOnly="0" labelOnly="1" outline="0" axis="axisPage" fieldPosition="0"/>
    </format>
    <format dxfId="565">
      <pivotArea field="0" type="button" dataOnly="0" labelOnly="1" outline="0" axis="axisPage" fieldPosition="0"/>
    </format>
    <format dxfId="564">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19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501">
      <pivotArea field="0" type="button" dataOnly="0" labelOnly="1" outline="0" axis="axisPage" fieldPosition="0"/>
    </format>
    <format dxfId="500">
      <pivotArea field="0" type="button" dataOnly="0" labelOnly="1" outline="0" axis="axisPage" fieldPosition="0"/>
    </format>
    <format dxfId="499">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1A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451">
      <pivotArea field="0" type="button" dataOnly="0" labelOnly="1" outline="0" axis="axisPage" fieldPosition="0"/>
    </format>
    <format dxfId="450">
      <pivotArea field="0" type="button" dataOnly="0" labelOnly="1" outline="0" axis="axisPage" fieldPosition="0"/>
    </format>
    <format dxfId="449">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1B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405">
      <pivotArea field="0" type="button" dataOnly="0" labelOnly="1" outline="0" axis="axisPage" fieldPosition="0"/>
    </format>
    <format dxfId="404">
      <pivotArea field="0" type="button" dataOnly="0" labelOnly="1" outline="0" axis="axisPage" fieldPosition="0"/>
    </format>
    <format dxfId="403">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1C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359">
      <pivotArea field="0" type="button" dataOnly="0" labelOnly="1" outline="0" axis="axisPage" fieldPosition="0"/>
    </format>
    <format dxfId="358">
      <pivotArea field="0" type="button" dataOnly="0" labelOnly="1" outline="0" axis="axisPage" fieldPosition="0"/>
    </format>
    <format dxfId="357">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1D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313">
      <pivotArea field="0" type="button" dataOnly="0" labelOnly="1" outline="0" axis="axisPage" fieldPosition="0"/>
    </format>
    <format dxfId="312">
      <pivotArea field="0" type="button" dataOnly="0" labelOnly="1" outline="0" axis="axisPage" fieldPosition="0"/>
    </format>
    <format dxfId="311">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1F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267">
      <pivotArea field="0" type="button" dataOnly="0" labelOnly="1" outline="0" axis="axisPage" fieldPosition="0"/>
    </format>
    <format dxfId="266">
      <pivotArea field="0" type="button" dataOnly="0" labelOnly="1" outline="0" axis="axisPage" fieldPosition="0"/>
    </format>
    <format dxfId="265">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00000000-0007-0000-20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221">
      <pivotArea field="0" type="button" dataOnly="0" labelOnly="1" outline="0" axis="axisPage" fieldPosition="0"/>
    </format>
    <format dxfId="220">
      <pivotArea field="0" type="button" dataOnly="0" labelOnly="1" outline="0" axis="axisPage" fieldPosition="0"/>
    </format>
    <format dxfId="219">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00000000-0007-0000-21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175">
      <pivotArea field="0" type="button" dataOnly="0" labelOnly="1" outline="0" axis="axisPage" fieldPosition="0"/>
    </format>
    <format dxfId="174">
      <pivotArea field="0" type="button" dataOnly="0" labelOnly="1" outline="0" axis="axisPage" fieldPosition="0"/>
    </format>
    <format dxfId="173">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00000000-0007-0000-22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hier="-1"/>
  </pageFields>
  <formats count="3">
    <format dxfId="129">
      <pivotArea field="0" type="button" dataOnly="0" labelOnly="1" outline="0" axis="axisPage" fieldPosition="0"/>
    </format>
    <format dxfId="128">
      <pivotArea field="0" type="button" dataOnly="0" labelOnly="1" outline="0" axis="axisPage" fieldPosition="0"/>
    </format>
    <format dxfId="127">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00000000-0007-0000-23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item="58" hier="-1"/>
  </pageFields>
  <formats count="3">
    <format dxfId="78">
      <pivotArea field="0" type="button" dataOnly="0" labelOnly="1" outline="0" axis="axisPage" fieldPosition="0"/>
    </format>
    <format dxfId="77">
      <pivotArea field="0" type="button" dataOnly="0" labelOnly="1" outline="0" axis="axisPage" fieldPosition="0"/>
    </format>
    <format dxfId="76">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00000000-0007-0000-2400-000000000000}" name="PivotTable2" cacheId="4" applyNumberFormats="0" applyBorderFormats="0" applyFontFormats="0" applyPatternFormats="0" applyAlignmentFormats="0" applyWidthHeightFormats="1" dataCaption="Values" updatedVersion="6" minRefreshableVersion="3" useAutoFormatting="1" rowGrandTotals="0" colGrandTotals="0" itemPrintTitles="1" mergeItem="1" createdVersion="6" indent="0" compact="0" compactData="0" multipleFieldFilters="0">
  <location ref="K6" firstHeaderRow="0" firstDataRow="0" firstDataCol="0" rowPageCount="1" colPageCount="1"/>
  <pivotFields count="1">
    <pivotField axis="axisPage" compact="0" outline="0" showAll="0" defaultSubtotal="0">
      <items count="116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160"/>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1161"/>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0"/>
      </items>
    </pivotField>
  </pivotFields>
  <pageFields count="1">
    <pageField fld="0" item="58" hier="-1"/>
  </pageFields>
  <formats count="3">
    <format dxfId="27">
      <pivotArea field="0" type="button" dataOnly="0" labelOnly="1" outline="0" axis="axisPage" fieldPosition="0"/>
    </format>
    <format dxfId="26">
      <pivotArea field="0" type="button" dataOnly="0" labelOnly="1" outline="0" axis="axisPage" fieldPosition="0"/>
    </format>
    <format dxfId="25">
      <pivotArea field="0" type="button" dataOnly="0" labelOnly="1" outline="0" axis="axisPage" fieldPosition="0"/>
    </format>
  </format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24" totalsRowShown="0" dataDxfId="1277" dataCellStyle="Normal 7">
  <autoFilter ref="A1:D24" xr:uid="{00000000-0009-0000-0100-000001000000}"/>
  <tableColumns count="4">
    <tableColumn id="1" xr3:uid="{00000000-0010-0000-0000-000001000000}" name="Tab" dataCellStyle="Hyperlink"/>
    <tableColumn id="2" xr3:uid="{00000000-0010-0000-0000-000002000000}" name="Name" dataDxfId="1276" dataCellStyle="Normal 7"/>
    <tableColumn id="3" xr3:uid="{00000000-0010-0000-0000-000003000000}" name="File" dataDxfId="1275" dataCellStyle="Normal 7"/>
    <tableColumn id="4" xr3:uid="{00000000-0010-0000-0000-000004000000}" name="Status" dataDxfId="1274" dataCellStyle="Normal 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D9:Y10" totalsRowShown="0" headerRowDxfId="1252" headerRowBorderDxfId="1251" tableBorderDxfId="1250">
  <autoFilter ref="D9:Y10" xr:uid="{00000000-0009-0000-0100-000002000000}"/>
  <tableColumns count="22">
    <tableColumn id="1" xr3:uid="{00000000-0010-0000-0100-000001000000}" name="Index" dataDxfId="1249"/>
    <tableColumn id="2" xr3:uid="{00000000-0010-0000-0100-000002000000}" name="Name" dataDxfId="1248"/>
    <tableColumn id="3" xr3:uid="{00000000-0010-0000-0100-000003000000}" name="Ver." dataDxfId="1247"/>
    <tableColumn id="4" xr3:uid="{00000000-0010-0000-0100-000004000000}" name="Type" dataDxfId="1246"/>
    <tableColumn id="18" xr3:uid="{00000000-0010-0000-0100-000012000000}" name="Auto Generated Col" dataDxfId="1245"/>
    <tableColumn id="5" xr3:uid="{00000000-0010-0000-0100-000005000000}" name="Format" dataDxfId="1244"/>
    <tableColumn id="6" xr3:uid="{00000000-0010-0000-0100-000006000000}" name="Source name" dataDxfId="1243"/>
    <tableColumn id="7" xr3:uid="{00000000-0010-0000-0100-000007000000}" name="Description " dataDxfId="1242"/>
    <tableColumn id="14" xr3:uid="{00000000-0010-0000-0100-00000E000000}" name="Data Element" dataDxfId="1241"/>
    <tableColumn id="8" xr3:uid="{00000000-0010-0000-0100-000008000000}" name="Data Element Definition" dataDxfId="1240">
      <calculatedColumnFormula>VLOOKUP(Table2[Data Element],Lookups2!AM:AN,2,FALSE)</calculatedColumnFormula>
    </tableColumn>
    <tableColumn id="9" xr3:uid="{00000000-0010-0000-0100-000009000000}" name="Primary key" dataDxfId="1239"/>
    <tableColumn id="10" xr3:uid="{00000000-0010-0000-0100-00000A000000}" name="Nullable" dataDxfId="1238"/>
    <tableColumn id="11" xr3:uid="{00000000-0010-0000-0100-00000B000000}" name="FK" dataDxfId="1237"/>
    <tableColumn id="12" xr3:uid="{00000000-0010-0000-0100-00000C000000}" name="Ref Dataset" dataDxfId="1236"/>
    <tableColumn id="13" xr3:uid="{00000000-0010-0000-0100-00000D000000}" name="Ref Attribute" dataDxfId="1235"/>
    <tableColumn id="15" xr3:uid="{00000000-0010-0000-0100-00000F000000}" name="CID" dataDxfId="1234"/>
    <tableColumn id="16" xr3:uid="{00000000-0010-0000-0100-000010000000}" name="Category" dataDxfId="1233"/>
    <tableColumn id="17" xr3:uid="{00000000-0010-0000-0100-000011000000}" name="Classification" dataDxfId="1232"/>
    <tableColumn id="19" xr3:uid="{00000000-0010-0000-0100-000013000000}" name="Anonymized" dataDxfId="1231"/>
    <tableColumn id="20" xr3:uid="{00000000-0010-0000-0100-000014000000}" name="Consistency" dataDxfId="1230"/>
    <tableColumn id="21" xr3:uid="{00000000-0010-0000-0100-000015000000}" name="Algo Class" dataDxfId="1229"/>
    <tableColumn id="22" xr3:uid="{00000000-0010-0000-0100-000016000000}" name="Algo" dataDxfId="1228"/>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D5:F139" totalsRowShown="0" headerRowDxfId="1227" headerRowBorderDxfId="1226" tableBorderDxfId="1225" totalsRowBorderDxfId="1224">
  <autoFilter ref="D5:F139" xr:uid="{00000000-0009-0000-0100-000003000000}"/>
  <tableColumns count="3">
    <tableColumn id="1" xr3:uid="{00000000-0010-0000-0200-000001000000}" name="Update date" dataDxfId="1223"/>
    <tableColumn id="2" xr3:uid="{00000000-0010-0000-0200-000002000000}" name="Updated by" dataDxfId="1222"/>
    <tableColumn id="3" xr3:uid="{00000000-0010-0000-0200-000003000000}" name="Comments" dataDxfId="1221"/>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25" displayName="Table25" ref="D9:Y12" totalsRowShown="0" headerRowDxfId="1154" headerRowBorderDxfId="1153" tableBorderDxfId="1152">
  <autoFilter ref="D9:Y12" xr:uid="{00000000-0009-0000-0100-000004000000}"/>
  <tableColumns count="22">
    <tableColumn id="1" xr3:uid="{00000000-0010-0000-0300-000001000000}" name="Index" dataDxfId="1151"/>
    <tableColumn id="2" xr3:uid="{00000000-0010-0000-0300-000002000000}" name="Name" dataDxfId="1150"/>
    <tableColumn id="3" xr3:uid="{00000000-0010-0000-0300-000003000000}" name="Ver." dataDxfId="1149"/>
    <tableColumn id="4" xr3:uid="{00000000-0010-0000-0300-000004000000}" name="Type" dataDxfId="1148"/>
    <tableColumn id="18" xr3:uid="{00000000-0010-0000-0300-000012000000}" name="Auto Generated Col" dataDxfId="1147"/>
    <tableColumn id="5" xr3:uid="{00000000-0010-0000-0300-000005000000}" name="Format" dataDxfId="1146"/>
    <tableColumn id="6" xr3:uid="{00000000-0010-0000-0300-000006000000}" name="Source name" dataDxfId="1145"/>
    <tableColumn id="7" xr3:uid="{00000000-0010-0000-0300-000007000000}" name="Description " dataDxfId="1144"/>
    <tableColumn id="14" xr3:uid="{00000000-0010-0000-0300-00000E000000}" name="Data Element" dataDxfId="1143"/>
    <tableColumn id="8" xr3:uid="{00000000-0010-0000-0300-000008000000}" name="Data Element Definition" dataDxfId="1142">
      <calculatedColumnFormula>VLOOKUP(Table25[[#This Row],[Data Element]],Lookups2!AM:AN,2,FALSE)</calculatedColumnFormula>
    </tableColumn>
    <tableColumn id="9" xr3:uid="{00000000-0010-0000-0300-000009000000}" name="Primary key" dataDxfId="1141"/>
    <tableColumn id="10" xr3:uid="{00000000-0010-0000-0300-00000A000000}" name="Nullable" dataDxfId="1140"/>
    <tableColumn id="11" xr3:uid="{00000000-0010-0000-0300-00000B000000}" name="FK" dataDxfId="1139"/>
    <tableColumn id="12" xr3:uid="{00000000-0010-0000-0300-00000C000000}" name="Ref Dataset" dataDxfId="1138"/>
    <tableColumn id="13" xr3:uid="{00000000-0010-0000-0300-00000D000000}" name="Ref Attribute" dataDxfId="1137"/>
    <tableColumn id="15" xr3:uid="{00000000-0010-0000-0300-00000F000000}" name="CID" dataDxfId="1136"/>
    <tableColumn id="16" xr3:uid="{00000000-0010-0000-0300-000010000000}" name="Category" dataDxfId="1135"/>
    <tableColumn id="17" xr3:uid="{00000000-0010-0000-0300-000011000000}" name="Classification" dataDxfId="1134"/>
    <tableColumn id="19" xr3:uid="{00000000-0010-0000-0300-000013000000}" name="Anonymized" dataDxfId="1133"/>
    <tableColumn id="20" xr3:uid="{00000000-0010-0000-0300-000014000000}" name="Consistency" dataDxfId="1132"/>
    <tableColumn id="21" xr3:uid="{00000000-0010-0000-0300-000015000000}" name="Algo Class" dataDxfId="1131"/>
    <tableColumn id="22" xr3:uid="{00000000-0010-0000-0300-000016000000}" name="Algo" dataDxfId="113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26" displayName="Table26" ref="D9:Y14" totalsRowShown="0" headerRowDxfId="1107" headerRowBorderDxfId="1106" tableBorderDxfId="1105">
  <autoFilter ref="D9:Y14" xr:uid="{00000000-0009-0000-0100-000005000000}"/>
  <tableColumns count="22">
    <tableColumn id="1" xr3:uid="{00000000-0010-0000-0400-000001000000}" name="Index" dataDxfId="1104"/>
    <tableColumn id="2" xr3:uid="{00000000-0010-0000-0400-000002000000}" name="Name" dataDxfId="1103"/>
    <tableColumn id="3" xr3:uid="{00000000-0010-0000-0400-000003000000}" name="Ver." dataDxfId="1102"/>
    <tableColumn id="4" xr3:uid="{00000000-0010-0000-0400-000004000000}" name="Type" dataDxfId="1101"/>
    <tableColumn id="18" xr3:uid="{00000000-0010-0000-0400-000012000000}" name="Auto Generated Col" dataDxfId="1100"/>
    <tableColumn id="5" xr3:uid="{00000000-0010-0000-0400-000005000000}" name="Format" dataDxfId="1099"/>
    <tableColumn id="6" xr3:uid="{00000000-0010-0000-0400-000006000000}" name="Source name" dataDxfId="1098"/>
    <tableColumn id="7" xr3:uid="{00000000-0010-0000-0400-000007000000}" name="Description " dataDxfId="1097"/>
    <tableColumn id="14" xr3:uid="{00000000-0010-0000-0400-00000E000000}" name="Data Element" dataDxfId="1096"/>
    <tableColumn id="8" xr3:uid="{00000000-0010-0000-0400-000008000000}" name="Data Element Definition" dataDxfId="1095">
      <calculatedColumnFormula>VLOOKUP(Table26[[#This Row],[Data Element]],Lookups2!AM:AN,2,FALSE)</calculatedColumnFormula>
    </tableColumn>
    <tableColumn id="9" xr3:uid="{00000000-0010-0000-0400-000009000000}" name="Primary key" dataDxfId="1094"/>
    <tableColumn id="10" xr3:uid="{00000000-0010-0000-0400-00000A000000}" name="Nullable" dataDxfId="1093"/>
    <tableColumn id="11" xr3:uid="{00000000-0010-0000-0400-00000B000000}" name="FK" dataDxfId="1092"/>
    <tableColumn id="12" xr3:uid="{00000000-0010-0000-0400-00000C000000}" name="Ref Dataset" dataDxfId="1091"/>
    <tableColumn id="13" xr3:uid="{00000000-0010-0000-0400-00000D000000}" name="Ref Attribute" dataDxfId="1090"/>
    <tableColumn id="15" xr3:uid="{00000000-0010-0000-0400-00000F000000}" name="CID" dataDxfId="1089"/>
    <tableColumn id="16" xr3:uid="{00000000-0010-0000-0400-000010000000}" name="Category" dataDxfId="1088"/>
    <tableColumn id="17" xr3:uid="{00000000-0010-0000-0400-000011000000}" name="Classification" dataDxfId="1087"/>
    <tableColumn id="19" xr3:uid="{00000000-0010-0000-0400-000013000000}" name="Anonymized" dataDxfId="1086"/>
    <tableColumn id="20" xr3:uid="{00000000-0010-0000-0400-000014000000}" name="Consistency" dataDxfId="1085"/>
    <tableColumn id="21" xr3:uid="{00000000-0010-0000-0400-000015000000}" name="Algo Class" dataDxfId="1084"/>
    <tableColumn id="22" xr3:uid="{00000000-0010-0000-0400-000016000000}" name="Algo" dataDxfId="108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27" displayName="Table27" ref="D9:Y12" totalsRowShown="0" headerRowDxfId="1056" headerRowBorderDxfId="1055" tableBorderDxfId="1054">
  <autoFilter ref="D9:Y12" xr:uid="{00000000-0009-0000-0100-000006000000}"/>
  <tableColumns count="22">
    <tableColumn id="1" xr3:uid="{00000000-0010-0000-0500-000001000000}" name="Index" dataDxfId="1053"/>
    <tableColumn id="2" xr3:uid="{00000000-0010-0000-0500-000002000000}" name="Name" dataDxfId="1052"/>
    <tableColumn id="3" xr3:uid="{00000000-0010-0000-0500-000003000000}" name="Ver." dataDxfId="1051"/>
    <tableColumn id="4" xr3:uid="{00000000-0010-0000-0500-000004000000}" name="Type" dataDxfId="1050"/>
    <tableColumn id="18" xr3:uid="{00000000-0010-0000-0500-000012000000}" name="Auto Generated Col" dataDxfId="1049"/>
    <tableColumn id="5" xr3:uid="{00000000-0010-0000-0500-000005000000}" name="Format" dataDxfId="1048"/>
    <tableColumn id="6" xr3:uid="{00000000-0010-0000-0500-000006000000}" name="Source name" dataDxfId="1047"/>
    <tableColumn id="7" xr3:uid="{00000000-0010-0000-0500-000007000000}" name="Description " dataDxfId="1046"/>
    <tableColumn id="14" xr3:uid="{00000000-0010-0000-0500-00000E000000}" name="Data Element" dataDxfId="1045"/>
    <tableColumn id="8" xr3:uid="{00000000-0010-0000-0500-000008000000}" name="Data Element Definition" dataDxfId="1044">
      <calculatedColumnFormula>VLOOKUP(Table27[[#This Row],[Data Element]],Lookups2!AM:AN,2,FALSE)</calculatedColumnFormula>
    </tableColumn>
    <tableColumn id="9" xr3:uid="{00000000-0010-0000-0500-000009000000}" name="Primary key" dataDxfId="1043"/>
    <tableColumn id="10" xr3:uid="{00000000-0010-0000-0500-00000A000000}" name="Nullable" dataDxfId="1042"/>
    <tableColumn id="11" xr3:uid="{00000000-0010-0000-0500-00000B000000}" name="FK" dataDxfId="1041"/>
    <tableColumn id="12" xr3:uid="{00000000-0010-0000-0500-00000C000000}" name="Ref Dataset" dataDxfId="1040"/>
    <tableColumn id="13" xr3:uid="{00000000-0010-0000-0500-00000D000000}" name="Ref Attribute" dataDxfId="1039"/>
    <tableColumn id="15" xr3:uid="{00000000-0010-0000-0500-00000F000000}" name="CID" dataDxfId="1038"/>
    <tableColumn id="16" xr3:uid="{00000000-0010-0000-0500-000010000000}" name="Category" dataDxfId="1037"/>
    <tableColumn id="17" xr3:uid="{00000000-0010-0000-0500-000011000000}" name="Classification" dataDxfId="1036"/>
    <tableColumn id="19" xr3:uid="{00000000-0010-0000-0500-000013000000}" name="Anonymized" dataDxfId="1035"/>
    <tableColumn id="20" xr3:uid="{00000000-0010-0000-0500-000014000000}" name="Consistency" dataDxfId="1034"/>
    <tableColumn id="21" xr3:uid="{00000000-0010-0000-0500-000015000000}" name="Algo Class" dataDxfId="1033"/>
    <tableColumn id="22" xr3:uid="{00000000-0010-0000-0500-000016000000}" name="Algo" dataDxfId="1032"/>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28" displayName="Table28" ref="D9:Y14" totalsRowShown="0" headerRowDxfId="1007" headerRowBorderDxfId="1006" tableBorderDxfId="1005">
  <autoFilter ref="D9:Y14" xr:uid="{00000000-0009-0000-0100-000007000000}"/>
  <tableColumns count="22">
    <tableColumn id="1" xr3:uid="{00000000-0010-0000-0600-000001000000}" name="Index" dataDxfId="1004"/>
    <tableColumn id="2" xr3:uid="{00000000-0010-0000-0600-000002000000}" name="Name" dataDxfId="1003"/>
    <tableColumn id="3" xr3:uid="{00000000-0010-0000-0600-000003000000}" name="Ver." dataDxfId="1002"/>
    <tableColumn id="4" xr3:uid="{00000000-0010-0000-0600-000004000000}" name="Type" dataDxfId="1001"/>
    <tableColumn id="18" xr3:uid="{00000000-0010-0000-0600-000012000000}" name="Auto Generated Col" dataDxfId="1000"/>
    <tableColumn id="5" xr3:uid="{00000000-0010-0000-0600-000005000000}" name="Format" dataDxfId="999"/>
    <tableColumn id="6" xr3:uid="{00000000-0010-0000-0600-000006000000}" name="Source name" dataDxfId="998"/>
    <tableColumn id="7" xr3:uid="{00000000-0010-0000-0600-000007000000}" name="Description " dataDxfId="997"/>
    <tableColumn id="14" xr3:uid="{00000000-0010-0000-0600-00000E000000}" name="Data Element" dataDxfId="996"/>
    <tableColumn id="8" xr3:uid="{00000000-0010-0000-0600-000008000000}" name="Data Element Definition" dataDxfId="995">
      <calculatedColumnFormula>VLOOKUP(Table28[[#This Row],[Data Element]],Lookups2!AM:AN,2,FALSE)</calculatedColumnFormula>
    </tableColumn>
    <tableColumn id="9" xr3:uid="{00000000-0010-0000-0600-000009000000}" name="Primary key" dataDxfId="994"/>
    <tableColumn id="10" xr3:uid="{00000000-0010-0000-0600-00000A000000}" name="Nullable" dataDxfId="993"/>
    <tableColumn id="11" xr3:uid="{00000000-0010-0000-0600-00000B000000}" name="FK" dataDxfId="992"/>
    <tableColumn id="12" xr3:uid="{00000000-0010-0000-0600-00000C000000}" name="Ref Dataset" dataDxfId="991"/>
    <tableColumn id="13" xr3:uid="{00000000-0010-0000-0600-00000D000000}" name="Ref Attribute" dataDxfId="990"/>
    <tableColumn id="15" xr3:uid="{00000000-0010-0000-0600-00000F000000}" name="CID" dataDxfId="989"/>
    <tableColumn id="16" xr3:uid="{00000000-0010-0000-0600-000010000000}" name="Category" dataDxfId="988"/>
    <tableColumn id="17" xr3:uid="{00000000-0010-0000-0600-000011000000}" name="Classification" dataDxfId="987"/>
    <tableColumn id="19" xr3:uid="{00000000-0010-0000-0600-000013000000}" name="Anonymized" dataDxfId="986"/>
    <tableColumn id="20" xr3:uid="{00000000-0010-0000-0600-000014000000}" name="Consistency" dataDxfId="985"/>
    <tableColumn id="21" xr3:uid="{00000000-0010-0000-0600-000015000000}" name="Algo Class" dataDxfId="984"/>
    <tableColumn id="22" xr3:uid="{00000000-0010-0000-0600-000016000000}" name="Algo" dataDxfId="983"/>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29" displayName="Table29" ref="D9:Y15" totalsRowShown="0" headerRowDxfId="954" headerRowBorderDxfId="953" tableBorderDxfId="952">
  <autoFilter ref="D9:Y15" xr:uid="{00000000-0009-0000-0100-000008000000}"/>
  <tableColumns count="22">
    <tableColumn id="1" xr3:uid="{00000000-0010-0000-0700-000001000000}" name="Index" dataDxfId="951"/>
    <tableColumn id="2" xr3:uid="{00000000-0010-0000-0700-000002000000}" name="Name" dataDxfId="950"/>
    <tableColumn id="3" xr3:uid="{00000000-0010-0000-0700-000003000000}" name="Ver." dataDxfId="949"/>
    <tableColumn id="4" xr3:uid="{00000000-0010-0000-0700-000004000000}" name="Type" dataDxfId="948"/>
    <tableColumn id="18" xr3:uid="{00000000-0010-0000-0700-000012000000}" name="Auto Generated Col" dataDxfId="947"/>
    <tableColumn id="5" xr3:uid="{00000000-0010-0000-0700-000005000000}" name="Format" dataDxfId="946"/>
    <tableColumn id="6" xr3:uid="{00000000-0010-0000-0700-000006000000}" name="Source name" dataDxfId="945"/>
    <tableColumn id="7" xr3:uid="{00000000-0010-0000-0700-000007000000}" name="Description " dataDxfId="944"/>
    <tableColumn id="14" xr3:uid="{00000000-0010-0000-0700-00000E000000}" name="Data Element" dataDxfId="943"/>
    <tableColumn id="8" xr3:uid="{00000000-0010-0000-0700-000008000000}" name="Data Element Definition" dataDxfId="942">
      <calculatedColumnFormula>VLOOKUP(Table29[[#This Row],[Data Element]],Lookups2!AM:AN,2,FALSE)</calculatedColumnFormula>
    </tableColumn>
    <tableColumn id="9" xr3:uid="{00000000-0010-0000-0700-000009000000}" name="Primary key" dataDxfId="941"/>
    <tableColumn id="10" xr3:uid="{00000000-0010-0000-0700-00000A000000}" name="Nullable" dataDxfId="940"/>
    <tableColumn id="11" xr3:uid="{00000000-0010-0000-0700-00000B000000}" name="FK" dataDxfId="939"/>
    <tableColumn id="12" xr3:uid="{00000000-0010-0000-0700-00000C000000}" name="Ref Dataset" dataDxfId="938"/>
    <tableColumn id="13" xr3:uid="{00000000-0010-0000-0700-00000D000000}" name="Ref Attribute" dataDxfId="937"/>
    <tableColumn id="15" xr3:uid="{00000000-0010-0000-0700-00000F000000}" name="CID" dataDxfId="936"/>
    <tableColumn id="16" xr3:uid="{00000000-0010-0000-0700-000010000000}" name="Category" dataDxfId="935"/>
    <tableColumn id="17" xr3:uid="{00000000-0010-0000-0700-000011000000}" name="Classification" dataDxfId="934"/>
    <tableColumn id="19" xr3:uid="{00000000-0010-0000-0700-000013000000}" name="Anonymized" dataDxfId="933"/>
    <tableColumn id="20" xr3:uid="{00000000-0010-0000-0700-000014000000}" name="Consistency" dataDxfId="932"/>
    <tableColumn id="21" xr3:uid="{00000000-0010-0000-0700-000015000000}" name="Algo Class" dataDxfId="931"/>
    <tableColumn id="22" xr3:uid="{00000000-0010-0000-0700-000016000000}" name="Algo" dataDxfId="930"/>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210" displayName="Table210" ref="D9:Y43" totalsRowShown="0" headerRowDxfId="899" headerRowBorderDxfId="898" tableBorderDxfId="897">
  <autoFilter ref="D9:Y43" xr:uid="{00000000-0009-0000-0100-000009000000}"/>
  <tableColumns count="22">
    <tableColumn id="1" xr3:uid="{00000000-0010-0000-0800-000001000000}" name="Index" dataDxfId="896"/>
    <tableColumn id="2" xr3:uid="{00000000-0010-0000-0800-000002000000}" name="Name" dataDxfId="895"/>
    <tableColumn id="3" xr3:uid="{00000000-0010-0000-0800-000003000000}" name="Ver." dataDxfId="894"/>
    <tableColumn id="4" xr3:uid="{00000000-0010-0000-0800-000004000000}" name="Type" dataDxfId="893"/>
    <tableColumn id="18" xr3:uid="{00000000-0010-0000-0800-000012000000}" name="Auto Generated Col" dataDxfId="892"/>
    <tableColumn id="5" xr3:uid="{00000000-0010-0000-0800-000005000000}" name="Format" dataDxfId="891"/>
    <tableColumn id="6" xr3:uid="{00000000-0010-0000-0800-000006000000}" name="Source name" dataDxfId="890"/>
    <tableColumn id="7" xr3:uid="{00000000-0010-0000-0800-000007000000}" name="Description " dataDxfId="889"/>
    <tableColumn id="14" xr3:uid="{00000000-0010-0000-0800-00000E000000}" name="Data Element" dataDxfId="888"/>
    <tableColumn id="8" xr3:uid="{00000000-0010-0000-0800-000008000000}" name="Data Element Definition" dataDxfId="887">
      <calculatedColumnFormula>VLOOKUP(Table210[[#This Row],[Data Element]],Lookups2!AM:AN,2,FALSE)</calculatedColumnFormula>
    </tableColumn>
    <tableColumn id="9" xr3:uid="{00000000-0010-0000-0800-000009000000}" name="Primary key" dataDxfId="886"/>
    <tableColumn id="10" xr3:uid="{00000000-0010-0000-0800-00000A000000}" name="Nullable" dataDxfId="885"/>
    <tableColumn id="11" xr3:uid="{00000000-0010-0000-0800-00000B000000}" name="FK" dataDxfId="884"/>
    <tableColumn id="12" xr3:uid="{00000000-0010-0000-0800-00000C000000}" name="Ref Dataset" dataDxfId="883"/>
    <tableColumn id="13" xr3:uid="{00000000-0010-0000-0800-00000D000000}" name="Ref Attribute" dataDxfId="882"/>
    <tableColumn id="15" xr3:uid="{00000000-0010-0000-0800-00000F000000}" name="CID" dataDxfId="881"/>
    <tableColumn id="16" xr3:uid="{00000000-0010-0000-0800-000010000000}" name="Category" dataDxfId="880"/>
    <tableColumn id="17" xr3:uid="{00000000-0010-0000-0800-000011000000}" name="Classification" dataDxfId="879"/>
    <tableColumn id="19" xr3:uid="{00000000-0010-0000-0800-000013000000}" name="Anonymized" dataDxfId="878"/>
    <tableColumn id="20" xr3:uid="{00000000-0010-0000-0800-000014000000}" name="Consistency" dataDxfId="877"/>
    <tableColumn id="21" xr3:uid="{00000000-0010-0000-0800-000015000000}" name="Algo Class" dataDxfId="876"/>
    <tableColumn id="22" xr3:uid="{00000000-0010-0000-0800-000016000000}" name="Algo" dataDxfId="875"/>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211" displayName="Table211" ref="D9:Y31" totalsRowShown="0" headerRowDxfId="847" headerRowBorderDxfId="846" tableBorderDxfId="845">
  <autoFilter ref="D9:Y31" xr:uid="{00000000-0009-0000-0100-00000A000000}"/>
  <tableColumns count="22">
    <tableColumn id="1" xr3:uid="{00000000-0010-0000-0900-000001000000}" name="Index" dataDxfId="844"/>
    <tableColumn id="2" xr3:uid="{00000000-0010-0000-0900-000002000000}" name="Name" dataDxfId="843"/>
    <tableColumn id="3" xr3:uid="{00000000-0010-0000-0900-000003000000}" name="Ver." dataDxfId="842"/>
    <tableColumn id="4" xr3:uid="{00000000-0010-0000-0900-000004000000}" name="Type" dataDxfId="841"/>
    <tableColumn id="18" xr3:uid="{00000000-0010-0000-0900-000012000000}" name="Auto Generated Col" dataDxfId="840"/>
    <tableColumn id="5" xr3:uid="{00000000-0010-0000-0900-000005000000}" name="Format" dataDxfId="839"/>
    <tableColumn id="6" xr3:uid="{00000000-0010-0000-0900-000006000000}" name="Source name" dataDxfId="838"/>
    <tableColumn id="7" xr3:uid="{00000000-0010-0000-0900-000007000000}" name="Description " dataDxfId="837"/>
    <tableColumn id="14" xr3:uid="{00000000-0010-0000-0900-00000E000000}" name="Data Element" dataDxfId="836"/>
    <tableColumn id="8" xr3:uid="{00000000-0010-0000-0900-000008000000}" name="Data Element Definition" dataDxfId="835">
      <calculatedColumnFormula>VLOOKUP(Table211[[#This Row],[Data Element]],Lookups2!AM:AN,2,FALSE)</calculatedColumnFormula>
    </tableColumn>
    <tableColumn id="9" xr3:uid="{00000000-0010-0000-0900-000009000000}" name="Primary key" dataDxfId="834"/>
    <tableColumn id="10" xr3:uid="{00000000-0010-0000-0900-00000A000000}" name="Nullable" dataDxfId="833"/>
    <tableColumn id="11" xr3:uid="{00000000-0010-0000-0900-00000B000000}" name="FK" dataDxfId="832"/>
    <tableColumn id="12" xr3:uid="{00000000-0010-0000-0900-00000C000000}" name="Ref Dataset" dataDxfId="831"/>
    <tableColumn id="13" xr3:uid="{00000000-0010-0000-0900-00000D000000}" name="Ref Attribute" dataDxfId="830"/>
    <tableColumn id="15" xr3:uid="{00000000-0010-0000-0900-00000F000000}" name="CID" dataDxfId="829"/>
    <tableColumn id="16" xr3:uid="{00000000-0010-0000-0900-000010000000}" name="Category" dataDxfId="828"/>
    <tableColumn id="17" xr3:uid="{00000000-0010-0000-0900-000011000000}" name="Classification" dataDxfId="827"/>
    <tableColumn id="19" xr3:uid="{00000000-0010-0000-0900-000013000000}" name="Anonymized" dataDxfId="826"/>
    <tableColumn id="20" xr3:uid="{00000000-0010-0000-0900-000014000000}" name="Consistency" dataDxfId="825"/>
    <tableColumn id="21" xr3:uid="{00000000-0010-0000-0900-000015000000}" name="Algo Class" dataDxfId="824"/>
    <tableColumn id="22" xr3:uid="{00000000-0010-0000-0900-000016000000}" name="Algo" dataDxfId="82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212" displayName="Table212" ref="D9:Y23" totalsRowShown="0" headerRowDxfId="799" headerRowBorderDxfId="798" tableBorderDxfId="797">
  <autoFilter ref="D9:Y23" xr:uid="{00000000-0009-0000-0100-00000B000000}"/>
  <tableColumns count="22">
    <tableColumn id="1" xr3:uid="{00000000-0010-0000-0A00-000001000000}" name="Index" dataDxfId="796"/>
    <tableColumn id="2" xr3:uid="{00000000-0010-0000-0A00-000002000000}" name="Name" dataDxfId="795"/>
    <tableColumn id="3" xr3:uid="{00000000-0010-0000-0A00-000003000000}" name="Ver." dataDxfId="794"/>
    <tableColumn id="4" xr3:uid="{00000000-0010-0000-0A00-000004000000}" name="Type" dataDxfId="793"/>
    <tableColumn id="18" xr3:uid="{00000000-0010-0000-0A00-000012000000}" name="Auto Generated Col" dataDxfId="792"/>
    <tableColumn id="5" xr3:uid="{00000000-0010-0000-0A00-000005000000}" name="Format" dataDxfId="791"/>
    <tableColumn id="6" xr3:uid="{00000000-0010-0000-0A00-000006000000}" name="Source name" dataDxfId="790"/>
    <tableColumn id="7" xr3:uid="{00000000-0010-0000-0A00-000007000000}" name="Description " dataDxfId="789"/>
    <tableColumn id="14" xr3:uid="{00000000-0010-0000-0A00-00000E000000}" name="Data Element" dataDxfId="788"/>
    <tableColumn id="8" xr3:uid="{00000000-0010-0000-0A00-000008000000}" name="Data Element Definition" dataDxfId="787">
      <calculatedColumnFormula>VLOOKUP(Table212[[#This Row],[Data Element]],Lookups2!AM:AN,2,FALSE)</calculatedColumnFormula>
    </tableColumn>
    <tableColumn id="9" xr3:uid="{00000000-0010-0000-0A00-000009000000}" name="Primary key" dataDxfId="786"/>
    <tableColumn id="10" xr3:uid="{00000000-0010-0000-0A00-00000A000000}" name="Nullable" dataDxfId="785"/>
    <tableColumn id="11" xr3:uid="{00000000-0010-0000-0A00-00000B000000}" name="FK" dataDxfId="784"/>
    <tableColumn id="12" xr3:uid="{00000000-0010-0000-0A00-00000C000000}" name="Ref Dataset" dataDxfId="783"/>
    <tableColumn id="13" xr3:uid="{00000000-0010-0000-0A00-00000D000000}" name="Ref Attribute" dataDxfId="782"/>
    <tableColumn id="15" xr3:uid="{00000000-0010-0000-0A00-00000F000000}" name="CID" dataDxfId="781"/>
    <tableColumn id="16" xr3:uid="{00000000-0010-0000-0A00-000010000000}" name="Category" dataDxfId="780"/>
    <tableColumn id="17" xr3:uid="{00000000-0010-0000-0A00-000011000000}" name="Classification" dataDxfId="779"/>
    <tableColumn id="19" xr3:uid="{00000000-0010-0000-0A00-000013000000}" name="Anonymized" dataDxfId="778"/>
    <tableColumn id="20" xr3:uid="{00000000-0010-0000-0A00-000014000000}" name="Consistency" dataDxfId="777"/>
    <tableColumn id="21" xr3:uid="{00000000-0010-0000-0A00-000015000000}" name="Algo Class" dataDxfId="776"/>
    <tableColumn id="22" xr3:uid="{00000000-0010-0000-0A00-000016000000}" name="Algo" dataDxfId="775"/>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13" displayName="Table213" ref="D9:Y33" totalsRowShown="0" headerRowDxfId="749" headerRowBorderDxfId="748" tableBorderDxfId="747">
  <autoFilter ref="D9:Y33" xr:uid="{00000000-0009-0000-0100-00000C000000}"/>
  <tableColumns count="22">
    <tableColumn id="1" xr3:uid="{00000000-0010-0000-0B00-000001000000}" name="Index" dataDxfId="746"/>
    <tableColumn id="2" xr3:uid="{00000000-0010-0000-0B00-000002000000}" name="Name" dataDxfId="745"/>
    <tableColumn id="3" xr3:uid="{00000000-0010-0000-0B00-000003000000}" name="Ver." dataDxfId="744"/>
    <tableColumn id="4" xr3:uid="{00000000-0010-0000-0B00-000004000000}" name="Type" dataDxfId="743"/>
    <tableColumn id="18" xr3:uid="{00000000-0010-0000-0B00-000012000000}" name="Auto Generated Col" dataDxfId="742"/>
    <tableColumn id="5" xr3:uid="{00000000-0010-0000-0B00-000005000000}" name="Format" dataDxfId="741"/>
    <tableColumn id="6" xr3:uid="{00000000-0010-0000-0B00-000006000000}" name="Source name" dataDxfId="740"/>
    <tableColumn id="7" xr3:uid="{00000000-0010-0000-0B00-000007000000}" name="Description " dataDxfId="739"/>
    <tableColumn id="14" xr3:uid="{00000000-0010-0000-0B00-00000E000000}" name="Data Element" dataDxfId="738"/>
    <tableColumn id="8" xr3:uid="{00000000-0010-0000-0B00-000008000000}" name="Data Element Definition" dataDxfId="737">
      <calculatedColumnFormula>VLOOKUP(Table213[[#This Row],[Data Element]],Lookups2!AM:AN,2,FALSE)</calculatedColumnFormula>
    </tableColumn>
    <tableColumn id="9" xr3:uid="{00000000-0010-0000-0B00-000009000000}" name="Primary key" dataDxfId="736"/>
    <tableColumn id="10" xr3:uid="{00000000-0010-0000-0B00-00000A000000}" name="Nullable" dataDxfId="735"/>
    <tableColumn id="11" xr3:uid="{00000000-0010-0000-0B00-00000B000000}" name="FK" dataDxfId="734"/>
    <tableColumn id="12" xr3:uid="{00000000-0010-0000-0B00-00000C000000}" name="Ref Dataset" dataDxfId="733"/>
    <tableColumn id="13" xr3:uid="{00000000-0010-0000-0B00-00000D000000}" name="Ref Attribute" dataDxfId="732"/>
    <tableColumn id="15" xr3:uid="{00000000-0010-0000-0B00-00000F000000}" name="CID" dataDxfId="731"/>
    <tableColumn id="16" xr3:uid="{00000000-0010-0000-0B00-000010000000}" name="Category" dataDxfId="730"/>
    <tableColumn id="17" xr3:uid="{00000000-0010-0000-0B00-000011000000}" name="Classification" dataDxfId="729"/>
    <tableColumn id="19" xr3:uid="{00000000-0010-0000-0B00-000013000000}" name="Anonymized" dataDxfId="728"/>
    <tableColumn id="20" xr3:uid="{00000000-0010-0000-0B00-000014000000}" name="Consistency" dataDxfId="727"/>
    <tableColumn id="21" xr3:uid="{00000000-0010-0000-0B00-000015000000}" name="Algo Class" dataDxfId="726"/>
    <tableColumn id="22" xr3:uid="{00000000-0010-0000-0B00-000016000000}" name="Algo" dataDxfId="725"/>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214" displayName="Table214" ref="D9:Y17" totalsRowShown="0" headerRowDxfId="689" headerRowBorderDxfId="688" tableBorderDxfId="687">
  <autoFilter ref="D9:Y17" xr:uid="{00000000-0009-0000-0100-00000D000000}"/>
  <tableColumns count="22">
    <tableColumn id="1" xr3:uid="{00000000-0010-0000-0C00-000001000000}" name="Index" dataDxfId="686"/>
    <tableColumn id="2" xr3:uid="{00000000-0010-0000-0C00-000002000000}" name="Name" dataDxfId="685"/>
    <tableColumn id="3" xr3:uid="{00000000-0010-0000-0C00-000003000000}" name="Ver." dataDxfId="684"/>
    <tableColumn id="4" xr3:uid="{00000000-0010-0000-0C00-000004000000}" name="Type" dataDxfId="683"/>
    <tableColumn id="18" xr3:uid="{00000000-0010-0000-0C00-000012000000}" name="Auto Generated Col" dataDxfId="682"/>
    <tableColumn id="5" xr3:uid="{00000000-0010-0000-0C00-000005000000}" name="Format" dataDxfId="681"/>
    <tableColumn id="6" xr3:uid="{00000000-0010-0000-0C00-000006000000}" name="Source name" dataDxfId="680"/>
    <tableColumn id="7" xr3:uid="{00000000-0010-0000-0C00-000007000000}" name="Description " dataDxfId="679"/>
    <tableColumn id="14" xr3:uid="{00000000-0010-0000-0C00-00000E000000}" name="Data Element" dataDxfId="678"/>
    <tableColumn id="8" xr3:uid="{00000000-0010-0000-0C00-000008000000}" name="Data Element Definition" dataDxfId="677">
      <calculatedColumnFormula>VLOOKUP(Table214[[#This Row],[Data Element]],Lookups2!AM:AN,2,FALSE)</calculatedColumnFormula>
    </tableColumn>
    <tableColumn id="9" xr3:uid="{00000000-0010-0000-0C00-000009000000}" name="Primary key" dataDxfId="676"/>
    <tableColumn id="10" xr3:uid="{00000000-0010-0000-0C00-00000A000000}" name="Nullable" dataDxfId="675"/>
    <tableColumn id="11" xr3:uid="{00000000-0010-0000-0C00-00000B000000}" name="FK" dataDxfId="674"/>
    <tableColumn id="12" xr3:uid="{00000000-0010-0000-0C00-00000C000000}" name="Ref Dataset" dataDxfId="673"/>
    <tableColumn id="13" xr3:uid="{00000000-0010-0000-0C00-00000D000000}" name="Ref Attribute" dataDxfId="672"/>
    <tableColumn id="15" xr3:uid="{00000000-0010-0000-0C00-00000F000000}" name="CID" dataDxfId="671"/>
    <tableColumn id="16" xr3:uid="{00000000-0010-0000-0C00-000010000000}" name="Category" dataDxfId="670"/>
    <tableColumn id="17" xr3:uid="{00000000-0010-0000-0C00-000011000000}" name="Classification" dataDxfId="669"/>
    <tableColumn id="19" xr3:uid="{00000000-0010-0000-0C00-000013000000}" name="Anonymized" dataDxfId="668"/>
    <tableColumn id="20" xr3:uid="{00000000-0010-0000-0C00-000014000000}" name="Consistency" dataDxfId="667"/>
    <tableColumn id="21" xr3:uid="{00000000-0010-0000-0C00-000015000000}" name="Algo Class" dataDxfId="666"/>
    <tableColumn id="22" xr3:uid="{00000000-0010-0000-0C00-000016000000}" name="Algo" dataDxfId="665"/>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215" displayName="Table215" ref="D9:Y20" totalsRowShown="0" headerRowDxfId="629" headerRowBorderDxfId="628" tableBorderDxfId="627">
  <autoFilter ref="D9:Y20" xr:uid="{00000000-0009-0000-0100-00000E000000}"/>
  <tableColumns count="22">
    <tableColumn id="1" xr3:uid="{00000000-0010-0000-0D00-000001000000}" name="Index" dataDxfId="626"/>
    <tableColumn id="2" xr3:uid="{00000000-0010-0000-0D00-000002000000}" name="Name" dataDxfId="625"/>
    <tableColumn id="3" xr3:uid="{00000000-0010-0000-0D00-000003000000}" name="Ver." dataDxfId="624"/>
    <tableColumn id="4" xr3:uid="{00000000-0010-0000-0D00-000004000000}" name="Type" dataDxfId="623"/>
    <tableColumn id="18" xr3:uid="{00000000-0010-0000-0D00-000012000000}" name="Auto Generated Col" dataDxfId="622"/>
    <tableColumn id="5" xr3:uid="{00000000-0010-0000-0D00-000005000000}" name="Format" dataDxfId="621"/>
    <tableColumn id="6" xr3:uid="{00000000-0010-0000-0D00-000006000000}" name="Source name" dataDxfId="620"/>
    <tableColumn id="7" xr3:uid="{00000000-0010-0000-0D00-000007000000}" name="Description " dataDxfId="619"/>
    <tableColumn id="14" xr3:uid="{00000000-0010-0000-0D00-00000E000000}" name="Data Element" dataDxfId="618"/>
    <tableColumn id="8" xr3:uid="{00000000-0010-0000-0D00-000008000000}" name="Data Element Definition" dataDxfId="617">
      <calculatedColumnFormula>VLOOKUP(Table215[[#This Row],[Data Element]],Lookups2!AM:AN,2,FALSE)</calculatedColumnFormula>
    </tableColumn>
    <tableColumn id="9" xr3:uid="{00000000-0010-0000-0D00-000009000000}" name="Primary key" dataDxfId="616"/>
    <tableColumn id="10" xr3:uid="{00000000-0010-0000-0D00-00000A000000}" name="Nullable" dataDxfId="615"/>
    <tableColumn id="11" xr3:uid="{00000000-0010-0000-0D00-00000B000000}" name="FK" dataDxfId="614"/>
    <tableColumn id="12" xr3:uid="{00000000-0010-0000-0D00-00000C000000}" name="Ref Dataset" dataDxfId="613"/>
    <tableColumn id="13" xr3:uid="{00000000-0010-0000-0D00-00000D000000}" name="Ref Attribute" dataDxfId="612"/>
    <tableColumn id="15" xr3:uid="{00000000-0010-0000-0D00-00000F000000}" name="CID" dataDxfId="611"/>
    <tableColumn id="16" xr3:uid="{00000000-0010-0000-0D00-000010000000}" name="Category" dataDxfId="610"/>
    <tableColumn id="17" xr3:uid="{00000000-0010-0000-0D00-000011000000}" name="Classification" dataDxfId="609"/>
    <tableColumn id="19" xr3:uid="{00000000-0010-0000-0D00-000013000000}" name="Anonymized" dataDxfId="608"/>
    <tableColumn id="20" xr3:uid="{00000000-0010-0000-0D00-000014000000}" name="Consistency" dataDxfId="607"/>
    <tableColumn id="21" xr3:uid="{00000000-0010-0000-0D00-000015000000}" name="Algo Class" dataDxfId="606"/>
    <tableColumn id="22" xr3:uid="{00000000-0010-0000-0D00-000016000000}" name="Algo" dataDxfId="605"/>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216" displayName="Table216" ref="D9:Y33" totalsRowShown="0" headerRowDxfId="563" headerRowBorderDxfId="562" tableBorderDxfId="561">
  <autoFilter ref="D9:Y33" xr:uid="{00000000-0009-0000-0100-00000F000000}"/>
  <tableColumns count="22">
    <tableColumn id="1" xr3:uid="{00000000-0010-0000-0E00-000001000000}" name="Index" dataDxfId="560"/>
    <tableColumn id="2" xr3:uid="{00000000-0010-0000-0E00-000002000000}" name="Name" dataDxfId="559"/>
    <tableColumn id="3" xr3:uid="{00000000-0010-0000-0E00-000003000000}" name="Ver." dataDxfId="558"/>
    <tableColumn id="4" xr3:uid="{00000000-0010-0000-0E00-000004000000}" name="Type" dataDxfId="557"/>
    <tableColumn id="18" xr3:uid="{00000000-0010-0000-0E00-000012000000}" name="Auto Generated Col" dataDxfId="556"/>
    <tableColumn id="5" xr3:uid="{00000000-0010-0000-0E00-000005000000}" name="Format" dataDxfId="555"/>
    <tableColumn id="6" xr3:uid="{00000000-0010-0000-0E00-000006000000}" name="Source name" dataDxfId="554"/>
    <tableColumn id="7" xr3:uid="{00000000-0010-0000-0E00-000007000000}" name="Description " dataDxfId="553"/>
    <tableColumn id="14" xr3:uid="{00000000-0010-0000-0E00-00000E000000}" name="Data Element" dataDxfId="552"/>
    <tableColumn id="8" xr3:uid="{00000000-0010-0000-0E00-000008000000}" name="Data Element Definition" dataDxfId="551">
      <calculatedColumnFormula>VLOOKUP(Table216[[#This Row],[Data Element]],Lookups2!AM:AN,2,FALSE)</calculatedColumnFormula>
    </tableColumn>
    <tableColumn id="9" xr3:uid="{00000000-0010-0000-0E00-000009000000}" name="Primary key" dataDxfId="550"/>
    <tableColumn id="10" xr3:uid="{00000000-0010-0000-0E00-00000A000000}" name="Nullable" dataDxfId="549"/>
    <tableColumn id="11" xr3:uid="{00000000-0010-0000-0E00-00000B000000}" name="FK" dataDxfId="548"/>
    <tableColumn id="12" xr3:uid="{00000000-0010-0000-0E00-00000C000000}" name="Ref Dataset" dataDxfId="547"/>
    <tableColumn id="13" xr3:uid="{00000000-0010-0000-0E00-00000D000000}" name="Ref Attribute" dataDxfId="546"/>
    <tableColumn id="15" xr3:uid="{00000000-0010-0000-0E00-00000F000000}" name="CID" dataDxfId="545"/>
    <tableColumn id="16" xr3:uid="{00000000-0010-0000-0E00-000010000000}" name="Category" dataDxfId="544"/>
    <tableColumn id="17" xr3:uid="{00000000-0010-0000-0E00-000011000000}" name="Classification" dataDxfId="543"/>
    <tableColumn id="19" xr3:uid="{00000000-0010-0000-0E00-000013000000}" name="Anonymized" dataDxfId="542"/>
    <tableColumn id="20" xr3:uid="{00000000-0010-0000-0E00-000014000000}" name="Consistency" dataDxfId="541"/>
    <tableColumn id="21" xr3:uid="{00000000-0010-0000-0E00-000015000000}" name="Algo Class" dataDxfId="540"/>
    <tableColumn id="22" xr3:uid="{00000000-0010-0000-0E00-000016000000}" name="Algo" dataDxfId="539"/>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217" displayName="Table217" ref="D9:Y18" totalsRowShown="0" headerRowDxfId="498" headerRowBorderDxfId="497" tableBorderDxfId="496">
  <autoFilter ref="D9:Y18" xr:uid="{00000000-0009-0000-0100-000010000000}"/>
  <tableColumns count="22">
    <tableColumn id="1" xr3:uid="{00000000-0010-0000-0F00-000001000000}" name="Index" dataDxfId="495"/>
    <tableColumn id="2" xr3:uid="{00000000-0010-0000-0F00-000002000000}" name="Name" dataDxfId="494"/>
    <tableColumn id="3" xr3:uid="{00000000-0010-0000-0F00-000003000000}" name="Ver." dataDxfId="493"/>
    <tableColumn id="4" xr3:uid="{00000000-0010-0000-0F00-000004000000}" name="Type" dataDxfId="492"/>
    <tableColumn id="18" xr3:uid="{00000000-0010-0000-0F00-000012000000}" name="Auto Generated Col" dataDxfId="491"/>
    <tableColumn id="5" xr3:uid="{00000000-0010-0000-0F00-000005000000}" name="Format" dataDxfId="490"/>
    <tableColumn id="6" xr3:uid="{00000000-0010-0000-0F00-000006000000}" name="Source name" dataDxfId="489"/>
    <tableColumn id="7" xr3:uid="{00000000-0010-0000-0F00-000007000000}" name="Description " dataDxfId="488"/>
    <tableColumn id="14" xr3:uid="{00000000-0010-0000-0F00-00000E000000}" name="Data Element" dataDxfId="487"/>
    <tableColumn id="8" xr3:uid="{00000000-0010-0000-0F00-000008000000}" name="Data Element Definition" dataDxfId="486">
      <calculatedColumnFormula>VLOOKUP(Table217[[#This Row],[Data Element]],Lookups2!AM:AN,2,FALSE)</calculatedColumnFormula>
    </tableColumn>
    <tableColumn id="9" xr3:uid="{00000000-0010-0000-0F00-000009000000}" name="Primary key" dataDxfId="485"/>
    <tableColumn id="10" xr3:uid="{00000000-0010-0000-0F00-00000A000000}" name="Nullable" dataDxfId="484"/>
    <tableColumn id="11" xr3:uid="{00000000-0010-0000-0F00-00000B000000}" name="FK" dataDxfId="483"/>
    <tableColumn id="12" xr3:uid="{00000000-0010-0000-0F00-00000C000000}" name="Ref Dataset" dataDxfId="482"/>
    <tableColumn id="13" xr3:uid="{00000000-0010-0000-0F00-00000D000000}" name="Ref Attribute" dataDxfId="481"/>
    <tableColumn id="15" xr3:uid="{00000000-0010-0000-0F00-00000F000000}" name="CID" dataDxfId="480"/>
    <tableColumn id="16" xr3:uid="{00000000-0010-0000-0F00-000010000000}" name="Category" dataDxfId="479"/>
    <tableColumn id="17" xr3:uid="{00000000-0010-0000-0F00-000011000000}" name="Classification" dataDxfId="478"/>
    <tableColumn id="19" xr3:uid="{00000000-0010-0000-0F00-000013000000}" name="Anonymized" dataDxfId="477"/>
    <tableColumn id="20" xr3:uid="{00000000-0010-0000-0F00-000014000000}" name="Consistency" dataDxfId="476"/>
    <tableColumn id="21" xr3:uid="{00000000-0010-0000-0F00-000015000000}" name="Algo Class" dataDxfId="475"/>
    <tableColumn id="22" xr3:uid="{00000000-0010-0000-0F00-000016000000}" name="Algo" dataDxfId="474"/>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218" displayName="Table218" ref="D9:Y15" totalsRowShown="0" headerRowDxfId="448" headerRowBorderDxfId="447" tableBorderDxfId="446">
  <autoFilter ref="D9:Y15" xr:uid="{00000000-0009-0000-0100-000011000000}"/>
  <tableColumns count="22">
    <tableColumn id="1" xr3:uid="{00000000-0010-0000-1000-000001000000}" name="Index" dataDxfId="445"/>
    <tableColumn id="2" xr3:uid="{00000000-0010-0000-1000-000002000000}" name="Name" dataDxfId="444"/>
    <tableColumn id="3" xr3:uid="{00000000-0010-0000-1000-000003000000}" name="Ver." dataDxfId="443"/>
    <tableColumn id="4" xr3:uid="{00000000-0010-0000-1000-000004000000}" name="Type" dataDxfId="442"/>
    <tableColumn id="18" xr3:uid="{00000000-0010-0000-1000-000012000000}" name="Auto Generated Col" dataDxfId="441"/>
    <tableColumn id="5" xr3:uid="{00000000-0010-0000-1000-000005000000}" name="Format" dataDxfId="440"/>
    <tableColumn id="6" xr3:uid="{00000000-0010-0000-1000-000006000000}" name="Source name" dataDxfId="439"/>
    <tableColumn id="7" xr3:uid="{00000000-0010-0000-1000-000007000000}" name="Description " dataDxfId="438"/>
    <tableColumn id="14" xr3:uid="{00000000-0010-0000-1000-00000E000000}" name="Data Element" dataDxfId="437"/>
    <tableColumn id="8" xr3:uid="{00000000-0010-0000-1000-000008000000}" name="Data Element Definition" dataDxfId="436">
      <calculatedColumnFormula>VLOOKUP(Table218[[#This Row],[Data Element]],Lookups2!AM:AN,2,FALSE)</calculatedColumnFormula>
    </tableColumn>
    <tableColumn id="9" xr3:uid="{00000000-0010-0000-1000-000009000000}" name="Primary key" dataDxfId="435"/>
    <tableColumn id="10" xr3:uid="{00000000-0010-0000-1000-00000A000000}" name="Nullable" dataDxfId="434"/>
    <tableColumn id="11" xr3:uid="{00000000-0010-0000-1000-00000B000000}" name="FK" dataDxfId="433"/>
    <tableColumn id="12" xr3:uid="{00000000-0010-0000-1000-00000C000000}" name="Ref Dataset" dataDxfId="432"/>
    <tableColumn id="13" xr3:uid="{00000000-0010-0000-1000-00000D000000}" name="Ref Attribute" dataDxfId="431"/>
    <tableColumn id="15" xr3:uid="{00000000-0010-0000-1000-00000F000000}" name="CID" dataDxfId="430"/>
    <tableColumn id="16" xr3:uid="{00000000-0010-0000-1000-000010000000}" name="Category" dataDxfId="429"/>
    <tableColumn id="17" xr3:uid="{00000000-0010-0000-1000-000011000000}" name="Classification" dataDxfId="428"/>
    <tableColumn id="19" xr3:uid="{00000000-0010-0000-1000-000013000000}" name="Anonymized" dataDxfId="427"/>
    <tableColumn id="20" xr3:uid="{00000000-0010-0000-1000-000014000000}" name="Consistency" dataDxfId="426"/>
    <tableColumn id="21" xr3:uid="{00000000-0010-0000-1000-000015000000}" name="Algo Class" dataDxfId="425"/>
    <tableColumn id="22" xr3:uid="{00000000-0010-0000-1000-000016000000}" name="Algo" dataDxfId="424"/>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219" displayName="Table219" ref="D9:Y11" totalsRowShown="0" headerRowDxfId="402" headerRowBorderDxfId="401" tableBorderDxfId="400">
  <autoFilter ref="D9:Y11" xr:uid="{00000000-0009-0000-0100-000012000000}"/>
  <tableColumns count="22">
    <tableColumn id="1" xr3:uid="{00000000-0010-0000-1100-000001000000}" name="Index" dataDxfId="399"/>
    <tableColumn id="2" xr3:uid="{00000000-0010-0000-1100-000002000000}" name="Name" dataDxfId="398"/>
    <tableColumn id="3" xr3:uid="{00000000-0010-0000-1100-000003000000}" name="Ver." dataDxfId="397"/>
    <tableColumn id="4" xr3:uid="{00000000-0010-0000-1100-000004000000}" name="Type" dataDxfId="396"/>
    <tableColumn id="18" xr3:uid="{00000000-0010-0000-1100-000012000000}" name="Auto Generated Col" dataDxfId="395"/>
    <tableColumn id="5" xr3:uid="{00000000-0010-0000-1100-000005000000}" name="Format" dataDxfId="394"/>
    <tableColumn id="6" xr3:uid="{00000000-0010-0000-1100-000006000000}" name="Source name" dataDxfId="393"/>
    <tableColumn id="7" xr3:uid="{00000000-0010-0000-1100-000007000000}" name="Description " dataDxfId="392"/>
    <tableColumn id="14" xr3:uid="{00000000-0010-0000-1100-00000E000000}" name="Data Element" dataDxfId="391"/>
    <tableColumn id="8" xr3:uid="{00000000-0010-0000-1100-000008000000}" name="Data Element Definition" dataDxfId="390">
      <calculatedColumnFormula>VLOOKUP(Table219[[#This Row],[Data Element]],Lookups2!AM:AN,2,FALSE)</calculatedColumnFormula>
    </tableColumn>
    <tableColumn id="9" xr3:uid="{00000000-0010-0000-1100-000009000000}" name="Primary key" dataDxfId="389"/>
    <tableColumn id="10" xr3:uid="{00000000-0010-0000-1100-00000A000000}" name="Nullable" dataDxfId="388"/>
    <tableColumn id="11" xr3:uid="{00000000-0010-0000-1100-00000B000000}" name="FK" dataDxfId="387"/>
    <tableColumn id="12" xr3:uid="{00000000-0010-0000-1100-00000C000000}" name="Ref Dataset" dataDxfId="386"/>
    <tableColumn id="13" xr3:uid="{00000000-0010-0000-1100-00000D000000}" name="Ref Attribute" dataDxfId="385"/>
    <tableColumn id="15" xr3:uid="{00000000-0010-0000-1100-00000F000000}" name="CID" dataDxfId="384"/>
    <tableColumn id="16" xr3:uid="{00000000-0010-0000-1100-000010000000}" name="Category" dataDxfId="383"/>
    <tableColumn id="17" xr3:uid="{00000000-0010-0000-1100-000011000000}" name="Classification" dataDxfId="382"/>
    <tableColumn id="19" xr3:uid="{00000000-0010-0000-1100-000013000000}" name="Anonymized" dataDxfId="381"/>
    <tableColumn id="20" xr3:uid="{00000000-0010-0000-1100-000014000000}" name="Consistency" dataDxfId="380"/>
    <tableColumn id="21" xr3:uid="{00000000-0010-0000-1100-000015000000}" name="Algo Class" dataDxfId="379"/>
    <tableColumn id="22" xr3:uid="{00000000-0010-0000-1100-000016000000}" name="Algo" dataDxfId="378"/>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220" displayName="Table220" ref="D9:Y11" totalsRowShown="0" headerRowDxfId="356" headerRowBorderDxfId="355" tableBorderDxfId="354">
  <autoFilter ref="D9:Y11" xr:uid="{00000000-0009-0000-0100-000013000000}"/>
  <tableColumns count="22">
    <tableColumn id="1" xr3:uid="{00000000-0010-0000-1200-000001000000}" name="Index" dataDxfId="353"/>
    <tableColumn id="2" xr3:uid="{00000000-0010-0000-1200-000002000000}" name="Name" dataDxfId="352"/>
    <tableColumn id="3" xr3:uid="{00000000-0010-0000-1200-000003000000}" name="Ver." dataDxfId="351"/>
    <tableColumn id="4" xr3:uid="{00000000-0010-0000-1200-000004000000}" name="Type" dataDxfId="350"/>
    <tableColumn id="18" xr3:uid="{00000000-0010-0000-1200-000012000000}" name="Auto Generated Col" dataDxfId="349"/>
    <tableColumn id="5" xr3:uid="{00000000-0010-0000-1200-000005000000}" name="Format" dataDxfId="348"/>
    <tableColumn id="6" xr3:uid="{00000000-0010-0000-1200-000006000000}" name="Source name" dataDxfId="347"/>
    <tableColumn id="7" xr3:uid="{00000000-0010-0000-1200-000007000000}" name="Description " dataDxfId="346"/>
    <tableColumn id="14" xr3:uid="{00000000-0010-0000-1200-00000E000000}" name="Data Element" dataDxfId="345"/>
    <tableColumn id="8" xr3:uid="{00000000-0010-0000-1200-000008000000}" name="Data Element Definition" dataDxfId="344">
      <calculatedColumnFormula>VLOOKUP(Table219[[#This Row],[Data Element]],Lookups2!AM:AN,2,FALSE)</calculatedColumnFormula>
    </tableColumn>
    <tableColumn id="9" xr3:uid="{00000000-0010-0000-1200-000009000000}" name="Primary key" dataDxfId="343"/>
    <tableColumn id="10" xr3:uid="{00000000-0010-0000-1200-00000A000000}" name="Nullable" dataDxfId="342"/>
    <tableColumn id="11" xr3:uid="{00000000-0010-0000-1200-00000B000000}" name="FK" dataDxfId="341"/>
    <tableColumn id="12" xr3:uid="{00000000-0010-0000-1200-00000C000000}" name="Ref Dataset" dataDxfId="340"/>
    <tableColumn id="13" xr3:uid="{00000000-0010-0000-1200-00000D000000}" name="Ref Attribute" dataDxfId="339"/>
    <tableColumn id="15" xr3:uid="{00000000-0010-0000-1200-00000F000000}" name="CID" dataDxfId="338"/>
    <tableColumn id="16" xr3:uid="{00000000-0010-0000-1200-000010000000}" name="Category" dataDxfId="337"/>
    <tableColumn id="17" xr3:uid="{00000000-0010-0000-1200-000011000000}" name="Classification" dataDxfId="336"/>
    <tableColumn id="19" xr3:uid="{00000000-0010-0000-1200-000013000000}" name="Anonymized" dataDxfId="335"/>
    <tableColumn id="20" xr3:uid="{00000000-0010-0000-1200-000014000000}" name="Consistency" dataDxfId="334"/>
    <tableColumn id="21" xr3:uid="{00000000-0010-0000-1200-000015000000}" name="Algo Class" dataDxfId="333"/>
    <tableColumn id="22" xr3:uid="{00000000-0010-0000-1200-000016000000}" name="Algo" dataDxfId="332"/>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21" displayName="Table221" ref="D9:Y70" totalsRowShown="0" headerRowDxfId="310" headerRowBorderDxfId="309" tableBorderDxfId="308">
  <autoFilter ref="D9:Y70" xr:uid="{00000000-0009-0000-0100-000014000000}"/>
  <tableColumns count="22">
    <tableColumn id="1" xr3:uid="{00000000-0010-0000-1300-000001000000}" name="Index" dataDxfId="307"/>
    <tableColumn id="2" xr3:uid="{00000000-0010-0000-1300-000002000000}" name="Name" dataDxfId="306"/>
    <tableColumn id="3" xr3:uid="{00000000-0010-0000-1300-000003000000}" name="Ver." dataDxfId="305"/>
    <tableColumn id="4" xr3:uid="{00000000-0010-0000-1300-000004000000}" name="Type" dataDxfId="304"/>
    <tableColumn id="18" xr3:uid="{00000000-0010-0000-1300-000012000000}" name="Auto Generated Col" dataDxfId="303"/>
    <tableColumn id="5" xr3:uid="{00000000-0010-0000-1300-000005000000}" name="Format" dataDxfId="302"/>
    <tableColumn id="6" xr3:uid="{00000000-0010-0000-1300-000006000000}" name="Source name" dataDxfId="301"/>
    <tableColumn id="7" xr3:uid="{00000000-0010-0000-1300-000007000000}" name="Description " dataDxfId="300"/>
    <tableColumn id="14" xr3:uid="{00000000-0010-0000-1300-00000E000000}" name="Data Element" dataDxfId="299"/>
    <tableColumn id="8" xr3:uid="{00000000-0010-0000-1300-000008000000}" name="Data Element Definition" dataDxfId="298">
      <calculatedColumnFormula>VLOOKUP(Table221[[#This Row],[Data Element]],Lookups2!AM:AN,2,FALSE)</calculatedColumnFormula>
    </tableColumn>
    <tableColumn id="9" xr3:uid="{00000000-0010-0000-1300-000009000000}" name="Primary key" dataDxfId="297"/>
    <tableColumn id="10" xr3:uid="{00000000-0010-0000-1300-00000A000000}" name="Nullable" dataDxfId="296"/>
    <tableColumn id="11" xr3:uid="{00000000-0010-0000-1300-00000B000000}" name="FK" dataDxfId="295"/>
    <tableColumn id="12" xr3:uid="{00000000-0010-0000-1300-00000C000000}" name="Ref Dataset" dataDxfId="294"/>
    <tableColumn id="13" xr3:uid="{00000000-0010-0000-1300-00000D000000}" name="Ref Attribute" dataDxfId="293"/>
    <tableColumn id="15" xr3:uid="{00000000-0010-0000-1300-00000F000000}" name="CID" dataDxfId="292"/>
    <tableColumn id="16" xr3:uid="{00000000-0010-0000-1300-000010000000}" name="Category" dataDxfId="291"/>
    <tableColumn id="17" xr3:uid="{00000000-0010-0000-1300-000011000000}" name="Classification" dataDxfId="290"/>
    <tableColumn id="19" xr3:uid="{00000000-0010-0000-1300-000013000000}" name="Anonymized" dataDxfId="289"/>
    <tableColumn id="20" xr3:uid="{00000000-0010-0000-1300-000014000000}" name="Consistency" dataDxfId="288"/>
    <tableColumn id="21" xr3:uid="{00000000-0010-0000-1300-000015000000}" name="Algo Class" dataDxfId="287"/>
    <tableColumn id="22" xr3:uid="{00000000-0010-0000-1300-000016000000}" name="Algo" dataDxfId="286"/>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22" displayName="Table222" ref="D9:Y12" totalsRowShown="0" headerRowDxfId="264" headerRowBorderDxfId="263" tableBorderDxfId="262">
  <autoFilter ref="D9:Y12" xr:uid="{00000000-0009-0000-0100-000015000000}"/>
  <tableColumns count="22">
    <tableColumn id="1" xr3:uid="{00000000-0010-0000-1400-000001000000}" name="Index" dataDxfId="261"/>
    <tableColumn id="2" xr3:uid="{00000000-0010-0000-1400-000002000000}" name="Name" dataDxfId="260"/>
    <tableColumn id="3" xr3:uid="{00000000-0010-0000-1400-000003000000}" name="Ver." dataDxfId="259"/>
    <tableColumn id="4" xr3:uid="{00000000-0010-0000-1400-000004000000}" name="Type" dataDxfId="258"/>
    <tableColumn id="18" xr3:uid="{00000000-0010-0000-1400-000012000000}" name="Auto Generated Col" dataDxfId="257"/>
    <tableColumn id="5" xr3:uid="{00000000-0010-0000-1400-000005000000}" name="Format" dataDxfId="256"/>
    <tableColumn id="6" xr3:uid="{00000000-0010-0000-1400-000006000000}" name="Source name" dataDxfId="255"/>
    <tableColumn id="7" xr3:uid="{00000000-0010-0000-1400-000007000000}" name="Description " dataDxfId="254"/>
    <tableColumn id="14" xr3:uid="{00000000-0010-0000-1400-00000E000000}" name="Data Element" dataDxfId="253"/>
    <tableColumn id="8" xr3:uid="{00000000-0010-0000-1400-000008000000}" name="Data Element Definition" dataDxfId="252">
      <calculatedColumnFormula>VLOOKUP(Table222[[#This Row],[Data Element]],Lookups2!AM:AN,2,FALSE)</calculatedColumnFormula>
    </tableColumn>
    <tableColumn id="9" xr3:uid="{00000000-0010-0000-1400-000009000000}" name="Primary key" dataDxfId="251"/>
    <tableColumn id="10" xr3:uid="{00000000-0010-0000-1400-00000A000000}" name="Nullable" dataDxfId="250"/>
    <tableColumn id="11" xr3:uid="{00000000-0010-0000-1400-00000B000000}" name="FK" dataDxfId="249"/>
    <tableColumn id="12" xr3:uid="{00000000-0010-0000-1400-00000C000000}" name="Ref Dataset" dataDxfId="248"/>
    <tableColumn id="13" xr3:uid="{00000000-0010-0000-1400-00000D000000}" name="Ref Attribute" dataDxfId="247"/>
    <tableColumn id="15" xr3:uid="{00000000-0010-0000-1400-00000F000000}" name="CID" dataDxfId="246"/>
    <tableColumn id="16" xr3:uid="{00000000-0010-0000-1400-000010000000}" name="Category" dataDxfId="245"/>
    <tableColumn id="17" xr3:uid="{00000000-0010-0000-1400-000011000000}" name="Classification" dataDxfId="244"/>
    <tableColumn id="19" xr3:uid="{00000000-0010-0000-1400-000013000000}" name="Anonymized" dataDxfId="243"/>
    <tableColumn id="20" xr3:uid="{00000000-0010-0000-1400-000014000000}" name="Consistency" dataDxfId="242"/>
    <tableColumn id="21" xr3:uid="{00000000-0010-0000-1400-000015000000}" name="Algo Class" dataDxfId="241"/>
    <tableColumn id="22" xr3:uid="{00000000-0010-0000-1400-000016000000}" name="Algo" dataDxfId="24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3" displayName="Table223" ref="D9:Y31" totalsRowShown="0" headerRowDxfId="218" headerRowBorderDxfId="217" tableBorderDxfId="216">
  <autoFilter ref="D9:Y31" xr:uid="{00000000-0009-0000-0100-000016000000}"/>
  <tableColumns count="22">
    <tableColumn id="1" xr3:uid="{00000000-0010-0000-1500-000001000000}" name="Index" dataDxfId="215"/>
    <tableColumn id="2" xr3:uid="{00000000-0010-0000-1500-000002000000}" name="Name" dataDxfId="214"/>
    <tableColumn id="3" xr3:uid="{00000000-0010-0000-1500-000003000000}" name="Ver." dataDxfId="213"/>
    <tableColumn id="4" xr3:uid="{00000000-0010-0000-1500-000004000000}" name="Type" dataDxfId="212"/>
    <tableColumn id="18" xr3:uid="{00000000-0010-0000-1500-000012000000}" name="Auto Generated Col" dataDxfId="211"/>
    <tableColumn id="5" xr3:uid="{00000000-0010-0000-1500-000005000000}" name="Format" dataDxfId="210"/>
    <tableColumn id="6" xr3:uid="{00000000-0010-0000-1500-000006000000}" name="Source name" dataDxfId="209"/>
    <tableColumn id="7" xr3:uid="{00000000-0010-0000-1500-000007000000}" name="Description " dataDxfId="208"/>
    <tableColumn id="14" xr3:uid="{00000000-0010-0000-1500-00000E000000}" name="Data Element" dataDxfId="207"/>
    <tableColumn id="8" xr3:uid="{00000000-0010-0000-1500-000008000000}" name="Data Element Definition" dataDxfId="206">
      <calculatedColumnFormula>VLOOKUP(Table223[[#This Row],[Data Element]],Lookups2!AM:AN,2,FALSE)</calculatedColumnFormula>
    </tableColumn>
    <tableColumn id="9" xr3:uid="{00000000-0010-0000-1500-000009000000}" name="Primary key" dataDxfId="205"/>
    <tableColumn id="10" xr3:uid="{00000000-0010-0000-1500-00000A000000}" name="Nullable" dataDxfId="204"/>
    <tableColumn id="11" xr3:uid="{00000000-0010-0000-1500-00000B000000}" name="FK" dataDxfId="203"/>
    <tableColumn id="12" xr3:uid="{00000000-0010-0000-1500-00000C000000}" name="Ref Dataset" dataDxfId="202"/>
    <tableColumn id="13" xr3:uid="{00000000-0010-0000-1500-00000D000000}" name="Ref Attribute" dataDxfId="201"/>
    <tableColumn id="15" xr3:uid="{00000000-0010-0000-1500-00000F000000}" name="CID" dataDxfId="200"/>
    <tableColumn id="16" xr3:uid="{00000000-0010-0000-1500-000010000000}" name="Category" dataDxfId="199"/>
    <tableColumn id="17" xr3:uid="{00000000-0010-0000-1500-000011000000}" name="Classification" dataDxfId="198"/>
    <tableColumn id="19" xr3:uid="{00000000-0010-0000-1500-000013000000}" name="Anonymized" dataDxfId="197"/>
    <tableColumn id="20" xr3:uid="{00000000-0010-0000-1500-000014000000}" name="Consistency" dataDxfId="196"/>
    <tableColumn id="21" xr3:uid="{00000000-0010-0000-1500-000015000000}" name="Algo Class" dataDxfId="195"/>
    <tableColumn id="22" xr3:uid="{00000000-0010-0000-1500-000016000000}" name="Algo" dataDxfId="194"/>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24" displayName="Table224" ref="D9:Y12" totalsRowShown="0" headerRowDxfId="172" headerRowBorderDxfId="171" tableBorderDxfId="170">
  <autoFilter ref="D9:Y12" xr:uid="{00000000-0009-0000-0100-000017000000}"/>
  <tableColumns count="22">
    <tableColumn id="1" xr3:uid="{00000000-0010-0000-1600-000001000000}" name="Index" dataDxfId="169"/>
    <tableColumn id="2" xr3:uid="{00000000-0010-0000-1600-000002000000}" name="Name" dataDxfId="168"/>
    <tableColumn id="3" xr3:uid="{00000000-0010-0000-1600-000003000000}" name="Ver." dataDxfId="167"/>
    <tableColumn id="4" xr3:uid="{00000000-0010-0000-1600-000004000000}" name="Type" dataDxfId="166"/>
    <tableColumn id="18" xr3:uid="{00000000-0010-0000-1600-000012000000}" name="Auto Generated Col" dataDxfId="165"/>
    <tableColumn id="5" xr3:uid="{00000000-0010-0000-1600-000005000000}" name="Format" dataDxfId="164"/>
    <tableColumn id="6" xr3:uid="{00000000-0010-0000-1600-000006000000}" name="Source name" dataDxfId="163"/>
    <tableColumn id="7" xr3:uid="{00000000-0010-0000-1600-000007000000}" name="Description " dataDxfId="162"/>
    <tableColumn id="14" xr3:uid="{00000000-0010-0000-1600-00000E000000}" name="Data Element" dataDxfId="161"/>
    <tableColumn id="8" xr3:uid="{00000000-0010-0000-1600-000008000000}" name="Data Element Definition" dataDxfId="160">
      <calculatedColumnFormula>VLOOKUP(Table224[[#This Row],[Data Element]],Lookups2!AM:AN,2,FALSE)</calculatedColumnFormula>
    </tableColumn>
    <tableColumn id="9" xr3:uid="{00000000-0010-0000-1600-000009000000}" name="Primary key" dataDxfId="159"/>
    <tableColumn id="10" xr3:uid="{00000000-0010-0000-1600-00000A000000}" name="Nullable" dataDxfId="158"/>
    <tableColumn id="11" xr3:uid="{00000000-0010-0000-1600-00000B000000}" name="FK" dataDxfId="157"/>
    <tableColumn id="12" xr3:uid="{00000000-0010-0000-1600-00000C000000}" name="Ref Dataset" dataDxfId="156"/>
    <tableColumn id="13" xr3:uid="{00000000-0010-0000-1600-00000D000000}" name="Ref Attribute" dataDxfId="155"/>
    <tableColumn id="15" xr3:uid="{00000000-0010-0000-1600-00000F000000}" name="CID" dataDxfId="154"/>
    <tableColumn id="16" xr3:uid="{00000000-0010-0000-1600-000010000000}" name="Category" dataDxfId="153"/>
    <tableColumn id="17" xr3:uid="{00000000-0010-0000-1600-000011000000}" name="Classification" dataDxfId="152"/>
    <tableColumn id="19" xr3:uid="{00000000-0010-0000-1600-000013000000}" name="Anonymized" dataDxfId="151"/>
    <tableColumn id="20" xr3:uid="{00000000-0010-0000-1600-000014000000}" name="Consistency" dataDxfId="150"/>
    <tableColumn id="21" xr3:uid="{00000000-0010-0000-1600-000015000000}" name="Algo Class" dataDxfId="149"/>
    <tableColumn id="22" xr3:uid="{00000000-0010-0000-1600-000016000000}" name="Algo" dataDxfId="148"/>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25" displayName="Table225" ref="D9:Y13" totalsRowShown="0" headerRowDxfId="126" headerRowBorderDxfId="125" tableBorderDxfId="124">
  <autoFilter ref="D9:Y13" xr:uid="{00000000-0009-0000-0100-000018000000}"/>
  <tableColumns count="22">
    <tableColumn id="1" xr3:uid="{00000000-0010-0000-1700-000001000000}" name="Index" dataDxfId="123"/>
    <tableColumn id="2" xr3:uid="{00000000-0010-0000-1700-000002000000}" name="Name" dataDxfId="122"/>
    <tableColumn id="3" xr3:uid="{00000000-0010-0000-1700-000003000000}" name="Ver." dataDxfId="121"/>
    <tableColumn id="4" xr3:uid="{00000000-0010-0000-1700-000004000000}" name="Type" dataDxfId="120"/>
    <tableColumn id="18" xr3:uid="{00000000-0010-0000-1700-000012000000}" name="Auto Generated Col" dataDxfId="119"/>
    <tableColumn id="5" xr3:uid="{00000000-0010-0000-1700-000005000000}" name="Format" dataDxfId="118"/>
    <tableColumn id="6" xr3:uid="{00000000-0010-0000-1700-000006000000}" name="Source name" dataDxfId="117"/>
    <tableColumn id="7" xr3:uid="{00000000-0010-0000-1700-000007000000}" name="Description " dataDxfId="116"/>
    <tableColumn id="14" xr3:uid="{00000000-0010-0000-1700-00000E000000}" name="Data Element" dataDxfId="115"/>
    <tableColumn id="8" xr3:uid="{00000000-0010-0000-1700-000008000000}" name="Data Element Definition" dataDxfId="114">
      <calculatedColumnFormula>VLOOKUP(Table225[[#This Row],[Data Element]],Lookups2!AM:AN,2,FALSE)</calculatedColumnFormula>
    </tableColumn>
    <tableColumn id="9" xr3:uid="{00000000-0010-0000-1700-000009000000}" name="Primary key" dataDxfId="113"/>
    <tableColumn id="10" xr3:uid="{00000000-0010-0000-1700-00000A000000}" name="Nullable" dataDxfId="112"/>
    <tableColumn id="11" xr3:uid="{00000000-0010-0000-1700-00000B000000}" name="FK" dataDxfId="111"/>
    <tableColumn id="12" xr3:uid="{00000000-0010-0000-1700-00000C000000}" name="Ref Dataset" dataDxfId="110"/>
    <tableColumn id="13" xr3:uid="{00000000-0010-0000-1700-00000D000000}" name="Ref Attribute" dataDxfId="109"/>
    <tableColumn id="15" xr3:uid="{00000000-0010-0000-1700-00000F000000}" name="CID" dataDxfId="108"/>
    <tableColumn id="16" xr3:uid="{00000000-0010-0000-1700-000010000000}" name="Category" dataDxfId="107"/>
    <tableColumn id="17" xr3:uid="{00000000-0010-0000-1700-000011000000}" name="Classification" dataDxfId="106"/>
    <tableColumn id="19" xr3:uid="{00000000-0010-0000-1700-000013000000}" name="Anonymized" dataDxfId="105"/>
    <tableColumn id="20" xr3:uid="{00000000-0010-0000-1700-000014000000}" name="Consistency" dataDxfId="104"/>
    <tableColumn id="21" xr3:uid="{00000000-0010-0000-1700-000015000000}" name="Algo Class" dataDxfId="103"/>
    <tableColumn id="22" xr3:uid="{00000000-0010-0000-1700-000016000000}" name="Algo" dataDxfId="102"/>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726" displayName="Table2726" ref="D9:Y12" totalsRowShown="0" headerRowDxfId="75" headerRowBorderDxfId="74" tableBorderDxfId="73">
  <autoFilter ref="D9:Y12" xr:uid="{00000000-0009-0000-0100-000019000000}"/>
  <tableColumns count="22">
    <tableColumn id="1" xr3:uid="{00000000-0010-0000-1800-000001000000}" name="Index" dataDxfId="72"/>
    <tableColumn id="2" xr3:uid="{00000000-0010-0000-1800-000002000000}" name="Name" dataDxfId="71"/>
    <tableColumn id="3" xr3:uid="{00000000-0010-0000-1800-000003000000}" name="Ver." dataDxfId="70"/>
    <tableColumn id="4" xr3:uid="{00000000-0010-0000-1800-000004000000}" name="Type" dataDxfId="69"/>
    <tableColumn id="18" xr3:uid="{00000000-0010-0000-1800-000012000000}" name="Auto Generated Col" dataDxfId="68"/>
    <tableColumn id="5" xr3:uid="{00000000-0010-0000-1800-000005000000}" name="Format" dataDxfId="67"/>
    <tableColumn id="6" xr3:uid="{00000000-0010-0000-1800-000006000000}" name="Source name" dataDxfId="66"/>
    <tableColumn id="7" xr3:uid="{00000000-0010-0000-1800-000007000000}" name="Description " dataDxfId="65"/>
    <tableColumn id="14" xr3:uid="{00000000-0010-0000-1800-00000E000000}" name="Data Element" dataDxfId="64"/>
    <tableColumn id="8" xr3:uid="{00000000-0010-0000-1800-000008000000}" name="Data Element Definition" dataDxfId="63">
      <calculatedColumnFormula>VLOOKUP(Table2726[[#This Row],[Data Element]],Lookups2!AM:AN,2,FALSE)</calculatedColumnFormula>
    </tableColumn>
    <tableColumn id="9" xr3:uid="{00000000-0010-0000-1800-000009000000}" name="Primary key" dataDxfId="62"/>
    <tableColumn id="10" xr3:uid="{00000000-0010-0000-1800-00000A000000}" name="Nullable" dataDxfId="61"/>
    <tableColumn id="11" xr3:uid="{00000000-0010-0000-1800-00000B000000}" name="FK" dataDxfId="60"/>
    <tableColumn id="12" xr3:uid="{00000000-0010-0000-1800-00000C000000}" name="Ref Dataset" dataDxfId="59"/>
    <tableColumn id="13" xr3:uid="{00000000-0010-0000-1800-00000D000000}" name="Ref Attribute" dataDxfId="58"/>
    <tableColumn id="15" xr3:uid="{00000000-0010-0000-1800-00000F000000}" name="CID" dataDxfId="57"/>
    <tableColumn id="16" xr3:uid="{00000000-0010-0000-1800-000010000000}" name="Category" dataDxfId="56"/>
    <tableColumn id="17" xr3:uid="{00000000-0010-0000-1800-000011000000}" name="Classification" dataDxfId="55"/>
    <tableColumn id="19" xr3:uid="{00000000-0010-0000-1800-000013000000}" name="Anonymized" dataDxfId="54"/>
    <tableColumn id="20" xr3:uid="{00000000-0010-0000-1800-000014000000}" name="Consistency" dataDxfId="53"/>
    <tableColumn id="21" xr3:uid="{00000000-0010-0000-1800-000015000000}" name="Algo Class" dataDxfId="52"/>
    <tableColumn id="22" xr3:uid="{00000000-0010-0000-1800-000016000000}" name="Algo" dataDxfId="5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72627" displayName="Table272627" ref="D9:Y12" totalsRowShown="0" headerRowDxfId="24" headerRowBorderDxfId="23" tableBorderDxfId="22">
  <autoFilter ref="D9:Y12" xr:uid="{00000000-0009-0000-0100-00001A000000}"/>
  <tableColumns count="22">
    <tableColumn id="1" xr3:uid="{00000000-0010-0000-1900-000001000000}" name="Index" dataDxfId="21"/>
    <tableColumn id="2" xr3:uid="{00000000-0010-0000-1900-000002000000}" name="Name" dataDxfId="20"/>
    <tableColumn id="3" xr3:uid="{00000000-0010-0000-1900-000003000000}" name="Ver." dataDxfId="19"/>
    <tableColumn id="4" xr3:uid="{00000000-0010-0000-1900-000004000000}" name="Type" dataDxfId="18"/>
    <tableColumn id="18" xr3:uid="{00000000-0010-0000-1900-000012000000}" name="Auto Generated Col" dataDxfId="17"/>
    <tableColumn id="5" xr3:uid="{00000000-0010-0000-1900-000005000000}" name="Format" dataDxfId="16"/>
    <tableColumn id="6" xr3:uid="{00000000-0010-0000-1900-000006000000}" name="Source name" dataDxfId="15"/>
    <tableColumn id="7" xr3:uid="{00000000-0010-0000-1900-000007000000}" name="Description " dataDxfId="14"/>
    <tableColumn id="14" xr3:uid="{00000000-0010-0000-1900-00000E000000}" name="Data Element" dataDxfId="13"/>
    <tableColumn id="8" xr3:uid="{00000000-0010-0000-1900-000008000000}" name="Data Element Definition" dataDxfId="12">
      <calculatedColumnFormula>VLOOKUP(Table272627[[#This Row],[Data Element]],Lookups2!AM:AN,2,FALSE)</calculatedColumnFormula>
    </tableColumn>
    <tableColumn id="9" xr3:uid="{00000000-0010-0000-1900-000009000000}" name="Primary key" dataDxfId="11"/>
    <tableColumn id="10" xr3:uid="{00000000-0010-0000-1900-00000A000000}" name="Nullable" dataDxfId="10"/>
    <tableColumn id="11" xr3:uid="{00000000-0010-0000-1900-00000B000000}" name="FK" dataDxfId="9"/>
    <tableColumn id="12" xr3:uid="{00000000-0010-0000-1900-00000C000000}" name="Ref Dataset" dataDxfId="8"/>
    <tableColumn id="13" xr3:uid="{00000000-0010-0000-1900-00000D000000}" name="Ref Attribute" dataDxfId="7"/>
    <tableColumn id="15" xr3:uid="{00000000-0010-0000-1900-00000F000000}" name="CID" dataDxfId="6"/>
    <tableColumn id="16" xr3:uid="{00000000-0010-0000-1900-000010000000}" name="Category" dataDxfId="5"/>
    <tableColumn id="17" xr3:uid="{00000000-0010-0000-1900-000011000000}" name="Classification" dataDxfId="4"/>
    <tableColumn id="19" xr3:uid="{00000000-0010-0000-1900-000013000000}" name="Anonymized" dataDxfId="3"/>
    <tableColumn id="20" xr3:uid="{00000000-0010-0000-1900-000014000000}" name="Consistency" dataDxfId="2"/>
    <tableColumn id="21" xr3:uid="{00000000-0010-0000-1900-000015000000}" name="Algo Class" dataDxfId="1"/>
    <tableColumn id="22" xr3:uid="{00000000-0010-0000-1900-000016000000}" name="Algo" dataDxfId="0"/>
  </tableColumns>
  <tableStyleInfo name="TableStyleLight1" showFirstColumn="0" showLastColumn="0" showRowStripes="1" showColumnStripes="0"/>
</table>
</file>

<file path=xl/theme/theme1.xml><?xml version="1.0" encoding="utf-8"?>
<a:theme xmlns:a="http://schemas.openxmlformats.org/drawingml/2006/main" name="CS 1">
  <a:themeElements>
    <a:clrScheme name="Credit Suisse 1">
      <a:dk1>
        <a:sysClr val="windowText" lastClr="000000"/>
      </a:dk1>
      <a:lt1>
        <a:sysClr val="window" lastClr="FFFFFF"/>
      </a:lt1>
      <a:dk2>
        <a:srgbClr val="166C86"/>
      </a:dk2>
      <a:lt2>
        <a:srgbClr val="EEECE1"/>
      </a:lt2>
      <a:accent1>
        <a:srgbClr val="255B89"/>
      </a:accent1>
      <a:accent2>
        <a:srgbClr val="AAA19A"/>
      </a:accent2>
      <a:accent3>
        <a:srgbClr val="A6CCD6"/>
      </a:accent3>
      <a:accent4>
        <a:srgbClr val="56A2B9"/>
      </a:accent4>
      <a:accent5>
        <a:srgbClr val="C8C1BC"/>
      </a:accent5>
      <a:accent6>
        <a:srgbClr val="003868"/>
      </a:accent6>
      <a:hlink>
        <a:srgbClr val="0000FF"/>
      </a:hlink>
      <a:folHlink>
        <a:srgbClr val="800080"/>
      </a:folHlink>
    </a:clrScheme>
    <a:fontScheme name="CS 1">
      <a:majorFont>
        <a:latin typeface="Credit Suisse Type Light"/>
        <a:ea typeface=""/>
        <a:cs typeface=""/>
        <a:font script="Kore" typeface="Credit Suisse Type Kor Roman"/>
        <a:font script="Arab" typeface="Credit Suisse Type Arabic Light"/>
        <a:font script="Cyrl" typeface="Credit Suisse Type Light"/>
        <a:font script="Deva" typeface="Credit Suisse Type Deva Light"/>
        <a:font script="Grek" typeface="Credit Suisse Type Light"/>
        <a:font script="Hans" typeface="Credit Suisse Type SCh Light"/>
        <a:font script="Hant" typeface="Credit Suisse Type TCh Light"/>
        <a:font script="Jpan" typeface="Credit Suisse Type Jap Light"/>
        <a:font script="Thai" typeface="Credit Suisse Type Thai Light"/>
      </a:majorFont>
      <a:minorFont>
        <a:latin typeface="Credit Suisse Type Light"/>
        <a:ea typeface=""/>
        <a:cs typeface=""/>
        <a:font script="Kore" typeface="Credit Suisse Type Kor Roman"/>
        <a:font script="Arab" typeface="Credit Suisse Type Arabic Light"/>
        <a:font script="Cyrl" typeface="Credit Suisse Type Light"/>
        <a:font script="Deva" typeface="Credit Suisse Type Deva Light"/>
        <a:font script="Grek" typeface="Credit Suisse Type Light"/>
        <a:font script="Hans" typeface="Credit Suisse Type SCh Light"/>
        <a:font script="Hant" typeface="Credit Suisse Type TCh Light"/>
        <a:font script="Jpan" typeface="Credit Suisse Type Jap Light"/>
        <a:font script="Thai" typeface="Credit Suisse Type Thai Light"/>
      </a:minorFont>
    </a:fontScheme>
    <a:fmtScheme name="Couture">
      <a:fillStyleLst>
        <a:solidFill>
          <a:schemeClr val="phClr"/>
        </a:solidFill>
        <a:solidFill>
          <a:schemeClr val="phClr">
            <a:tint val="65000"/>
          </a:schemeClr>
        </a:solidFill>
        <a:solidFill>
          <a:schemeClr val="phClr">
            <a:shade val="80000"/>
            <a:satMod val="18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9050" h="31750" prst="coolSlant"/>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ln>
          <a:noFill/>
        </a:ln>
      </a:spPr>
      <a:bodyPr rtlCol="0" anchor="ctr"/>
      <a:lstStyle>
        <a:defPPr algn="ctr">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custClrLst>
    <a:custClr name="Purple 1">
      <a:srgbClr val="92499E"/>
    </a:custClr>
    <a:custClr name="Green 1">
      <a:srgbClr val="898000"/>
    </a:custClr>
    <a:custClr name="Yellow 1">
      <a:srgbClr val="FFC726"/>
    </a:custClr>
    <a:custClr name="Orange 1">
      <a:srgbClr val="F49C3E"/>
    </a:custClr>
    <a:custClr name="Red 1">
      <a:srgbClr val="9D0E2D"/>
    </a:custClr>
    <a:custClr name="Purple 2">
      <a:srgbClr val="A86DB1"/>
    </a:custClr>
    <a:custClr name="Green 2">
      <a:srgbClr val="B1A82F"/>
    </a:custClr>
    <a:custClr name="Yellow 2">
      <a:srgbClr val="FFD251"/>
    </a:custClr>
    <a:custClr name="Orange 2">
      <a:srgbClr val="F6B065"/>
    </a:custClr>
    <a:custClr name="Red 2">
      <a:srgbClr val="C23841"/>
    </a:custClr>
    <a:custClr name="Purple 3">
      <a:srgbClr val="BE92C5"/>
    </a:custClr>
    <a:custClr name="Green 3">
      <a:srgbClr val="D7D17B"/>
    </a:custClr>
    <a:custClr name="Yellow 3">
      <a:srgbClr val="FFDD7D"/>
    </a:custClr>
    <a:custClr name="Orange 3">
      <a:srgbClr val="F8C48B"/>
    </a:custClr>
    <a:custClr name="Red 3">
      <a:srgbClr val="DE7572"/>
    </a:custClr>
    <a:custClr name="Purple 4">
      <a:srgbClr val="D3B6D8"/>
    </a:custClr>
    <a:custClr name="Green 4">
      <a:srgbClr val="E9E6B9"/>
    </a:custClr>
    <a:custClr name="Yellow 4">
      <a:srgbClr val="FFE9A8"/>
    </a:custClr>
    <a:custClr name="Orange 4">
      <a:srgbClr val="FBD7B2"/>
    </a:custClr>
    <a:custClr name="Red 4">
      <a:srgbClr val="EBB7B6"/>
    </a:custClr>
  </a:custClr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hyperlink" Target="mailto:commod_bb_pr_@DATE@.csv&#160;" TargetMode="External"/><Relationship Id="rId7" Type="http://schemas.openxmlformats.org/officeDocument/2006/relationships/table" Target="../tables/table1.xml"/><Relationship Id="rId2" Type="http://schemas.openxmlformats.org/officeDocument/2006/relationships/hyperlink" Target="mailto:index_bb_pr_@DATE@.csv&#160;" TargetMode="External"/><Relationship Id="rId1" Type="http://schemas.openxmlformats.org/officeDocument/2006/relationships/hyperlink" Target="mailto:fx_zur_@DATE@.csv&#160;" TargetMode="External"/><Relationship Id="rId6" Type="http://schemas.openxmlformats.org/officeDocument/2006/relationships/drawing" Target="../drawings/drawing1.xml"/><Relationship Id="rId5" Type="http://schemas.openxmlformats.org/officeDocument/2006/relationships/printerSettings" Target="../printerSettings/printerSettings5.bin"/><Relationship Id="rId4" Type="http://schemas.openxmlformats.org/officeDocument/2006/relationships/hyperlink" Target="mailto:cmtfix_@DATE@.csv&#160;" TargetMode="Externa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openxmlformats.org/officeDocument/2006/relationships/comments" Target="../comments1.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proceduralsupport.itfidg2@credit-suisse." TargetMode="External"/><Relationship Id="rId7" Type="http://schemas.openxmlformats.org/officeDocument/2006/relationships/comments" Target="../comments4.xml"/><Relationship Id="rId2" Type="http://schemas.openxmlformats.org/officeDocument/2006/relationships/hyperlink" Target="mailto:list.cstl2sdpch@credit-suisse.com" TargetMode="External"/><Relationship Id="rId1" Type="http://schemas.openxmlformats.org/officeDocument/2006/relationships/hyperlink" Target="mailto:list.ccrodataingestion@credit-suisse.com" TargetMode="External"/><Relationship Id="rId6" Type="http://schemas.openxmlformats.org/officeDocument/2006/relationships/vmlDrawing" Target="../drawings/vmlDrawing4.vml"/><Relationship Id="rId5" Type="http://schemas.openxmlformats.org/officeDocument/2006/relationships/printerSettings" Target="../printerSettings/printerSettings11.bin"/><Relationship Id="rId4" Type="http://schemas.openxmlformats.org/officeDocument/2006/relationships/hyperlink" Target="mailto:list.quantstratsmdamproduction@credit-suisse.com" TargetMode="Externa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2.bin"/><Relationship Id="rId1" Type="http://schemas.openxmlformats.org/officeDocument/2006/relationships/hyperlink" Target="https://mdsnav.csintra.net/?class=EQ_RT_PR&amp;qual=.VIX&amp;cat=T&amp;ident=%40.VIX&amp;mds=ny_mds_prd1.fir.fbc.com_33300_service" TargetMode="External"/><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mailto:fx_shredder_@DATE@.csv" TargetMode="External"/><Relationship Id="rId1" Type="http://schemas.openxmlformats.org/officeDocument/2006/relationships/pivotTable" Target="../pivotTables/pivotTable2.xml"/><Relationship Id="rId6" Type="http://schemas.openxmlformats.org/officeDocument/2006/relationships/comments" Target="../comments6.xml"/><Relationship Id="rId5" Type="http://schemas.openxmlformats.org/officeDocument/2006/relationships/table" Target="../tables/table4.xml"/><Relationship Id="rId4" Type="http://schemas.openxmlformats.org/officeDocument/2006/relationships/vmlDrawing" Target="../drawings/vmlDrawing6.vml"/></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hyperlink" Target="mailto:vix_prices_@DATE@.csv" TargetMode="External"/><Relationship Id="rId1" Type="http://schemas.openxmlformats.org/officeDocument/2006/relationships/pivotTable" Target="../pivotTables/pivotTable3.xml"/><Relationship Id="rId6" Type="http://schemas.openxmlformats.org/officeDocument/2006/relationships/comments" Target="../comments7.xml"/><Relationship Id="rId5" Type="http://schemas.openxmlformats.org/officeDocument/2006/relationships/table" Target="../tables/table5.xml"/><Relationship Id="rId4" Type="http://schemas.openxmlformats.org/officeDocument/2006/relationships/vmlDrawing" Target="../drawings/vmlDrawing7.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16.bin"/><Relationship Id="rId1" Type="http://schemas.openxmlformats.org/officeDocument/2006/relationships/pivotTable" Target="../pivotTables/pivotTable4.xml"/><Relationship Id="rId5" Type="http://schemas.openxmlformats.org/officeDocument/2006/relationships/comments" Target="../comments8.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mailto:vix_prices_archive@DATE@.csv" TargetMode="External"/><Relationship Id="rId1" Type="http://schemas.openxmlformats.org/officeDocument/2006/relationships/pivotTable" Target="../pivotTables/pivotTable5.xml"/><Relationship Id="rId6" Type="http://schemas.openxmlformats.org/officeDocument/2006/relationships/comments" Target="../comments9.xml"/><Relationship Id="rId5" Type="http://schemas.openxmlformats.org/officeDocument/2006/relationships/table" Target="../tables/table7.xml"/><Relationship Id="rId4" Type="http://schemas.openxmlformats.org/officeDocument/2006/relationships/vmlDrawing" Target="../drawings/vmlDrawing9.v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mailto:traded_loan_price_@DATE@.csv" TargetMode="External"/><Relationship Id="rId1" Type="http://schemas.openxmlformats.org/officeDocument/2006/relationships/pivotTable" Target="../pivotTables/pivotTable6.xml"/><Relationship Id="rId6" Type="http://schemas.openxmlformats.org/officeDocument/2006/relationships/comments" Target="../comments10.xml"/><Relationship Id="rId5" Type="http://schemas.openxmlformats.org/officeDocument/2006/relationships/table" Target="../tables/table8.xml"/><Relationship Id="rId4" Type="http://schemas.openxmlformats.org/officeDocument/2006/relationships/vmlDrawing" Target="../drawings/vmlDrawing10.v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mailto:market_cds_price_@DATE@.csv" TargetMode="External"/><Relationship Id="rId1" Type="http://schemas.openxmlformats.org/officeDocument/2006/relationships/pivotTable" Target="../pivotTables/pivotTable7.xml"/><Relationship Id="rId6" Type="http://schemas.openxmlformats.org/officeDocument/2006/relationships/comments" Target="../comments11.xml"/><Relationship Id="rId5" Type="http://schemas.openxmlformats.org/officeDocument/2006/relationships/table" Target="../tables/table9.xml"/><Relationship Id="rId4" Type="http://schemas.openxmlformats.org/officeDocument/2006/relationships/vmlDrawing" Target="../drawings/vmlDrawing11.vm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20.bin"/><Relationship Id="rId2" Type="http://schemas.openxmlformats.org/officeDocument/2006/relationships/hyperlink" Target="mailto:market_cds_price_@DATE@.csv" TargetMode="External"/><Relationship Id="rId1" Type="http://schemas.openxmlformats.org/officeDocument/2006/relationships/pivotTable" Target="../pivotTables/pivotTable8.xml"/><Relationship Id="rId6" Type="http://schemas.openxmlformats.org/officeDocument/2006/relationships/comments" Target="../comments12.xml"/><Relationship Id="rId5" Type="http://schemas.openxmlformats.org/officeDocument/2006/relationships/table" Target="../tables/table10.xml"/><Relationship Id="rId4" Type="http://schemas.openxmlformats.org/officeDocument/2006/relationships/vmlDrawing" Target="../drawings/vmlDrawing12.vml"/></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hyperlink" Target="mailto:eq_rt_pr_@DATE@.csv" TargetMode="External"/><Relationship Id="rId1" Type="http://schemas.openxmlformats.org/officeDocument/2006/relationships/pivotTable" Target="../pivotTables/pivotTable9.xml"/><Relationship Id="rId6" Type="http://schemas.openxmlformats.org/officeDocument/2006/relationships/comments" Target="../comments13.xml"/><Relationship Id="rId5" Type="http://schemas.openxmlformats.org/officeDocument/2006/relationships/table" Target="../tables/table11.xml"/><Relationship Id="rId4" Type="http://schemas.openxmlformats.org/officeDocument/2006/relationships/vmlDrawing" Target="../drawings/vmlDrawing13.v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22.bin"/><Relationship Id="rId2" Type="http://schemas.openxmlformats.org/officeDocument/2006/relationships/hyperlink" Target="mailto:market_index_price_@DATE@.csv" TargetMode="External"/><Relationship Id="rId1" Type="http://schemas.openxmlformats.org/officeDocument/2006/relationships/pivotTable" Target="../pivotTables/pivotTable10.xml"/><Relationship Id="rId6" Type="http://schemas.openxmlformats.org/officeDocument/2006/relationships/comments" Target="../comments14.xml"/><Relationship Id="rId5" Type="http://schemas.openxmlformats.org/officeDocument/2006/relationships/table" Target="../tables/table12.xml"/><Relationship Id="rId4" Type="http://schemas.openxmlformats.org/officeDocument/2006/relationships/vmlDrawing" Target="../drawings/vmlDrawing14.vml"/></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hyperlink" Target="mailto:eq_rt_pr_adj_factor_@DATE@.csv" TargetMode="External"/><Relationship Id="rId1" Type="http://schemas.openxmlformats.org/officeDocument/2006/relationships/pivotTable" Target="../pivotTables/pivotTable11.xml"/><Relationship Id="rId6" Type="http://schemas.openxmlformats.org/officeDocument/2006/relationships/comments" Target="../comments15.xml"/><Relationship Id="rId5" Type="http://schemas.openxmlformats.org/officeDocument/2006/relationships/table" Target="../tables/table13.xml"/><Relationship Id="rId4" Type="http://schemas.openxmlformats.org/officeDocument/2006/relationships/vmlDrawing" Target="../drawings/vmlDrawing15.vml"/></Relationships>
</file>

<file path=xl/worksheets/_rels/sheet24.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hyperlink" Target="mailto:eq_rt_pr_adj_factor_@DATE@.csv" TargetMode="External"/><Relationship Id="rId1" Type="http://schemas.openxmlformats.org/officeDocument/2006/relationships/pivotTable" Target="../pivotTables/pivotTable12.xml"/><Relationship Id="rId6" Type="http://schemas.openxmlformats.org/officeDocument/2006/relationships/comments" Target="../comments16.xml"/><Relationship Id="rId5" Type="http://schemas.openxmlformats.org/officeDocument/2006/relationships/table" Target="../tables/table14.xml"/><Relationship Id="rId4" Type="http://schemas.openxmlformats.org/officeDocument/2006/relationships/vmlDrawing" Target="../drawings/vmlDrawing16.v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hyperlink" Target="mailto:debt_bb_pr_@DATE@.csv" TargetMode="External"/><Relationship Id="rId1" Type="http://schemas.openxmlformats.org/officeDocument/2006/relationships/pivotTable" Target="../pivotTables/pivotTable13.xml"/><Relationship Id="rId6" Type="http://schemas.openxmlformats.org/officeDocument/2006/relationships/comments" Target="../comments17.xml"/><Relationship Id="rId5" Type="http://schemas.openxmlformats.org/officeDocument/2006/relationships/table" Target="../tables/table15.xml"/><Relationship Id="rId4" Type="http://schemas.openxmlformats.org/officeDocument/2006/relationships/vmlDrawing" Target="../drawings/vmlDrawing17.v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26.bin"/><Relationship Id="rId1" Type="http://schemas.openxmlformats.org/officeDocument/2006/relationships/pivotTable" Target="../pivotTables/pivotTable14.xml"/><Relationship Id="rId5" Type="http://schemas.openxmlformats.org/officeDocument/2006/relationships/comments" Target="../comments18.xml"/><Relationship Id="rId4" Type="http://schemas.openxmlformats.org/officeDocument/2006/relationships/table" Target="../tables/table16.xml"/></Relationships>
</file>

<file path=xl/worksheets/_rels/sheet27.xml.rels><?xml version="1.0" encoding="UTF-8" standalone="yes"?>
<Relationships xmlns="http://schemas.openxmlformats.org/package/2006/relationships"><Relationship Id="rId3" Type="http://schemas.openxmlformats.org/officeDocument/2006/relationships/hyperlink" Target="mailto:fx_zur_@DATE@.csv&#160;" TargetMode="External"/><Relationship Id="rId7" Type="http://schemas.openxmlformats.org/officeDocument/2006/relationships/comments" Target="../comments19.xml"/><Relationship Id="rId2" Type="http://schemas.openxmlformats.org/officeDocument/2006/relationships/hyperlink" Target="https://mdsnav.csintra.net/?class=FX&amp;qual=ZUR&amp;cat=R&amp;mds=ny_mds_prd1.fir.fbc.com_33300_service" TargetMode="External"/><Relationship Id="rId1" Type="http://schemas.openxmlformats.org/officeDocument/2006/relationships/pivotTable" Target="../pivotTables/pivotTable15.xml"/><Relationship Id="rId6" Type="http://schemas.openxmlformats.org/officeDocument/2006/relationships/table" Target="../tables/table17.xml"/><Relationship Id="rId5" Type="http://schemas.openxmlformats.org/officeDocument/2006/relationships/vmlDrawing" Target="../drawings/vmlDrawing19.vml"/><Relationship Id="rId4"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printerSettings" Target="../printerSettings/printerSettings28.bin"/><Relationship Id="rId2" Type="http://schemas.openxmlformats.org/officeDocument/2006/relationships/hyperlink" Target="mailto:trader_@DATE@.csv" TargetMode="External"/><Relationship Id="rId1" Type="http://schemas.openxmlformats.org/officeDocument/2006/relationships/pivotTable" Target="../pivotTables/pivotTable16.xml"/><Relationship Id="rId6" Type="http://schemas.openxmlformats.org/officeDocument/2006/relationships/comments" Target="../comments20.xml"/><Relationship Id="rId5" Type="http://schemas.openxmlformats.org/officeDocument/2006/relationships/table" Target="../tables/table18.xml"/><Relationship Id="rId4" Type="http://schemas.openxmlformats.org/officeDocument/2006/relationships/vmlDrawing" Target="../drawings/vmlDrawing20.vml"/></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29.bin"/><Relationship Id="rId2" Type="http://schemas.openxmlformats.org/officeDocument/2006/relationships/hyperlink" Target="mailto:fbtrader_@DATE@.csv" TargetMode="External"/><Relationship Id="rId1" Type="http://schemas.openxmlformats.org/officeDocument/2006/relationships/pivotTable" Target="../pivotTables/pivotTable17.xml"/><Relationship Id="rId6" Type="http://schemas.openxmlformats.org/officeDocument/2006/relationships/comments" Target="../comments21.xml"/><Relationship Id="rId5" Type="http://schemas.openxmlformats.org/officeDocument/2006/relationships/table" Target="../tables/table19.xml"/><Relationship Id="rId4" Type="http://schemas.openxmlformats.org/officeDocument/2006/relationships/vmlDrawing" Target="../drawings/vmlDrawing21.vml"/></Relationships>
</file>

<file path=xl/worksheets/_rels/sheet30.xml.rels><?xml version="1.0" encoding="UTF-8" standalone="yes"?>
<Relationships xmlns="http://schemas.openxmlformats.org/package/2006/relationships"><Relationship Id="rId3" Type="http://schemas.openxmlformats.org/officeDocument/2006/relationships/printerSettings" Target="../printerSettings/printerSettings30.bin"/><Relationship Id="rId2" Type="http://schemas.openxmlformats.org/officeDocument/2006/relationships/hyperlink" Target="mailto:contoption_@DATE@.csv" TargetMode="External"/><Relationship Id="rId1" Type="http://schemas.openxmlformats.org/officeDocument/2006/relationships/pivotTable" Target="../pivotTables/pivotTable18.xml"/><Relationship Id="rId6" Type="http://schemas.openxmlformats.org/officeDocument/2006/relationships/comments" Target="../comments22.xml"/><Relationship Id="rId5" Type="http://schemas.openxmlformats.org/officeDocument/2006/relationships/table" Target="../tables/table20.xml"/><Relationship Id="rId4" Type="http://schemas.openxmlformats.org/officeDocument/2006/relationships/vmlDrawing" Target="../drawings/vmlDrawing22.vml"/></Relationships>
</file>

<file path=xl/worksheets/_rels/sheet31.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hyperlink" Target="mailto:index_bb_pr_@DATE@.csv&#160;" TargetMode="External"/><Relationship Id="rId1" Type="http://schemas.openxmlformats.org/officeDocument/2006/relationships/pivotTable" Target="../pivotTables/pivotTable19.xml"/><Relationship Id="rId6" Type="http://schemas.openxmlformats.org/officeDocument/2006/relationships/comments" Target="../comments23.xml"/><Relationship Id="rId5" Type="http://schemas.openxmlformats.org/officeDocument/2006/relationships/table" Target="../tables/table21.xml"/><Relationship Id="rId4" Type="http://schemas.openxmlformats.org/officeDocument/2006/relationships/vmlDrawing" Target="../drawings/vmlDrawing23.vml"/></Relationships>
</file>

<file path=xl/worksheets/_rels/sheet32.xml.rels><?xml version="1.0" encoding="UTF-8" standalone="yes"?>
<Relationships xmlns="http://schemas.openxmlformats.org/package/2006/relationships"><Relationship Id="rId3" Type="http://schemas.openxmlformats.org/officeDocument/2006/relationships/printerSettings" Target="../printerSettings/printerSettings32.bin"/><Relationship Id="rId2" Type="http://schemas.openxmlformats.org/officeDocument/2006/relationships/hyperlink" Target="mailto:ma_cr_idx_pr_@DATE@.csv&#160;" TargetMode="External"/><Relationship Id="rId1" Type="http://schemas.openxmlformats.org/officeDocument/2006/relationships/pivotTable" Target="../pivotTables/pivotTable20.xml"/><Relationship Id="rId6" Type="http://schemas.openxmlformats.org/officeDocument/2006/relationships/comments" Target="../comments24.xml"/><Relationship Id="rId5" Type="http://schemas.openxmlformats.org/officeDocument/2006/relationships/table" Target="../tables/table22.xml"/><Relationship Id="rId4" Type="http://schemas.openxmlformats.org/officeDocument/2006/relationships/vmlDrawing" Target="../drawings/vmlDrawing24.v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hyperlink" Target="mailto:commod_bb_pr_@DATE@.csv&#160;" TargetMode="External"/><Relationship Id="rId1" Type="http://schemas.openxmlformats.org/officeDocument/2006/relationships/pivotTable" Target="../pivotTables/pivotTable21.xml"/><Relationship Id="rId6" Type="http://schemas.openxmlformats.org/officeDocument/2006/relationships/comments" Target="../comments25.xml"/><Relationship Id="rId5" Type="http://schemas.openxmlformats.org/officeDocument/2006/relationships/table" Target="../tables/table23.xml"/><Relationship Id="rId4" Type="http://schemas.openxmlformats.org/officeDocument/2006/relationships/vmlDrawing" Target="../drawings/vmlDrawing25.v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hyperlink" Target="mailto:cmtfix_@DATE@.csv&#160;" TargetMode="External"/><Relationship Id="rId1" Type="http://schemas.openxmlformats.org/officeDocument/2006/relationships/pivotTable" Target="../pivotTables/pivotTable22.xml"/><Relationship Id="rId6" Type="http://schemas.openxmlformats.org/officeDocument/2006/relationships/comments" Target="../comments26.xml"/><Relationship Id="rId5" Type="http://schemas.openxmlformats.org/officeDocument/2006/relationships/table" Target="../tables/table24.xml"/><Relationship Id="rId4" Type="http://schemas.openxmlformats.org/officeDocument/2006/relationships/vmlDrawing" Target="../drawings/vmlDrawing26.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printerSettings" Target="../printerSettings/printerSettings35.bin"/><Relationship Id="rId1" Type="http://schemas.openxmlformats.org/officeDocument/2006/relationships/pivotTable" Target="../pivotTables/pivotTable23.xml"/><Relationship Id="rId5" Type="http://schemas.openxmlformats.org/officeDocument/2006/relationships/comments" Target="../comments27.xml"/><Relationship Id="rId4" Type="http://schemas.openxmlformats.org/officeDocument/2006/relationships/table" Target="../tables/table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printerSettings" Target="../printerSettings/printerSettings36.bin"/><Relationship Id="rId1" Type="http://schemas.openxmlformats.org/officeDocument/2006/relationships/pivotTable" Target="../pivotTables/pivotTable24.xml"/><Relationship Id="rId5" Type="http://schemas.openxmlformats.org/officeDocument/2006/relationships/comments" Target="../comments28.xml"/><Relationship Id="rId4" Type="http://schemas.openxmlformats.org/officeDocument/2006/relationships/table" Target="../tables/table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C7"/>
  <sheetViews>
    <sheetView workbookViewId="0">
      <selection activeCell="B2" sqref="B2"/>
    </sheetView>
  </sheetViews>
  <sheetFormatPr defaultRowHeight="12.75" x14ac:dyDescent="0.2"/>
  <cols>
    <col min="1" max="1" width="4.7109375" customWidth="1"/>
    <col min="2" max="2" width="109.5703125" customWidth="1"/>
    <col min="3" max="3" width="40.140625" customWidth="1"/>
  </cols>
  <sheetData>
    <row r="1" spans="1:3" x14ac:dyDescent="0.2">
      <c r="A1" s="63" t="s">
        <v>0</v>
      </c>
      <c r="B1" s="63" t="s">
        <v>1</v>
      </c>
      <c r="C1" s="63"/>
    </row>
    <row r="3" spans="1:3" x14ac:dyDescent="0.2">
      <c r="A3" s="63">
        <v>1</v>
      </c>
      <c r="B3" s="63" t="s">
        <v>2</v>
      </c>
      <c r="C3" s="63" t="str">
        <f>CONCATENATE(A3,". ",B3)</f>
        <v>1. Analyze requieremnt</v>
      </c>
    </row>
    <row r="4" spans="1:3" x14ac:dyDescent="0.2">
      <c r="A4" s="63">
        <v>1.1000000000000001</v>
      </c>
      <c r="B4" s="63" t="s">
        <v>3</v>
      </c>
      <c r="C4" s="63" t="str">
        <f>CONCATENATE(A4,". ",B4)</f>
        <v>1.1. Initial analysis</v>
      </c>
    </row>
    <row r="5" spans="1:3" x14ac:dyDescent="0.2">
      <c r="A5" s="63">
        <v>2</v>
      </c>
      <c r="B5" s="63" t="s">
        <v>4</v>
      </c>
      <c r="C5" s="63" t="str">
        <f>CONCATENATE(A5,". ",B5)</f>
        <v>2. Find source</v>
      </c>
    </row>
    <row r="6" spans="1:3" x14ac:dyDescent="0.2">
      <c r="A6" s="63">
        <v>3</v>
      </c>
      <c r="B6" s="63" t="s">
        <v>5</v>
      </c>
      <c r="C6" s="63" t="str">
        <f>CONCATENATE(A6,". ",B6)</f>
        <v>3. Establuish connection</v>
      </c>
    </row>
    <row r="7" spans="1:3" x14ac:dyDescent="0.2">
      <c r="A7" s="63">
        <v>4</v>
      </c>
      <c r="B7" s="63" t="s">
        <v>6</v>
      </c>
      <c r="C7" s="63" t="str">
        <f>CONCATENATE(A7,". ",B7)</f>
        <v>4. Fix feed</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Z20"/>
  <sheetViews>
    <sheetView zoomScale="70" zoomScaleNormal="70" workbookViewId="0">
      <selection activeCell="R1" sqref="R1"/>
    </sheetView>
  </sheetViews>
  <sheetFormatPr defaultRowHeight="12.75" x14ac:dyDescent="0.2"/>
  <cols>
    <col min="1" max="1" width="19.5703125" bestFit="1" customWidth="1"/>
    <col min="2" max="13" width="16" customWidth="1"/>
    <col min="14" max="14" width="19" customWidth="1"/>
    <col min="15" max="27" width="16" customWidth="1"/>
  </cols>
  <sheetData>
    <row r="1" spans="1:26" x14ac:dyDescent="0.2">
      <c r="A1" s="75" t="s">
        <v>7</v>
      </c>
      <c r="B1" s="75" t="s">
        <v>8</v>
      </c>
      <c r="C1" s="75" t="s">
        <v>9</v>
      </c>
      <c r="D1" s="75" t="s">
        <v>10</v>
      </c>
      <c r="E1" s="75" t="s">
        <v>11</v>
      </c>
      <c r="F1" s="75" t="s">
        <v>12</v>
      </c>
      <c r="G1" s="75" t="s">
        <v>13</v>
      </c>
      <c r="H1" s="75" t="s">
        <v>14</v>
      </c>
      <c r="I1" s="75" t="s">
        <v>15</v>
      </c>
      <c r="J1" s="75" t="s">
        <v>16</v>
      </c>
      <c r="K1" s="75" t="s">
        <v>17</v>
      </c>
      <c r="L1" s="75" t="s">
        <v>18</v>
      </c>
      <c r="M1" s="75" t="s">
        <v>19</v>
      </c>
      <c r="N1" s="75" t="s">
        <v>20</v>
      </c>
      <c r="O1" s="75" t="s">
        <v>21</v>
      </c>
      <c r="P1" s="75" t="s">
        <v>22</v>
      </c>
      <c r="Q1" s="75" t="s">
        <v>23</v>
      </c>
      <c r="R1" s="75" t="s">
        <v>24</v>
      </c>
      <c r="S1" s="63" t="s">
        <v>25</v>
      </c>
      <c r="T1" s="63" t="s">
        <v>26</v>
      </c>
      <c r="U1" s="63" t="s">
        <v>27</v>
      </c>
      <c r="V1" s="63" t="s">
        <v>28</v>
      </c>
      <c r="W1" s="63" t="s">
        <v>29</v>
      </c>
      <c r="X1" s="63" t="s">
        <v>30</v>
      </c>
      <c r="Y1" s="63" t="s">
        <v>31</v>
      </c>
      <c r="Z1" s="63" t="s">
        <v>32</v>
      </c>
    </row>
    <row r="2" spans="1:26" ht="15" x14ac:dyDescent="0.25">
      <c r="A2" s="252" t="s">
        <v>33</v>
      </c>
      <c r="B2" s="63" t="s">
        <v>34</v>
      </c>
      <c r="C2" s="63" t="s">
        <v>35</v>
      </c>
      <c r="D2" s="252" t="s">
        <v>36</v>
      </c>
      <c r="E2" s="252" t="s">
        <v>37</v>
      </c>
      <c r="F2" s="252" t="s">
        <v>38</v>
      </c>
      <c r="G2" s="252" t="s">
        <v>39</v>
      </c>
      <c r="H2" s="63" t="s">
        <v>40</v>
      </c>
      <c r="I2" s="63" t="s">
        <v>41</v>
      </c>
      <c r="J2" s="63" t="s">
        <v>42</v>
      </c>
      <c r="K2" s="63" t="s">
        <v>43</v>
      </c>
      <c r="L2" s="63" t="s">
        <v>44</v>
      </c>
      <c r="M2" s="63" t="s">
        <v>19</v>
      </c>
      <c r="N2" s="63" t="s">
        <v>45</v>
      </c>
      <c r="O2" s="63" t="s">
        <v>46</v>
      </c>
      <c r="P2" s="63" t="s">
        <v>47</v>
      </c>
      <c r="Q2" s="63" t="s">
        <v>48</v>
      </c>
      <c r="R2" s="63" t="s">
        <v>49</v>
      </c>
      <c r="S2" s="63" t="s">
        <v>25</v>
      </c>
      <c r="T2" s="63" t="s">
        <v>50</v>
      </c>
      <c r="U2" s="63" t="s">
        <v>51</v>
      </c>
      <c r="V2" s="63" t="s">
        <v>52</v>
      </c>
      <c r="W2" s="63" t="s">
        <v>53</v>
      </c>
      <c r="X2" s="63" t="s">
        <v>54</v>
      </c>
      <c r="Y2" s="63" t="s">
        <v>55</v>
      </c>
      <c r="Z2" s="63" t="s">
        <v>56</v>
      </c>
    </row>
    <row r="3" spans="1:26" ht="15" x14ac:dyDescent="0.25">
      <c r="A3" s="252" t="s">
        <v>57</v>
      </c>
      <c r="B3" s="63" t="s">
        <v>58</v>
      </c>
      <c r="C3" s="63"/>
      <c r="D3" s="252" t="s">
        <v>59</v>
      </c>
      <c r="E3" s="252" t="s">
        <v>60</v>
      </c>
      <c r="F3" s="252" t="s">
        <v>61</v>
      </c>
      <c r="G3" s="252" t="s">
        <v>62</v>
      </c>
      <c r="H3" s="63"/>
      <c r="I3" s="63"/>
      <c r="J3" s="63"/>
      <c r="K3" s="63" t="s">
        <v>43</v>
      </c>
      <c r="L3" s="63" t="s">
        <v>63</v>
      </c>
      <c r="M3" s="63" t="s">
        <v>64</v>
      </c>
      <c r="N3" s="63" t="s">
        <v>65</v>
      </c>
      <c r="O3" s="63" t="s">
        <v>66</v>
      </c>
      <c r="P3" s="63" t="s">
        <v>67</v>
      </c>
      <c r="Q3" s="63" t="s">
        <v>68</v>
      </c>
      <c r="R3" s="63"/>
      <c r="S3" s="63"/>
      <c r="T3" s="63" t="s">
        <v>69</v>
      </c>
      <c r="U3" s="63"/>
      <c r="V3" s="63" t="s">
        <v>70</v>
      </c>
      <c r="W3" s="63" t="s">
        <v>71</v>
      </c>
      <c r="X3" s="63" t="s">
        <v>72</v>
      </c>
      <c r="Y3" s="63" t="s">
        <v>73</v>
      </c>
      <c r="Z3" s="63" t="s">
        <v>74</v>
      </c>
    </row>
    <row r="4" spans="1:26" ht="15" x14ac:dyDescent="0.25">
      <c r="A4" s="252" t="s">
        <v>75</v>
      </c>
      <c r="B4" s="63" t="s">
        <v>76</v>
      </c>
      <c r="C4" s="63"/>
      <c r="D4" s="252" t="s">
        <v>77</v>
      </c>
      <c r="E4" s="63" t="s">
        <v>78</v>
      </c>
      <c r="F4" s="252" t="s">
        <v>79</v>
      </c>
      <c r="G4" s="252" t="s">
        <v>80</v>
      </c>
      <c r="H4" s="63"/>
      <c r="I4" s="63"/>
      <c r="J4" s="63"/>
      <c r="K4" s="63"/>
      <c r="L4" s="63" t="s">
        <v>81</v>
      </c>
      <c r="M4" s="63" t="s">
        <v>82</v>
      </c>
      <c r="N4" s="63"/>
      <c r="O4" s="63" t="s">
        <v>83</v>
      </c>
      <c r="P4" s="63" t="s">
        <v>84</v>
      </c>
      <c r="Q4" s="63" t="s">
        <v>85</v>
      </c>
      <c r="R4" s="63"/>
      <c r="S4" s="63"/>
      <c r="T4" s="63"/>
      <c r="U4" s="63"/>
      <c r="V4" s="63" t="s">
        <v>86</v>
      </c>
      <c r="W4" s="63" t="s">
        <v>87</v>
      </c>
      <c r="X4" s="63" t="s">
        <v>88</v>
      </c>
      <c r="Y4" s="63" t="s">
        <v>89</v>
      </c>
      <c r="Z4" s="63" t="s">
        <v>90</v>
      </c>
    </row>
    <row r="5" spans="1:26" ht="15" x14ac:dyDescent="0.25">
      <c r="A5" s="252" t="s">
        <v>91</v>
      </c>
      <c r="B5" s="63"/>
      <c r="C5" s="63"/>
      <c r="D5" s="63" t="s">
        <v>92</v>
      </c>
      <c r="E5" s="63"/>
      <c r="F5" s="252" t="s">
        <v>93</v>
      </c>
      <c r="G5" s="252" t="s">
        <v>94</v>
      </c>
      <c r="H5" s="63"/>
      <c r="I5" s="63"/>
      <c r="J5" s="63"/>
      <c r="K5" s="63"/>
      <c r="L5" s="63"/>
      <c r="M5" s="63"/>
      <c r="N5" s="63"/>
      <c r="O5" s="63" t="s">
        <v>95</v>
      </c>
      <c r="P5" s="63"/>
      <c r="Q5" s="63" t="s">
        <v>96</v>
      </c>
      <c r="R5" s="63"/>
      <c r="S5" s="63"/>
      <c r="T5" s="63"/>
      <c r="U5" s="63"/>
      <c r="V5" s="63" t="s">
        <v>97</v>
      </c>
      <c r="W5" s="63" t="s">
        <v>98</v>
      </c>
      <c r="X5" s="63" t="s">
        <v>99</v>
      </c>
      <c r="Y5" s="63" t="s">
        <v>100</v>
      </c>
      <c r="Z5" s="63" t="s">
        <v>101</v>
      </c>
    </row>
    <row r="6" spans="1:26" ht="15" x14ac:dyDescent="0.25">
      <c r="A6" s="252" t="s">
        <v>102</v>
      </c>
      <c r="B6" s="63"/>
      <c r="C6" s="63"/>
      <c r="D6" s="63" t="s">
        <v>103</v>
      </c>
      <c r="E6" s="63"/>
      <c r="F6" s="252" t="s">
        <v>104</v>
      </c>
      <c r="G6" s="252" t="s">
        <v>105</v>
      </c>
      <c r="H6" s="63"/>
      <c r="I6" s="63"/>
      <c r="J6" s="63"/>
      <c r="K6" s="63"/>
      <c r="L6" s="63"/>
      <c r="M6" s="63"/>
      <c r="N6" s="63"/>
      <c r="O6" s="63" t="s">
        <v>106</v>
      </c>
      <c r="P6" s="63"/>
      <c r="Q6" s="63"/>
      <c r="R6" s="63"/>
      <c r="S6" s="63"/>
      <c r="T6" s="63"/>
      <c r="U6" s="63"/>
      <c r="V6" s="63" t="s">
        <v>107</v>
      </c>
      <c r="W6" s="63" t="s">
        <v>108</v>
      </c>
      <c r="X6" s="63" t="s">
        <v>109</v>
      </c>
      <c r="Y6" s="63" t="s">
        <v>110</v>
      </c>
      <c r="Z6" s="63" t="s">
        <v>111</v>
      </c>
    </row>
    <row r="7" spans="1:26" ht="15" x14ac:dyDescent="0.25">
      <c r="A7" s="252" t="s">
        <v>112</v>
      </c>
      <c r="B7" s="63"/>
      <c r="C7" s="63"/>
      <c r="D7" s="63"/>
      <c r="E7" s="63"/>
      <c r="F7" s="252" t="s">
        <v>113</v>
      </c>
      <c r="G7" s="63" t="s">
        <v>114</v>
      </c>
      <c r="H7" s="63"/>
      <c r="I7" s="63"/>
      <c r="J7" s="63"/>
      <c r="K7" s="63"/>
      <c r="L7" s="63"/>
      <c r="M7" s="63"/>
      <c r="N7" s="63"/>
      <c r="O7" s="63" t="s">
        <v>115</v>
      </c>
      <c r="P7" s="63"/>
      <c r="Q7" s="63"/>
      <c r="R7" s="63"/>
      <c r="S7" s="63"/>
      <c r="T7" s="63"/>
      <c r="U7" s="63"/>
      <c r="V7" s="63" t="s">
        <v>52</v>
      </c>
      <c r="W7" s="63" t="s">
        <v>116</v>
      </c>
      <c r="X7" s="63" t="s">
        <v>117</v>
      </c>
      <c r="Y7" s="63" t="s">
        <v>118</v>
      </c>
      <c r="Z7" s="63" t="s">
        <v>119</v>
      </c>
    </row>
    <row r="8" spans="1:26" ht="15" x14ac:dyDescent="0.25">
      <c r="A8" s="252" t="s">
        <v>120</v>
      </c>
      <c r="B8" s="63"/>
      <c r="C8" s="63"/>
      <c r="D8" s="63"/>
      <c r="E8" s="63"/>
      <c r="F8" s="63"/>
      <c r="G8" s="63"/>
      <c r="H8" s="63"/>
      <c r="I8" s="63"/>
      <c r="J8" s="63"/>
      <c r="K8" s="63"/>
      <c r="L8" s="63"/>
      <c r="M8" s="63"/>
      <c r="N8" s="63"/>
      <c r="O8" s="63" t="s">
        <v>121</v>
      </c>
      <c r="P8" s="63"/>
      <c r="Q8" s="63"/>
      <c r="R8" s="63"/>
      <c r="S8" s="63"/>
      <c r="T8" s="63"/>
      <c r="U8" s="63"/>
      <c r="V8" s="63"/>
      <c r="W8" s="63" t="s">
        <v>122</v>
      </c>
      <c r="X8" s="63" t="s">
        <v>123</v>
      </c>
      <c r="Y8" s="63" t="s">
        <v>124</v>
      </c>
      <c r="Z8" s="63"/>
    </row>
    <row r="9" spans="1:26" ht="15" x14ac:dyDescent="0.25">
      <c r="A9" s="252" t="s">
        <v>125</v>
      </c>
      <c r="B9" s="63"/>
      <c r="C9" s="63"/>
      <c r="D9" s="63"/>
      <c r="E9" s="63"/>
      <c r="F9" s="63"/>
      <c r="G9" s="63"/>
      <c r="H9" s="63"/>
      <c r="I9" s="63"/>
      <c r="J9" s="63"/>
      <c r="K9" s="63"/>
      <c r="L9" s="63"/>
      <c r="M9" s="63"/>
      <c r="N9" s="63"/>
      <c r="O9" s="63" t="s">
        <v>126</v>
      </c>
      <c r="P9" s="63"/>
      <c r="Q9" s="63"/>
      <c r="R9" s="63"/>
      <c r="S9" s="63"/>
      <c r="T9" s="63"/>
      <c r="U9" s="63"/>
      <c r="V9" s="63"/>
      <c r="W9" s="63" t="s">
        <v>127</v>
      </c>
      <c r="X9" s="63" t="s">
        <v>128</v>
      </c>
      <c r="Y9" s="63" t="s">
        <v>129</v>
      </c>
      <c r="Z9" s="63"/>
    </row>
    <row r="10" spans="1:26" ht="15" x14ac:dyDescent="0.25">
      <c r="A10" s="252" t="s">
        <v>7</v>
      </c>
      <c r="B10" s="63"/>
      <c r="C10" s="63"/>
      <c r="D10" s="63"/>
      <c r="E10" s="63"/>
      <c r="F10" s="63"/>
      <c r="G10" s="63"/>
      <c r="H10" s="63"/>
      <c r="I10" s="63"/>
      <c r="J10" s="63"/>
      <c r="K10" s="63"/>
      <c r="L10" s="63"/>
      <c r="M10" s="63"/>
      <c r="N10" s="63"/>
      <c r="O10" s="63"/>
      <c r="P10" s="63"/>
      <c r="Q10" s="63"/>
      <c r="R10" s="63"/>
      <c r="S10" s="63"/>
      <c r="T10" s="63"/>
      <c r="U10" s="63"/>
      <c r="V10" s="63"/>
      <c r="W10" s="63" t="s">
        <v>130</v>
      </c>
      <c r="X10" s="63" t="s">
        <v>131</v>
      </c>
      <c r="Y10" s="63" t="s">
        <v>132</v>
      </c>
      <c r="Z10" s="63"/>
    </row>
    <row r="11" spans="1:26" ht="15" x14ac:dyDescent="0.25">
      <c r="A11" s="252" t="s">
        <v>133</v>
      </c>
      <c r="B11" s="63"/>
      <c r="C11" s="63"/>
      <c r="D11" s="63"/>
      <c r="E11" s="63"/>
      <c r="F11" s="63"/>
      <c r="G11" s="63"/>
      <c r="H11" s="63"/>
      <c r="I11" s="63"/>
      <c r="J11" s="63"/>
      <c r="K11" s="63"/>
      <c r="L11" s="63"/>
      <c r="M11" s="63"/>
      <c r="N11" s="63"/>
      <c r="O11" s="63"/>
      <c r="P11" s="63"/>
      <c r="Q11" s="63"/>
      <c r="R11" s="63"/>
      <c r="S11" s="63"/>
      <c r="T11" s="63"/>
      <c r="U11" s="63"/>
      <c r="V11" s="63"/>
      <c r="W11" s="63" t="s">
        <v>134</v>
      </c>
      <c r="X11" s="63" t="s">
        <v>135</v>
      </c>
      <c r="Y11" s="63" t="s">
        <v>136</v>
      </c>
      <c r="Z11" s="63"/>
    </row>
    <row r="12" spans="1:26" x14ac:dyDescent="0.2">
      <c r="A12" s="63" t="s">
        <v>137</v>
      </c>
      <c r="B12" s="63"/>
      <c r="C12" s="63"/>
      <c r="D12" s="63"/>
      <c r="E12" s="63"/>
      <c r="F12" s="63"/>
      <c r="G12" s="63"/>
      <c r="H12" s="63"/>
      <c r="I12" s="63"/>
      <c r="J12" s="63"/>
      <c r="K12" s="63"/>
      <c r="L12" s="63"/>
      <c r="M12" s="63"/>
      <c r="N12" s="63"/>
      <c r="O12" s="63"/>
      <c r="P12" s="63"/>
      <c r="Q12" s="63"/>
      <c r="R12" s="63"/>
      <c r="S12" s="63"/>
      <c r="T12" s="63"/>
      <c r="U12" s="63"/>
      <c r="V12" s="63"/>
      <c r="W12" s="63" t="s">
        <v>138</v>
      </c>
      <c r="X12" s="63" t="s">
        <v>139</v>
      </c>
      <c r="Y12" s="63" t="s">
        <v>140</v>
      </c>
      <c r="Z12" s="63"/>
    </row>
    <row r="13" spans="1:26" x14ac:dyDescent="0.2">
      <c r="A13" s="63" t="s">
        <v>141</v>
      </c>
      <c r="B13" s="63"/>
      <c r="C13" s="63"/>
      <c r="D13" s="63"/>
      <c r="E13" s="63"/>
      <c r="F13" s="63"/>
      <c r="G13" s="63"/>
      <c r="H13" s="63"/>
      <c r="I13" s="63"/>
      <c r="J13" s="63"/>
      <c r="K13" s="63"/>
      <c r="L13" s="63"/>
      <c r="M13" s="63"/>
      <c r="N13" s="63"/>
      <c r="O13" s="63"/>
      <c r="P13" s="63"/>
      <c r="Q13" s="63"/>
      <c r="R13" s="63"/>
      <c r="S13" s="63"/>
      <c r="T13" s="63"/>
      <c r="U13" s="63"/>
      <c r="V13" s="63"/>
      <c r="W13" s="63" t="s">
        <v>142</v>
      </c>
      <c r="X13" s="63"/>
      <c r="Y13" s="63" t="s">
        <v>143</v>
      </c>
      <c r="Z13" s="63"/>
    </row>
    <row r="14" spans="1:26" x14ac:dyDescent="0.2">
      <c r="A14" s="63" t="s">
        <v>144</v>
      </c>
      <c r="B14" s="63"/>
      <c r="C14" s="63"/>
      <c r="D14" s="63"/>
      <c r="E14" s="63"/>
      <c r="F14" s="63"/>
      <c r="G14" s="63"/>
      <c r="H14" s="63"/>
      <c r="I14" s="63"/>
      <c r="J14" s="63"/>
      <c r="K14" s="63"/>
      <c r="L14" s="63"/>
      <c r="M14" s="63"/>
      <c r="N14" s="63"/>
      <c r="O14" s="63"/>
      <c r="P14" s="63"/>
      <c r="Q14" s="63"/>
      <c r="R14" s="63"/>
      <c r="S14" s="63"/>
      <c r="T14" s="63"/>
      <c r="U14" s="63"/>
      <c r="V14" s="63"/>
      <c r="W14" s="63" t="s">
        <v>145</v>
      </c>
      <c r="X14" s="63"/>
      <c r="Y14" s="63" t="s">
        <v>146</v>
      </c>
      <c r="Z14" s="63"/>
    </row>
    <row r="15" spans="1:26" x14ac:dyDescent="0.2">
      <c r="A15" s="63"/>
      <c r="B15" s="63"/>
      <c r="C15" s="63"/>
      <c r="D15" s="63"/>
      <c r="E15" s="63"/>
      <c r="F15" s="63"/>
      <c r="G15" s="63"/>
      <c r="H15" s="63"/>
      <c r="I15" s="63"/>
      <c r="J15" s="63"/>
      <c r="K15" s="63"/>
      <c r="L15" s="63"/>
      <c r="M15" s="63"/>
      <c r="N15" s="63"/>
      <c r="O15" s="63"/>
      <c r="P15" s="63"/>
      <c r="Q15" s="63"/>
      <c r="R15" s="63"/>
      <c r="S15" s="63"/>
      <c r="T15" s="63"/>
      <c r="U15" s="63"/>
      <c r="V15" s="63"/>
      <c r="W15" s="63" t="s">
        <v>147</v>
      </c>
      <c r="X15" s="63"/>
      <c r="Y15" s="63"/>
      <c r="Z15" s="63"/>
    </row>
    <row r="16" spans="1:26" x14ac:dyDescent="0.2">
      <c r="A16" s="63"/>
      <c r="B16" s="63"/>
      <c r="C16" s="63"/>
      <c r="D16" s="63"/>
      <c r="E16" s="63"/>
      <c r="F16" s="63"/>
      <c r="G16" s="63"/>
      <c r="H16" s="63"/>
      <c r="I16" s="63"/>
      <c r="J16" s="63"/>
      <c r="K16" s="63"/>
      <c r="L16" s="63"/>
      <c r="M16" s="63"/>
      <c r="N16" s="63"/>
      <c r="O16" s="63"/>
      <c r="P16" s="63"/>
      <c r="Q16" s="63"/>
      <c r="R16" s="63"/>
      <c r="S16" s="63"/>
      <c r="T16" s="63"/>
      <c r="U16" s="63"/>
      <c r="V16" s="63"/>
      <c r="W16" s="63" t="s">
        <v>148</v>
      </c>
      <c r="X16" s="63"/>
      <c r="Y16" s="63"/>
      <c r="Z16" s="63"/>
    </row>
    <row r="17" spans="23:23" x14ac:dyDescent="0.2">
      <c r="W17" s="63" t="s">
        <v>149</v>
      </c>
    </row>
    <row r="18" spans="23:23" x14ac:dyDescent="0.2">
      <c r="W18" s="63" t="s">
        <v>150</v>
      </c>
    </row>
    <row r="19" spans="23:23" x14ac:dyDescent="0.2">
      <c r="W19" s="63" t="s">
        <v>151</v>
      </c>
    </row>
    <row r="20" spans="23:23" x14ac:dyDescent="0.2">
      <c r="W20" s="63" t="s">
        <v>152</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A1:Q29"/>
  <sheetViews>
    <sheetView zoomScale="70" zoomScaleNormal="70" workbookViewId="0">
      <selection activeCell="C36" sqref="C36"/>
    </sheetView>
  </sheetViews>
  <sheetFormatPr defaultRowHeight="12.75" x14ac:dyDescent="0.2"/>
  <cols>
    <col min="1" max="1" width="6.5703125" customWidth="1"/>
    <col min="2" max="2" width="29" customWidth="1"/>
    <col min="3" max="3" width="18.85546875" customWidth="1"/>
    <col min="4" max="17" width="8" customWidth="1"/>
  </cols>
  <sheetData>
    <row r="1" spans="1:17" ht="43.9" customHeight="1" x14ac:dyDescent="0.2">
      <c r="A1" s="31" t="s">
        <v>0</v>
      </c>
      <c r="B1" s="31" t="s">
        <v>153</v>
      </c>
      <c r="C1" s="31" t="s">
        <v>154</v>
      </c>
      <c r="D1" s="31" t="s">
        <v>155</v>
      </c>
      <c r="E1" s="31" t="s">
        <v>156</v>
      </c>
      <c r="F1" s="31" t="s">
        <v>157</v>
      </c>
      <c r="G1" s="31" t="s">
        <v>158</v>
      </c>
      <c r="H1" s="31" t="s">
        <v>159</v>
      </c>
      <c r="I1" s="31" t="s">
        <v>160</v>
      </c>
      <c r="J1" s="31" t="s">
        <v>161</v>
      </c>
      <c r="K1" s="31" t="s">
        <v>162</v>
      </c>
      <c r="L1" s="31" t="s">
        <v>163</v>
      </c>
      <c r="M1" s="31" t="s">
        <v>164</v>
      </c>
      <c r="N1" s="31" t="s">
        <v>165</v>
      </c>
      <c r="O1" s="31" t="s">
        <v>166</v>
      </c>
      <c r="P1" s="31" t="s">
        <v>167</v>
      </c>
      <c r="Q1" s="31" t="s">
        <v>168</v>
      </c>
    </row>
    <row r="2" spans="1:17" x14ac:dyDescent="0.2">
      <c r="A2" s="23">
        <v>1</v>
      </c>
      <c r="B2" s="29" t="s">
        <v>169</v>
      </c>
      <c r="C2" s="32" t="s">
        <v>170</v>
      </c>
      <c r="D2" s="23" t="s">
        <v>171</v>
      </c>
      <c r="E2" s="23" t="s">
        <v>171</v>
      </c>
      <c r="F2" s="23" t="s">
        <v>171</v>
      </c>
      <c r="G2" s="23" t="s">
        <v>171</v>
      </c>
      <c r="H2" s="23" t="s">
        <v>171</v>
      </c>
      <c r="I2" s="23" t="s">
        <v>171</v>
      </c>
      <c r="J2" s="23" t="s">
        <v>171</v>
      </c>
      <c r="K2" s="23" t="s">
        <v>171</v>
      </c>
      <c r="L2" s="23" t="s">
        <v>171</v>
      </c>
      <c r="M2" s="23" t="s">
        <v>171</v>
      </c>
      <c r="N2" s="23" t="s">
        <v>171</v>
      </c>
      <c r="O2" s="23" t="s">
        <v>171</v>
      </c>
      <c r="P2" s="23" t="s">
        <v>171</v>
      </c>
      <c r="Q2" s="23" t="s">
        <v>171</v>
      </c>
    </row>
    <row r="3" spans="1:17" x14ac:dyDescent="0.2">
      <c r="A3" s="23">
        <v>2</v>
      </c>
      <c r="B3" s="30" t="s">
        <v>172</v>
      </c>
      <c r="C3" s="32" t="s">
        <v>173</v>
      </c>
      <c r="D3" s="23" t="s">
        <v>171</v>
      </c>
      <c r="E3" s="23" t="s">
        <v>171</v>
      </c>
      <c r="F3" s="23" t="s">
        <v>171</v>
      </c>
      <c r="G3" s="23" t="s">
        <v>171</v>
      </c>
      <c r="H3" s="23" t="s">
        <v>171</v>
      </c>
      <c r="I3" s="23" t="s">
        <v>171</v>
      </c>
      <c r="J3" s="23" t="s">
        <v>171</v>
      </c>
      <c r="K3" s="23" t="s">
        <v>171</v>
      </c>
      <c r="L3" s="23" t="s">
        <v>171</v>
      </c>
      <c r="M3" s="23" t="s">
        <v>171</v>
      </c>
      <c r="N3" s="23" t="s">
        <v>171</v>
      </c>
      <c r="O3" s="23" t="s">
        <v>171</v>
      </c>
      <c r="P3" s="23" t="s">
        <v>171</v>
      </c>
      <c r="Q3" s="23" t="s">
        <v>171</v>
      </c>
    </row>
    <row r="4" spans="1:17" x14ac:dyDescent="0.2">
      <c r="A4" s="23">
        <v>3</v>
      </c>
      <c r="B4" s="29" t="s">
        <v>174</v>
      </c>
      <c r="C4" s="32" t="s">
        <v>175</v>
      </c>
      <c r="D4" s="23"/>
      <c r="E4" s="23"/>
      <c r="F4" s="23"/>
      <c r="G4" s="23"/>
      <c r="H4" s="23"/>
      <c r="I4" s="23"/>
      <c r="J4" s="23"/>
      <c r="K4" s="23"/>
      <c r="L4" s="23"/>
      <c r="M4" s="23"/>
      <c r="N4" s="23"/>
      <c r="O4" s="23"/>
      <c r="P4" s="23"/>
      <c r="Q4" s="23"/>
    </row>
    <row r="5" spans="1:17" x14ac:dyDescent="0.2">
      <c r="A5" s="23">
        <v>4</v>
      </c>
      <c r="B5" s="30" t="s">
        <v>176</v>
      </c>
      <c r="C5" s="32" t="s">
        <v>177</v>
      </c>
      <c r="D5" s="23" t="s">
        <v>171</v>
      </c>
      <c r="E5" s="23"/>
      <c r="F5" s="23"/>
      <c r="G5" s="23"/>
      <c r="H5" s="23"/>
      <c r="I5" s="23"/>
      <c r="J5" s="23"/>
      <c r="K5" s="23"/>
      <c r="L5" s="23"/>
      <c r="M5" s="23"/>
      <c r="N5" s="23"/>
      <c r="O5" s="23"/>
      <c r="P5" s="23"/>
      <c r="Q5" s="23"/>
    </row>
    <row r="6" spans="1:17" x14ac:dyDescent="0.2">
      <c r="A6" s="23">
        <v>5</v>
      </c>
      <c r="B6" s="29" t="s">
        <v>178</v>
      </c>
      <c r="C6" s="32" t="s">
        <v>179</v>
      </c>
      <c r="D6" s="23"/>
      <c r="E6" s="23"/>
      <c r="F6" s="23"/>
      <c r="G6" s="23"/>
      <c r="H6" s="23"/>
      <c r="I6" s="23"/>
      <c r="J6" s="23"/>
      <c r="K6" s="23"/>
      <c r="L6" s="23"/>
      <c r="M6" s="23"/>
      <c r="N6" s="23"/>
      <c r="O6" s="23"/>
      <c r="P6" s="23"/>
      <c r="Q6" s="23"/>
    </row>
    <row r="7" spans="1:17" x14ac:dyDescent="0.2">
      <c r="A7" s="23">
        <v>6</v>
      </c>
      <c r="B7" s="30" t="s">
        <v>180</v>
      </c>
      <c r="C7" s="32" t="s">
        <v>181</v>
      </c>
      <c r="D7" s="23"/>
      <c r="E7" s="23" t="s">
        <v>171</v>
      </c>
      <c r="F7" s="23" t="s">
        <v>171</v>
      </c>
      <c r="G7" s="23" t="s">
        <v>171</v>
      </c>
      <c r="H7" s="23" t="s">
        <v>171</v>
      </c>
      <c r="I7" s="23" t="s">
        <v>171</v>
      </c>
      <c r="J7" s="23" t="s">
        <v>171</v>
      </c>
      <c r="K7" s="23"/>
      <c r="L7" s="23" t="s">
        <v>171</v>
      </c>
      <c r="M7" s="23" t="s">
        <v>171</v>
      </c>
      <c r="N7" s="23" t="s">
        <v>171</v>
      </c>
      <c r="O7" s="23" t="s">
        <v>171</v>
      </c>
      <c r="P7" s="23" t="s">
        <v>171</v>
      </c>
      <c r="Q7" s="23"/>
    </row>
    <row r="8" spans="1:17" x14ac:dyDescent="0.2">
      <c r="A8" s="23">
        <v>7</v>
      </c>
      <c r="B8" s="30" t="s">
        <v>182</v>
      </c>
      <c r="C8" s="32" t="s">
        <v>183</v>
      </c>
      <c r="D8" s="23"/>
      <c r="E8" s="23" t="s">
        <v>171</v>
      </c>
      <c r="F8" s="23" t="s">
        <v>171</v>
      </c>
      <c r="G8" s="23" t="s">
        <v>171</v>
      </c>
      <c r="H8" s="23" t="s">
        <v>171</v>
      </c>
      <c r="I8" s="23" t="s">
        <v>171</v>
      </c>
      <c r="J8" s="23" t="s">
        <v>171</v>
      </c>
      <c r="K8" s="23"/>
      <c r="L8" s="23" t="s">
        <v>171</v>
      </c>
      <c r="M8" s="23" t="s">
        <v>171</v>
      </c>
      <c r="N8" s="23" t="s">
        <v>171</v>
      </c>
      <c r="O8" s="23" t="s">
        <v>171</v>
      </c>
      <c r="P8" s="23" t="s">
        <v>171</v>
      </c>
      <c r="Q8" s="23"/>
    </row>
    <row r="9" spans="1:17" x14ac:dyDescent="0.2">
      <c r="A9" s="23">
        <v>8</v>
      </c>
      <c r="B9" s="30" t="s">
        <v>184</v>
      </c>
      <c r="C9" s="32" t="s">
        <v>185</v>
      </c>
      <c r="D9" s="23"/>
      <c r="E9" s="23" t="s">
        <v>171</v>
      </c>
      <c r="F9" s="23" t="s">
        <v>171</v>
      </c>
      <c r="G9" s="23" t="s">
        <v>171</v>
      </c>
      <c r="H9" s="23" t="s">
        <v>171</v>
      </c>
      <c r="I9" s="23" t="s">
        <v>171</v>
      </c>
      <c r="J9" s="23" t="s">
        <v>171</v>
      </c>
      <c r="K9" s="23"/>
      <c r="L9" s="23" t="s">
        <v>171</v>
      </c>
      <c r="M9" s="23" t="s">
        <v>171</v>
      </c>
      <c r="N9" s="23" t="s">
        <v>171</v>
      </c>
      <c r="O9" s="23" t="s">
        <v>171</v>
      </c>
      <c r="P9" s="23" t="s">
        <v>171</v>
      </c>
      <c r="Q9" s="23"/>
    </row>
    <row r="10" spans="1:17" x14ac:dyDescent="0.2">
      <c r="A10" s="23">
        <v>9</v>
      </c>
      <c r="B10" s="29" t="s">
        <v>186</v>
      </c>
      <c r="C10" s="32" t="s">
        <v>187</v>
      </c>
      <c r="D10" s="23"/>
      <c r="E10" s="23"/>
      <c r="F10" s="23"/>
      <c r="G10" s="23"/>
      <c r="H10" s="23"/>
      <c r="I10" s="23"/>
      <c r="J10" s="23"/>
      <c r="K10" s="23"/>
      <c r="L10" s="23"/>
      <c r="M10" s="23"/>
      <c r="N10" s="23"/>
      <c r="O10" s="23"/>
      <c r="P10" s="23"/>
      <c r="Q10" s="23"/>
    </row>
    <row r="11" spans="1:17" x14ac:dyDescent="0.2">
      <c r="A11" s="23">
        <v>10</v>
      </c>
      <c r="B11" s="30" t="s">
        <v>188</v>
      </c>
      <c r="C11" s="32" t="s">
        <v>189</v>
      </c>
      <c r="D11" s="23"/>
      <c r="E11" s="23"/>
      <c r="F11" s="23"/>
      <c r="G11" s="23"/>
      <c r="H11" s="23"/>
      <c r="I11" s="23" t="s">
        <v>171</v>
      </c>
      <c r="J11" s="23" t="s">
        <v>171</v>
      </c>
      <c r="K11" s="23"/>
      <c r="L11" s="23" t="s">
        <v>171</v>
      </c>
      <c r="M11" s="23" t="s">
        <v>171</v>
      </c>
      <c r="N11" s="23" t="s">
        <v>171</v>
      </c>
      <c r="O11" s="23"/>
      <c r="P11" s="23"/>
      <c r="Q11" s="23"/>
    </row>
    <row r="12" spans="1:17" x14ac:dyDescent="0.2">
      <c r="A12" s="23">
        <v>11</v>
      </c>
      <c r="B12" s="29" t="s">
        <v>156</v>
      </c>
      <c r="C12" s="32" t="s">
        <v>190</v>
      </c>
      <c r="D12" s="23"/>
      <c r="E12" s="23"/>
      <c r="F12" s="23"/>
      <c r="G12" s="23"/>
      <c r="H12" s="23"/>
      <c r="I12" s="23"/>
      <c r="J12" s="23"/>
      <c r="K12" s="23"/>
      <c r="L12" s="23"/>
      <c r="M12" s="23"/>
      <c r="N12" s="23"/>
      <c r="O12" s="23"/>
      <c r="P12" s="23"/>
      <c r="Q12" s="23"/>
    </row>
    <row r="13" spans="1:17" x14ac:dyDescent="0.2">
      <c r="A13" s="23">
        <v>12</v>
      </c>
      <c r="B13" s="30" t="s">
        <v>191</v>
      </c>
      <c r="C13" s="32" t="s">
        <v>192</v>
      </c>
      <c r="D13" s="23"/>
      <c r="E13" s="23" t="s">
        <v>171</v>
      </c>
      <c r="F13" s="23"/>
      <c r="G13" s="23"/>
      <c r="H13" s="23"/>
      <c r="I13" s="23"/>
      <c r="J13" s="23"/>
      <c r="K13" s="23"/>
      <c r="L13" s="23"/>
      <c r="M13" s="23"/>
      <c r="N13" s="23"/>
      <c r="O13" s="23"/>
      <c r="P13" s="23"/>
      <c r="Q13" s="23"/>
    </row>
    <row r="14" spans="1:17" x14ac:dyDescent="0.2">
      <c r="A14" s="23">
        <v>13</v>
      </c>
      <c r="B14" s="30" t="s">
        <v>193</v>
      </c>
      <c r="C14" s="32" t="s">
        <v>194</v>
      </c>
      <c r="D14" s="23"/>
      <c r="E14" s="23" t="s">
        <v>171</v>
      </c>
      <c r="F14" s="23"/>
      <c r="G14" s="23"/>
      <c r="H14" s="23"/>
      <c r="I14" s="23"/>
      <c r="J14" s="23"/>
      <c r="K14" s="23"/>
      <c r="L14" s="23"/>
      <c r="M14" s="23"/>
      <c r="N14" s="23"/>
      <c r="O14" s="23"/>
      <c r="P14" s="23"/>
      <c r="Q14" s="23"/>
    </row>
    <row r="15" spans="1:17" x14ac:dyDescent="0.2">
      <c r="A15" s="23">
        <v>14</v>
      </c>
      <c r="B15" s="30" t="s">
        <v>195</v>
      </c>
      <c r="C15" s="32" t="s">
        <v>196</v>
      </c>
      <c r="D15" s="23"/>
      <c r="E15" s="23" t="s">
        <v>171</v>
      </c>
      <c r="F15" s="23"/>
      <c r="G15" s="23"/>
      <c r="H15" s="23"/>
      <c r="I15" s="23"/>
      <c r="J15" s="23"/>
      <c r="K15" s="23"/>
      <c r="L15" s="23"/>
      <c r="M15" s="23"/>
      <c r="N15" s="23"/>
      <c r="O15" s="23"/>
      <c r="P15" s="23"/>
      <c r="Q15" s="23"/>
    </row>
    <row r="16" spans="1:17" x14ac:dyDescent="0.2">
      <c r="A16" s="23">
        <v>15</v>
      </c>
      <c r="B16" s="29" t="s">
        <v>157</v>
      </c>
      <c r="C16" s="32" t="s">
        <v>197</v>
      </c>
      <c r="D16" s="23"/>
      <c r="E16" s="23"/>
      <c r="F16" s="23"/>
      <c r="G16" s="23"/>
      <c r="H16" s="23"/>
      <c r="I16" s="23"/>
      <c r="J16" s="23"/>
      <c r="K16" s="23"/>
      <c r="L16" s="23"/>
      <c r="M16" s="23"/>
      <c r="N16" s="23"/>
      <c r="O16" s="23"/>
      <c r="P16" s="23"/>
      <c r="Q16" s="23"/>
    </row>
    <row r="17" spans="1:17" x14ac:dyDescent="0.2">
      <c r="A17" s="23">
        <v>16</v>
      </c>
      <c r="B17" s="30" t="s">
        <v>198</v>
      </c>
      <c r="C17" s="32" t="s">
        <v>199</v>
      </c>
      <c r="D17" s="23"/>
      <c r="E17" s="23"/>
      <c r="F17" s="23" t="s">
        <v>171</v>
      </c>
      <c r="G17" s="23"/>
      <c r="H17" s="23"/>
      <c r="I17" s="23"/>
      <c r="J17" s="23"/>
      <c r="K17" s="23"/>
      <c r="L17" s="23"/>
      <c r="M17" s="23"/>
      <c r="N17" s="23"/>
      <c r="O17" s="23"/>
      <c r="P17" s="23"/>
      <c r="Q17" s="23"/>
    </row>
    <row r="18" spans="1:17" x14ac:dyDescent="0.2">
      <c r="A18" s="23">
        <v>17</v>
      </c>
      <c r="B18" s="29" t="s">
        <v>200</v>
      </c>
      <c r="C18" s="32" t="s">
        <v>201</v>
      </c>
      <c r="D18" s="23"/>
      <c r="E18" s="23"/>
      <c r="F18" s="23"/>
      <c r="G18" s="23"/>
      <c r="H18" s="23"/>
      <c r="I18" s="23"/>
      <c r="J18" s="23"/>
      <c r="K18" s="23"/>
      <c r="L18" s="23"/>
      <c r="M18" s="23"/>
      <c r="N18" s="23"/>
      <c r="O18" s="23"/>
      <c r="P18" s="23"/>
      <c r="Q18" s="23"/>
    </row>
    <row r="19" spans="1:17" x14ac:dyDescent="0.2">
      <c r="A19" s="23">
        <v>18</v>
      </c>
      <c r="B19" s="30" t="s">
        <v>202</v>
      </c>
      <c r="C19" s="32" t="s">
        <v>203</v>
      </c>
      <c r="D19" s="23"/>
      <c r="E19" s="23"/>
      <c r="F19" s="23"/>
      <c r="G19" s="23"/>
      <c r="H19" s="23"/>
      <c r="I19" s="23" t="s">
        <v>171</v>
      </c>
      <c r="J19" s="23"/>
      <c r="K19" s="23"/>
      <c r="L19" s="23"/>
      <c r="M19" s="23"/>
      <c r="N19" s="23"/>
      <c r="O19" s="23"/>
      <c r="P19" s="23"/>
      <c r="Q19" s="23"/>
    </row>
    <row r="20" spans="1:17" x14ac:dyDescent="0.2">
      <c r="A20" s="23">
        <v>19</v>
      </c>
      <c r="B20" s="30" t="s">
        <v>204</v>
      </c>
      <c r="C20" s="32" t="s">
        <v>205</v>
      </c>
      <c r="D20" s="23"/>
      <c r="E20" s="23"/>
      <c r="F20" s="23"/>
      <c r="G20" s="23"/>
      <c r="H20" s="23"/>
      <c r="I20" s="23" t="s">
        <v>171</v>
      </c>
      <c r="J20" s="23"/>
      <c r="K20" s="23"/>
      <c r="L20" s="23"/>
      <c r="M20" s="23"/>
      <c r="N20" s="23"/>
      <c r="O20" s="23"/>
      <c r="P20" s="23"/>
      <c r="Q20" s="23"/>
    </row>
    <row r="21" spans="1:17" x14ac:dyDescent="0.2">
      <c r="A21" s="23">
        <v>20</v>
      </c>
      <c r="B21" s="29" t="s">
        <v>162</v>
      </c>
      <c r="C21" s="32" t="s">
        <v>206</v>
      </c>
      <c r="D21" s="23"/>
      <c r="E21" s="23"/>
      <c r="F21" s="23"/>
      <c r="G21" s="23"/>
      <c r="H21" s="23"/>
      <c r="I21" s="23"/>
      <c r="J21" s="23"/>
      <c r="K21" s="23"/>
      <c r="L21" s="23"/>
      <c r="M21" s="23"/>
      <c r="N21" s="23"/>
      <c r="O21" s="23"/>
      <c r="P21" s="23"/>
      <c r="Q21" s="23"/>
    </row>
    <row r="22" spans="1:17" x14ac:dyDescent="0.2">
      <c r="A22" s="23">
        <v>21</v>
      </c>
      <c r="B22" s="30" t="s">
        <v>207</v>
      </c>
      <c r="C22" s="32" t="s">
        <v>208</v>
      </c>
      <c r="D22" s="23"/>
      <c r="E22" s="23"/>
      <c r="F22" s="23"/>
      <c r="G22" s="23"/>
      <c r="H22" s="23"/>
      <c r="I22" s="23"/>
      <c r="J22" s="23"/>
      <c r="K22" s="23" t="s">
        <v>171</v>
      </c>
      <c r="L22" s="23"/>
      <c r="M22" s="23"/>
      <c r="N22" s="23"/>
      <c r="O22" s="23"/>
      <c r="P22" s="23"/>
      <c r="Q22" s="23"/>
    </row>
    <row r="23" spans="1:17" x14ac:dyDescent="0.2">
      <c r="A23" s="23">
        <v>22</v>
      </c>
      <c r="B23" s="30" t="s">
        <v>209</v>
      </c>
      <c r="C23" s="32" t="s">
        <v>210</v>
      </c>
      <c r="D23" s="23"/>
      <c r="E23" s="23"/>
      <c r="F23" s="23"/>
      <c r="G23" s="23"/>
      <c r="H23" s="23"/>
      <c r="I23" s="23"/>
      <c r="J23" s="23"/>
      <c r="K23" s="23" t="s">
        <v>171</v>
      </c>
      <c r="L23" s="23"/>
      <c r="M23" s="23"/>
      <c r="N23" s="23"/>
      <c r="O23" s="23"/>
      <c r="P23" s="23"/>
      <c r="Q23" s="23"/>
    </row>
    <row r="24" spans="1:17" x14ac:dyDescent="0.2">
      <c r="A24" s="23">
        <v>23</v>
      </c>
      <c r="B24" s="29" t="s">
        <v>211</v>
      </c>
      <c r="C24" s="32" t="s">
        <v>212</v>
      </c>
      <c r="D24" s="23"/>
      <c r="E24" s="23"/>
      <c r="F24" s="23"/>
      <c r="G24" s="23"/>
      <c r="H24" s="23"/>
      <c r="I24" s="23"/>
      <c r="J24" s="23"/>
      <c r="K24" s="23"/>
      <c r="L24" s="23"/>
      <c r="M24" s="23"/>
      <c r="N24" s="23"/>
      <c r="O24" s="23"/>
      <c r="P24" s="23"/>
      <c r="Q24" s="23"/>
    </row>
    <row r="25" spans="1:17" x14ac:dyDescent="0.2">
      <c r="A25" s="23">
        <v>24</v>
      </c>
      <c r="B25" s="30" t="s">
        <v>213</v>
      </c>
      <c r="C25" s="32" t="s">
        <v>214</v>
      </c>
      <c r="D25" s="23"/>
      <c r="E25" s="23"/>
      <c r="F25" s="23"/>
      <c r="G25" s="23"/>
      <c r="H25" s="23"/>
      <c r="I25" s="23"/>
      <c r="J25" s="23"/>
      <c r="K25" s="23"/>
      <c r="L25" s="23"/>
      <c r="M25" s="23"/>
      <c r="N25" s="23"/>
      <c r="O25" s="23"/>
      <c r="P25" s="23"/>
      <c r="Q25" s="23" t="s">
        <v>171</v>
      </c>
    </row>
    <row r="26" spans="1:17" x14ac:dyDescent="0.2">
      <c r="A26" s="23">
        <v>25</v>
      </c>
      <c r="B26" s="29" t="s">
        <v>167</v>
      </c>
      <c r="C26" s="32" t="s">
        <v>215</v>
      </c>
      <c r="D26" s="23"/>
      <c r="E26" s="23"/>
      <c r="F26" s="23"/>
      <c r="G26" s="23"/>
      <c r="H26" s="23"/>
      <c r="I26" s="23"/>
      <c r="J26" s="23"/>
      <c r="K26" s="23"/>
      <c r="L26" s="23"/>
      <c r="M26" s="23"/>
      <c r="N26" s="23"/>
      <c r="O26" s="23"/>
      <c r="P26" s="23"/>
      <c r="Q26" s="23"/>
    </row>
    <row r="27" spans="1:17" x14ac:dyDescent="0.2">
      <c r="A27" s="23">
        <v>26</v>
      </c>
      <c r="B27" s="30" t="s">
        <v>216</v>
      </c>
      <c r="C27" s="32" t="s">
        <v>217</v>
      </c>
      <c r="D27" s="23"/>
      <c r="E27" s="23"/>
      <c r="F27" s="23"/>
      <c r="G27" s="23"/>
      <c r="H27" s="23"/>
      <c r="I27" s="23"/>
      <c r="J27" s="23"/>
      <c r="K27" s="23"/>
      <c r="L27" s="23"/>
      <c r="M27" s="23"/>
      <c r="N27" s="23"/>
      <c r="O27" s="23"/>
      <c r="P27" s="23" t="s">
        <v>171</v>
      </c>
      <c r="Q27" s="23"/>
    </row>
    <row r="28" spans="1:17" x14ac:dyDescent="0.2">
      <c r="A28" s="23">
        <v>27</v>
      </c>
      <c r="B28" s="29" t="s">
        <v>218</v>
      </c>
      <c r="C28" s="32" t="s">
        <v>219</v>
      </c>
      <c r="D28" s="23"/>
      <c r="E28" s="23"/>
      <c r="F28" s="23"/>
      <c r="G28" s="23"/>
      <c r="H28" s="23"/>
      <c r="I28" s="23"/>
      <c r="J28" s="23"/>
      <c r="K28" s="23"/>
      <c r="L28" s="23"/>
      <c r="M28" s="23"/>
      <c r="N28" s="23"/>
      <c r="O28" s="23"/>
      <c r="P28" s="23"/>
      <c r="Q28" s="23"/>
    </row>
    <row r="29" spans="1:17" x14ac:dyDescent="0.2">
      <c r="A29" s="23">
        <v>28</v>
      </c>
      <c r="B29" s="30" t="s">
        <v>198</v>
      </c>
      <c r="C29" s="32" t="s">
        <v>220</v>
      </c>
      <c r="D29" s="23"/>
      <c r="E29" s="23"/>
      <c r="F29" s="23"/>
      <c r="G29" s="23"/>
      <c r="H29" s="23"/>
      <c r="I29" s="23"/>
      <c r="J29" s="23"/>
      <c r="K29" s="23"/>
      <c r="L29" s="23"/>
      <c r="M29" s="23"/>
      <c r="N29" s="23"/>
      <c r="O29" s="23"/>
      <c r="P29" s="23"/>
      <c r="Q29" s="23"/>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A1:BA1165"/>
  <sheetViews>
    <sheetView zoomScale="85" zoomScaleNormal="85" workbookViewId="0">
      <selection activeCell="AN576" sqref="AN576"/>
    </sheetView>
  </sheetViews>
  <sheetFormatPr defaultRowHeight="12.75" x14ac:dyDescent="0.2"/>
  <cols>
    <col min="1" max="1" width="21" customWidth="1"/>
    <col min="2" max="2" width="3.140625" customWidth="1"/>
    <col min="3" max="3" width="24.85546875" customWidth="1"/>
    <col min="4" max="4" width="3" customWidth="1"/>
    <col min="5" max="5" width="31.85546875" customWidth="1"/>
    <col min="6" max="6" width="3" customWidth="1"/>
    <col min="7" max="7" width="16.7109375" customWidth="1"/>
    <col min="8" max="8" width="3" customWidth="1"/>
    <col min="9" max="9" width="26" bestFit="1" customWidth="1"/>
    <col min="10" max="10" width="4.7109375" customWidth="1"/>
    <col min="11" max="11" width="37.85546875" customWidth="1"/>
    <col min="12" max="12" width="4.28515625" customWidth="1"/>
    <col min="13" max="13" width="13.28515625" customWidth="1"/>
    <col min="14" max="14" width="17.28515625" customWidth="1"/>
    <col min="15" max="15" width="25.28515625" bestFit="1" customWidth="1"/>
    <col min="17" max="17" width="14.7109375" customWidth="1"/>
    <col min="19" max="19" width="14.7109375" customWidth="1"/>
    <col min="21" max="21" width="13.42578125" bestFit="1" customWidth="1"/>
    <col min="23" max="23" width="16.140625" bestFit="1" customWidth="1"/>
    <col min="25" max="25" width="14.5703125" bestFit="1" customWidth="1"/>
    <col min="33" max="34" width="24.42578125" bestFit="1" customWidth="1"/>
    <col min="35" max="35" width="38.5703125" bestFit="1" customWidth="1"/>
    <col min="36" max="36" width="46.42578125" customWidth="1"/>
    <col min="39" max="39" width="50.28515625" customWidth="1"/>
    <col min="40" max="40" width="27.85546875" customWidth="1"/>
    <col min="41" max="41" width="49.140625" bestFit="1" customWidth="1"/>
    <col min="42" max="42" width="20.5703125" bestFit="1" customWidth="1"/>
    <col min="43" max="43" width="10.42578125" bestFit="1" customWidth="1"/>
    <col min="45" max="45" width="39.28515625" bestFit="1" customWidth="1"/>
    <col min="46" max="46" width="28" bestFit="1" customWidth="1"/>
    <col min="47" max="47" width="41.7109375" style="63" bestFit="1" customWidth="1"/>
    <col min="48" max="48" width="23.7109375" customWidth="1"/>
    <col min="49" max="49" width="14.85546875" customWidth="1"/>
    <col min="51" max="51" width="11.140625" customWidth="1"/>
    <col min="52" max="52" width="79.85546875" bestFit="1" customWidth="1"/>
  </cols>
  <sheetData>
    <row r="1" spans="1:53" x14ac:dyDescent="0.2">
      <c r="A1" s="24" t="s">
        <v>221</v>
      </c>
      <c r="B1" s="63"/>
      <c r="C1" s="24" t="s">
        <v>222</v>
      </c>
      <c r="D1" s="63"/>
      <c r="E1" s="24" t="s">
        <v>223</v>
      </c>
      <c r="F1" s="63"/>
      <c r="G1" s="24" t="s">
        <v>224</v>
      </c>
      <c r="H1" s="63"/>
      <c r="I1" s="24" t="s">
        <v>225</v>
      </c>
      <c r="J1" s="63"/>
      <c r="K1" s="24" t="s">
        <v>226</v>
      </c>
      <c r="L1" s="63"/>
      <c r="M1" s="278" t="s">
        <v>227</v>
      </c>
      <c r="N1" s="279"/>
      <c r="O1" s="280"/>
      <c r="P1" s="63"/>
      <c r="Q1" s="24" t="s">
        <v>228</v>
      </c>
      <c r="R1" s="63"/>
      <c r="S1" s="24" t="s">
        <v>229</v>
      </c>
      <c r="T1" s="63"/>
      <c r="U1" s="24" t="s">
        <v>230</v>
      </c>
      <c r="V1" s="63"/>
      <c r="W1" s="23" t="s">
        <v>231</v>
      </c>
      <c r="X1" s="63"/>
      <c r="Y1" s="32" t="s">
        <v>232</v>
      </c>
      <c r="Z1" s="63"/>
      <c r="AA1" s="23" t="s">
        <v>233</v>
      </c>
      <c r="AB1" s="63"/>
      <c r="AC1" s="23" t="s">
        <v>234</v>
      </c>
      <c r="AD1" s="63"/>
      <c r="AE1" s="63" t="s">
        <v>235</v>
      </c>
      <c r="AF1" s="63"/>
      <c r="AG1" s="63" t="s">
        <v>236</v>
      </c>
      <c r="AH1" s="63" t="s">
        <v>236</v>
      </c>
      <c r="AI1" s="63" t="s">
        <v>237</v>
      </c>
      <c r="AJ1" s="63" t="s">
        <v>238</v>
      </c>
      <c r="AK1" s="63"/>
      <c r="AL1" s="63"/>
      <c r="AM1" s="63" t="s">
        <v>239</v>
      </c>
      <c r="AN1" s="63" t="s">
        <v>238</v>
      </c>
      <c r="AO1" s="63" t="s">
        <v>240</v>
      </c>
      <c r="AP1" s="63" t="s">
        <v>241</v>
      </c>
      <c r="AQ1" s="63" t="s">
        <v>242</v>
      </c>
      <c r="AR1" s="63"/>
      <c r="AS1" s="63" t="s">
        <v>243</v>
      </c>
      <c r="AT1" s="63" t="s">
        <v>244</v>
      </c>
      <c r="AU1" s="63" t="s">
        <v>245</v>
      </c>
      <c r="AV1" s="63" t="s">
        <v>244</v>
      </c>
      <c r="AW1" s="63"/>
      <c r="AX1" s="281" t="s">
        <v>246</v>
      </c>
      <c r="AY1" s="281"/>
      <c r="AZ1" s="281"/>
      <c r="BA1" s="63"/>
    </row>
    <row r="2" spans="1:53" x14ac:dyDescent="0.2">
      <c r="A2" s="23"/>
      <c r="B2" s="63"/>
      <c r="C2" s="23"/>
      <c r="D2" s="63"/>
      <c r="E2" s="23"/>
      <c r="F2" s="63"/>
      <c r="G2" s="23"/>
      <c r="H2" s="63"/>
      <c r="I2" s="23"/>
      <c r="J2" s="63"/>
      <c r="K2" s="23"/>
      <c r="L2" s="63"/>
      <c r="M2" s="23"/>
      <c r="N2" s="23"/>
      <c r="O2" s="23"/>
      <c r="P2" s="63"/>
      <c r="Q2" s="23"/>
      <c r="R2" s="63"/>
      <c r="S2" s="52">
        <v>0</v>
      </c>
      <c r="T2" s="63"/>
      <c r="U2" s="52" t="s">
        <v>247</v>
      </c>
      <c r="V2" s="63"/>
      <c r="W2" s="63"/>
      <c r="X2" s="63"/>
      <c r="Y2" s="23" t="s">
        <v>248</v>
      </c>
      <c r="Z2" s="63"/>
      <c r="AA2" s="23" t="s">
        <v>249</v>
      </c>
      <c r="AB2" s="63"/>
      <c r="AC2" s="23" t="s">
        <v>250</v>
      </c>
      <c r="AD2" s="63"/>
      <c r="AE2" s="63" t="s">
        <v>251</v>
      </c>
      <c r="AF2" s="63"/>
      <c r="AG2" s="63"/>
      <c r="AH2" s="63"/>
      <c r="AI2" s="63"/>
      <c r="AJ2" s="63"/>
      <c r="AK2" s="63"/>
      <c r="AL2" s="63"/>
      <c r="AM2" s="63"/>
      <c r="AN2" s="63"/>
      <c r="AO2" s="63"/>
      <c r="AP2" s="63"/>
      <c r="AQ2" s="63"/>
      <c r="AR2" s="63"/>
      <c r="AS2" s="63"/>
      <c r="AT2" s="63"/>
      <c r="AV2" s="63"/>
      <c r="AW2" s="63"/>
      <c r="AX2" s="63"/>
      <c r="AY2" s="63"/>
      <c r="AZ2" s="63"/>
      <c r="BA2" s="63"/>
    </row>
    <row r="3" spans="1:53" x14ac:dyDescent="0.2">
      <c r="A3" s="23" t="s">
        <v>252</v>
      </c>
      <c r="B3" s="63"/>
      <c r="C3" s="23" t="s">
        <v>253</v>
      </c>
      <c r="D3" s="63"/>
      <c r="E3" s="23" t="s">
        <v>254</v>
      </c>
      <c r="F3" s="63"/>
      <c r="G3" s="23" t="s">
        <v>255</v>
      </c>
      <c r="H3" s="63"/>
      <c r="I3" s="23" t="s">
        <v>256</v>
      </c>
      <c r="J3" s="63"/>
      <c r="K3" s="23" t="s">
        <v>257</v>
      </c>
      <c r="L3" s="63"/>
      <c r="M3" s="23" t="s">
        <v>174</v>
      </c>
      <c r="N3" s="23" t="s">
        <v>258</v>
      </c>
      <c r="O3" s="23" t="str">
        <f>CONCATENATE(M3,IF(ISBLANK(N3),"","-"),N3)</f>
        <v>Source-IT</v>
      </c>
      <c r="P3" s="63"/>
      <c r="Q3" s="23" t="s">
        <v>259</v>
      </c>
      <c r="R3" s="63"/>
      <c r="S3" s="52">
        <v>4.1666666666666664E-2</v>
      </c>
      <c r="T3" s="63"/>
      <c r="U3" s="52" t="s">
        <v>260</v>
      </c>
      <c r="V3" s="63"/>
      <c r="W3" s="23" t="s">
        <v>261</v>
      </c>
      <c r="X3" s="63"/>
      <c r="Y3" s="23" t="s">
        <v>262</v>
      </c>
      <c r="Z3" s="63"/>
      <c r="AA3" s="23" t="s">
        <v>263</v>
      </c>
      <c r="AB3" s="63"/>
      <c r="AC3" s="23" t="s">
        <v>264</v>
      </c>
      <c r="AD3" s="63"/>
      <c r="AE3" s="63" t="s">
        <v>265</v>
      </c>
      <c r="AF3" s="63"/>
      <c r="AG3" s="63" t="s">
        <v>266</v>
      </c>
      <c r="AH3" s="63" t="s">
        <v>266</v>
      </c>
      <c r="AI3" s="63" t="s">
        <v>267</v>
      </c>
      <c r="AJ3" s="63" t="s">
        <v>268</v>
      </c>
      <c r="AK3" s="63"/>
      <c r="AL3" s="63"/>
      <c r="AM3" s="63" t="s">
        <v>269</v>
      </c>
      <c r="AN3" s="63" t="s">
        <v>270</v>
      </c>
      <c r="AO3" s="63" t="s">
        <v>271</v>
      </c>
      <c r="AP3" s="63" t="s">
        <v>272</v>
      </c>
      <c r="AQ3" s="63">
        <v>1</v>
      </c>
      <c r="AR3" s="63"/>
      <c r="AS3" s="63" t="s">
        <v>273</v>
      </c>
      <c r="AT3" s="63" t="s">
        <v>256</v>
      </c>
      <c r="AU3" s="63" t="s">
        <v>274</v>
      </c>
      <c r="AV3" s="63" t="s">
        <v>256</v>
      </c>
      <c r="AW3" s="63"/>
      <c r="AX3" s="63">
        <f>--ISNUMBER(IFERROR(SEARCH(Tempset!$M$4,AM3,1),""))</f>
        <v>1</v>
      </c>
      <c r="AY3" s="63">
        <f>IF(AX3=1,COUNTIF($AX$3:AX3,1),"")</f>
        <v>1</v>
      </c>
      <c r="AZ3" s="63" t="str">
        <f>IFERROR(INDEX($AM$3:$AM$1165,MATCH(ROWS($AY$3:AY3),$AY$3:$AY$1165,0)),"")</f>
        <v>ABRParameters</v>
      </c>
      <c r="BA3" s="63"/>
    </row>
    <row r="4" spans="1:53" x14ac:dyDescent="0.2">
      <c r="A4" s="23" t="s">
        <v>275</v>
      </c>
      <c r="B4" s="63"/>
      <c r="C4" s="23" t="s">
        <v>276</v>
      </c>
      <c r="D4" s="63"/>
      <c r="E4" s="23" t="s">
        <v>277</v>
      </c>
      <c r="F4" s="63"/>
      <c r="G4" s="23" t="s">
        <v>278</v>
      </c>
      <c r="H4" s="63"/>
      <c r="I4" s="23" t="s">
        <v>279</v>
      </c>
      <c r="J4" s="63"/>
      <c r="K4" s="23" t="s">
        <v>280</v>
      </c>
      <c r="L4" s="63"/>
      <c r="M4" s="23" t="s">
        <v>174</v>
      </c>
      <c r="N4" s="23" t="s">
        <v>281</v>
      </c>
      <c r="O4" s="23" t="str">
        <f t="shared" ref="O4:O21" si="0">CONCATENATE(M4,IF(ISBLANK(N4),"","-"),N4)</f>
        <v>Source-Business</v>
      </c>
      <c r="P4" s="63"/>
      <c r="Q4" s="23" t="s">
        <v>10</v>
      </c>
      <c r="R4" s="63"/>
      <c r="S4" s="52">
        <v>8.3333333333333329E-2</v>
      </c>
      <c r="T4" s="63"/>
      <c r="U4" s="63"/>
      <c r="V4" s="63"/>
      <c r="W4" s="23" t="s">
        <v>282</v>
      </c>
      <c r="X4" s="63"/>
      <c r="Y4" s="23" t="s">
        <v>283</v>
      </c>
      <c r="Z4" s="63"/>
      <c r="AA4" s="23" t="s">
        <v>284</v>
      </c>
      <c r="AB4" s="63"/>
      <c r="AC4" s="63"/>
      <c r="AD4" s="63"/>
      <c r="AE4" s="63"/>
      <c r="AF4" s="63"/>
      <c r="AG4" s="63" t="s">
        <v>285</v>
      </c>
      <c r="AH4" s="63" t="s">
        <v>266</v>
      </c>
      <c r="AI4" s="63" t="s">
        <v>286</v>
      </c>
      <c r="AJ4" s="63" t="s">
        <v>287</v>
      </c>
      <c r="AK4" s="63"/>
      <c r="AL4" s="63"/>
      <c r="AM4" s="63" t="s">
        <v>288</v>
      </c>
      <c r="AN4" s="63" t="s">
        <v>289</v>
      </c>
      <c r="AO4" s="63" t="s">
        <v>290</v>
      </c>
      <c r="AP4" s="63" t="s">
        <v>291</v>
      </c>
      <c r="AQ4" s="63">
        <v>2</v>
      </c>
      <c r="AR4" s="63"/>
      <c r="AS4" s="63" t="s">
        <v>292</v>
      </c>
      <c r="AT4" s="63" t="s">
        <v>256</v>
      </c>
      <c r="AU4" s="63" t="s">
        <v>274</v>
      </c>
      <c r="AV4" s="63" t="s">
        <v>293</v>
      </c>
      <c r="AW4" s="63"/>
      <c r="AX4" s="63">
        <f>--ISNUMBER(IFERROR(SEARCH(Tempset!$M$4,AM4,1),""))</f>
        <v>1</v>
      </c>
      <c r="AY4" s="63">
        <f>IF(AX4=1,COUNTIF($AX$3:AX4,1),"")</f>
        <v>2</v>
      </c>
      <c r="AZ4" s="63" t="str">
        <f>IFERROR(INDEX($AM$3:$AM$1165,MATCH(ROWS($AY$3:AY4),$AY$3:$AY$1165,0)),"")</f>
        <v>accountBalanceAmount</v>
      </c>
      <c r="BA4" s="63"/>
    </row>
    <row r="5" spans="1:53" x14ac:dyDescent="0.2">
      <c r="A5" s="23" t="s">
        <v>294</v>
      </c>
      <c r="B5" s="63"/>
      <c r="C5" s="63"/>
      <c r="D5" s="63"/>
      <c r="E5" s="23" t="s">
        <v>295</v>
      </c>
      <c r="F5" s="63"/>
      <c r="G5" s="23" t="s">
        <v>296</v>
      </c>
      <c r="H5" s="63"/>
      <c r="I5" s="23" t="s">
        <v>297</v>
      </c>
      <c r="J5" s="63"/>
      <c r="K5" s="63"/>
      <c r="L5" s="63"/>
      <c r="M5" s="23" t="s">
        <v>174</v>
      </c>
      <c r="N5" s="23" t="s">
        <v>298</v>
      </c>
      <c r="O5" s="23" t="str">
        <f t="shared" si="0"/>
        <v>Source-3rd party</v>
      </c>
      <c r="P5" s="63"/>
      <c r="Q5" s="23" t="s">
        <v>299</v>
      </c>
      <c r="R5" s="63"/>
      <c r="S5" s="52">
        <v>0.125</v>
      </c>
      <c r="T5" s="63"/>
      <c r="U5" s="63"/>
      <c r="V5" s="63"/>
      <c r="W5" s="27" t="s">
        <v>300</v>
      </c>
      <c r="X5" s="63"/>
      <c r="Y5" s="23" t="s">
        <v>301</v>
      </c>
      <c r="Z5" s="63"/>
      <c r="AA5" s="41" t="s">
        <v>302</v>
      </c>
      <c r="AB5" s="63"/>
      <c r="AC5" s="63"/>
      <c r="AD5" s="63"/>
      <c r="AE5" s="63"/>
      <c r="AF5" s="63"/>
      <c r="AG5" s="63" t="s">
        <v>303</v>
      </c>
      <c r="AH5" s="63" t="s">
        <v>266</v>
      </c>
      <c r="AI5" s="63" t="s">
        <v>304</v>
      </c>
      <c r="AJ5" s="63" t="s">
        <v>305</v>
      </c>
      <c r="AK5" s="63"/>
      <c r="AL5" s="63"/>
      <c r="AM5" s="63" t="s">
        <v>306</v>
      </c>
      <c r="AN5" s="63" t="s">
        <v>307</v>
      </c>
      <c r="AO5" s="63" t="s">
        <v>308</v>
      </c>
      <c r="AP5" s="63" t="s">
        <v>309</v>
      </c>
      <c r="AQ5" s="63">
        <v>2</v>
      </c>
      <c r="AR5" s="63"/>
      <c r="AS5" s="63" t="s">
        <v>310</v>
      </c>
      <c r="AT5" s="63" t="s">
        <v>256</v>
      </c>
      <c r="AU5" s="63" t="s">
        <v>311</v>
      </c>
      <c r="AV5" s="63" t="s">
        <v>312</v>
      </c>
      <c r="AW5" s="63"/>
      <c r="AX5" s="63">
        <f>--ISNUMBER(IFERROR(SEARCH(Tempset!$M$4,AM5,1),""))</f>
        <v>1</v>
      </c>
      <c r="AY5" s="63">
        <f>IF(AX5=1,COUNTIF($AX$3:AX5,1),"")</f>
        <v>3</v>
      </c>
      <c r="AZ5" s="63" t="str">
        <f>IFERROR(INDEX($AM$3:$AM$1165,MATCH(ROWS($AY$3:AY5),$AY$3:$AY$1165,0)),"")</f>
        <v>accountCurrency</v>
      </c>
      <c r="BA5" s="63"/>
    </row>
    <row r="6" spans="1:53" x14ac:dyDescent="0.2">
      <c r="A6" s="23" t="s">
        <v>313</v>
      </c>
      <c r="B6" s="63"/>
      <c r="C6" s="24" t="s">
        <v>314</v>
      </c>
      <c r="D6" s="63"/>
      <c r="E6" s="23" t="s">
        <v>186</v>
      </c>
      <c r="F6" s="63"/>
      <c r="G6" s="23" t="s">
        <v>315</v>
      </c>
      <c r="H6" s="63"/>
      <c r="I6" s="23" t="s">
        <v>312</v>
      </c>
      <c r="J6" s="63"/>
      <c r="K6" s="63"/>
      <c r="L6" s="63"/>
      <c r="M6" s="23" t="s">
        <v>174</v>
      </c>
      <c r="N6" s="23" t="s">
        <v>316</v>
      </c>
      <c r="O6" s="23" t="str">
        <f t="shared" si="0"/>
        <v>Source-Data Owner</v>
      </c>
      <c r="P6" s="63"/>
      <c r="Q6" s="63"/>
      <c r="R6" s="63"/>
      <c r="S6" s="52">
        <v>0.16666666666666699</v>
      </c>
      <c r="T6" s="63"/>
      <c r="U6" s="63"/>
      <c r="V6" s="63"/>
      <c r="W6" s="63"/>
      <c r="X6" s="63"/>
      <c r="Y6" s="63"/>
      <c r="Z6" s="63"/>
      <c r="AA6" s="41" t="s">
        <v>317</v>
      </c>
      <c r="AB6" s="63"/>
      <c r="AC6" s="63"/>
      <c r="AD6" s="63"/>
      <c r="AE6" s="63"/>
      <c r="AF6" s="63"/>
      <c r="AG6" s="63" t="s">
        <v>318</v>
      </c>
      <c r="AH6" s="63" t="s">
        <v>285</v>
      </c>
      <c r="AI6" s="63" t="s">
        <v>319</v>
      </c>
      <c r="AJ6" s="63" t="s">
        <v>320</v>
      </c>
      <c r="AK6" s="63"/>
      <c r="AL6" s="63"/>
      <c r="AM6" s="63" t="s">
        <v>321</v>
      </c>
      <c r="AN6" s="63" t="s">
        <v>322</v>
      </c>
      <c r="AO6" s="63" t="s">
        <v>323</v>
      </c>
      <c r="AP6" s="63" t="s">
        <v>324</v>
      </c>
      <c r="AQ6" s="63">
        <v>3</v>
      </c>
      <c r="AR6" s="63"/>
      <c r="AS6" s="63" t="s">
        <v>325</v>
      </c>
      <c r="AT6" s="63" t="s">
        <v>256</v>
      </c>
      <c r="AU6" s="63" t="s">
        <v>326</v>
      </c>
      <c r="AV6" s="63" t="s">
        <v>327</v>
      </c>
      <c r="AW6" s="63"/>
      <c r="AX6" s="63">
        <f>--ISNUMBER(IFERROR(SEARCH(Tempset!$M$4,AM6,1),""))</f>
        <v>1</v>
      </c>
      <c r="AY6" s="63">
        <f>IF(AX6=1,COUNTIF($AX$3:AX6,1),"")</f>
        <v>4</v>
      </c>
      <c r="AZ6" s="63" t="str">
        <f>IFERROR(INDEX($AM$3:$AM$1165,MATCH(ROWS($AY$3:AY6),$AY$3:$AY$1165,0)),"")</f>
        <v>accountingMethod</v>
      </c>
      <c r="BA6" s="63"/>
    </row>
    <row r="7" spans="1:53" x14ac:dyDescent="0.2">
      <c r="A7" s="23" t="s">
        <v>328</v>
      </c>
      <c r="B7" s="63"/>
      <c r="C7" s="23"/>
      <c r="D7" s="63"/>
      <c r="E7" s="23" t="s">
        <v>329</v>
      </c>
      <c r="F7" s="63"/>
      <c r="G7" s="23" t="s">
        <v>330</v>
      </c>
      <c r="H7" s="63"/>
      <c r="I7" s="23" t="s">
        <v>327</v>
      </c>
      <c r="J7" s="63"/>
      <c r="K7" s="63"/>
      <c r="L7" s="63"/>
      <c r="M7" s="23" t="s">
        <v>174</v>
      </c>
      <c r="N7" s="23" t="s">
        <v>331</v>
      </c>
      <c r="O7" s="23" t="str">
        <f t="shared" si="0"/>
        <v>Source-Other</v>
      </c>
      <c r="P7" s="63"/>
      <c r="Q7" s="63"/>
      <c r="R7" s="63"/>
      <c r="S7" s="52">
        <v>0.20833333333333301</v>
      </c>
      <c r="T7" s="63"/>
      <c r="U7" s="63"/>
      <c r="V7" s="63"/>
      <c r="W7" s="63"/>
      <c r="X7" s="63"/>
      <c r="Y7" s="24" t="s">
        <v>232</v>
      </c>
      <c r="Z7" s="63"/>
      <c r="AA7" s="41" t="s">
        <v>332</v>
      </c>
      <c r="AB7" s="63"/>
      <c r="AC7" s="63"/>
      <c r="AD7" s="63"/>
      <c r="AE7" s="63"/>
      <c r="AF7" s="63"/>
      <c r="AG7" s="63" t="s">
        <v>333</v>
      </c>
      <c r="AH7" s="63" t="s">
        <v>285</v>
      </c>
      <c r="AI7" s="63" t="s">
        <v>334</v>
      </c>
      <c r="AJ7" s="63" t="s">
        <v>335</v>
      </c>
      <c r="AK7" s="63"/>
      <c r="AL7" s="63"/>
      <c r="AM7" s="63" t="s">
        <v>336</v>
      </c>
      <c r="AN7" s="63" t="s">
        <v>337</v>
      </c>
      <c r="AO7" s="63" t="s">
        <v>338</v>
      </c>
      <c r="AP7" s="63" t="s">
        <v>291</v>
      </c>
      <c r="AQ7" s="63">
        <v>3</v>
      </c>
      <c r="AR7" s="63"/>
      <c r="AS7" s="63" t="s">
        <v>339</v>
      </c>
      <c r="AT7" s="63" t="s">
        <v>256</v>
      </c>
      <c r="AU7" s="74" t="s">
        <v>340</v>
      </c>
      <c r="AV7" s="63" t="s">
        <v>341</v>
      </c>
      <c r="AW7" s="63"/>
      <c r="AX7" s="63">
        <f>--ISNUMBER(IFERROR(SEARCH(Tempset!$M$4,AM7,1),""))</f>
        <v>1</v>
      </c>
      <c r="AY7" s="63">
        <f>IF(AX7=1,COUNTIF($AX$3:AX7,1),"")</f>
        <v>5</v>
      </c>
      <c r="AZ7" s="63" t="str">
        <f>IFERROR(INDEX($AM$3:$AM$1165,MATCH(ROWS($AY$3:AY7),$AY$3:$AY$1165,0)),"")</f>
        <v>accountTypeCode</v>
      </c>
      <c r="BA7" s="63"/>
    </row>
    <row r="8" spans="1:53" x14ac:dyDescent="0.2">
      <c r="A8" s="23" t="s">
        <v>342</v>
      </c>
      <c r="B8" s="63"/>
      <c r="C8" s="23" t="s">
        <v>343</v>
      </c>
      <c r="D8" s="63"/>
      <c r="E8" s="23" t="s">
        <v>344</v>
      </c>
      <c r="F8" s="63"/>
      <c r="G8" s="23" t="s">
        <v>345</v>
      </c>
      <c r="H8" s="63"/>
      <c r="I8" s="23" t="s">
        <v>346</v>
      </c>
      <c r="J8" s="63"/>
      <c r="K8" s="63"/>
      <c r="L8" s="63"/>
      <c r="M8" s="23" t="s">
        <v>174</v>
      </c>
      <c r="N8" s="23" t="s">
        <v>347</v>
      </c>
      <c r="O8" s="23" t="str">
        <f t="shared" si="0"/>
        <v>Source-L1 Support</v>
      </c>
      <c r="P8" s="63"/>
      <c r="Q8" s="63"/>
      <c r="R8" s="63"/>
      <c r="S8" s="52">
        <v>0.25</v>
      </c>
      <c r="T8" s="63"/>
      <c r="U8" s="63"/>
      <c r="V8" s="63"/>
      <c r="W8" s="63"/>
      <c r="X8" s="63"/>
      <c r="Y8" s="23" t="s">
        <v>348</v>
      </c>
      <c r="Z8" s="63"/>
      <c r="AA8" s="63"/>
      <c r="AB8" s="63"/>
      <c r="AC8" s="63"/>
      <c r="AD8" s="63"/>
      <c r="AE8" s="63"/>
      <c r="AF8" s="63"/>
      <c r="AG8" s="63" t="s">
        <v>349</v>
      </c>
      <c r="AH8" s="63" t="s">
        <v>285</v>
      </c>
      <c r="AI8" s="63" t="s">
        <v>350</v>
      </c>
      <c r="AJ8" s="63" t="s">
        <v>351</v>
      </c>
      <c r="AK8" s="63"/>
      <c r="AL8" s="63"/>
      <c r="AM8" s="63" t="s">
        <v>352</v>
      </c>
      <c r="AN8" s="63" t="s">
        <v>353</v>
      </c>
      <c r="AO8" s="63" t="s">
        <v>354</v>
      </c>
      <c r="AP8" s="63" t="s">
        <v>355</v>
      </c>
      <c r="AQ8" s="63">
        <v>2</v>
      </c>
      <c r="AR8" s="63"/>
      <c r="AS8" s="63" t="s">
        <v>356</v>
      </c>
      <c r="AT8" s="63" t="s">
        <v>256</v>
      </c>
      <c r="AU8" s="74" t="s">
        <v>357</v>
      </c>
      <c r="AV8" s="63" t="s">
        <v>358</v>
      </c>
      <c r="AW8" s="63"/>
      <c r="AX8" s="63">
        <f>--ISNUMBER(IFERROR(SEARCH(Tempset!$M$4,AM8,1),""))</f>
        <v>1</v>
      </c>
      <c r="AY8" s="63">
        <f>IF(AX8=1,COUNTIF($AX$3:AX8,1),"")</f>
        <v>6</v>
      </c>
      <c r="AZ8" s="63" t="str">
        <f>IFERROR(INDEX($AM$3:$AM$1165,MATCH(ROWS($AY$3:AY8),$AY$3:$AY$1165,0)),"")</f>
        <v>accrualAmount</v>
      </c>
      <c r="BA8" s="63"/>
    </row>
    <row r="9" spans="1:53" x14ac:dyDescent="0.2">
      <c r="A9" s="23" t="s">
        <v>359</v>
      </c>
      <c r="B9" s="63"/>
      <c r="C9" s="23" t="s">
        <v>360</v>
      </c>
      <c r="D9" s="63"/>
      <c r="E9" s="23" t="s">
        <v>167</v>
      </c>
      <c r="F9" s="63"/>
      <c r="G9" s="63"/>
      <c r="H9" s="63"/>
      <c r="I9" s="23"/>
      <c r="J9" s="63"/>
      <c r="K9" s="24" t="s">
        <v>361</v>
      </c>
      <c r="L9" s="63"/>
      <c r="M9" s="23" t="s">
        <v>174</v>
      </c>
      <c r="N9" s="23" t="s">
        <v>362</v>
      </c>
      <c r="O9" s="23" t="str">
        <f t="shared" si="0"/>
        <v>Source-L2 Support</v>
      </c>
      <c r="P9" s="63"/>
      <c r="Q9" s="63"/>
      <c r="R9" s="63"/>
      <c r="S9" s="52">
        <v>0.29166666666666702</v>
      </c>
      <c r="T9" s="63"/>
      <c r="U9" s="63"/>
      <c r="V9" s="63"/>
      <c r="W9" s="63"/>
      <c r="X9" s="63"/>
      <c r="Y9" s="27" t="s">
        <v>363</v>
      </c>
      <c r="Z9" s="63"/>
      <c r="AA9" s="63"/>
      <c r="AB9" s="63"/>
      <c r="AC9" s="63"/>
      <c r="AD9" s="63"/>
      <c r="AE9" s="63"/>
      <c r="AF9" s="63"/>
      <c r="AG9" s="63" t="s">
        <v>364</v>
      </c>
      <c r="AH9" s="63" t="s">
        <v>285</v>
      </c>
      <c r="AI9" s="63" t="s">
        <v>365</v>
      </c>
      <c r="AJ9" s="63" t="s">
        <v>366</v>
      </c>
      <c r="AK9" s="63"/>
      <c r="AL9" s="63"/>
      <c r="AM9" s="63" t="s">
        <v>367</v>
      </c>
      <c r="AN9" s="63" t="s">
        <v>368</v>
      </c>
      <c r="AO9" s="63" t="s">
        <v>369</v>
      </c>
      <c r="AP9" s="63" t="s">
        <v>370</v>
      </c>
      <c r="AQ9" s="63">
        <v>3</v>
      </c>
      <c r="AR9" s="63"/>
      <c r="AS9" s="63" t="s">
        <v>371</v>
      </c>
      <c r="AT9" s="63" t="s">
        <v>256</v>
      </c>
      <c r="AU9" s="63" t="s">
        <v>372</v>
      </c>
      <c r="AV9" s="63" t="s">
        <v>373</v>
      </c>
      <c r="AW9" s="63"/>
      <c r="AX9" s="63">
        <f>--ISNUMBER(IFERROR(SEARCH(Tempset!$M$4,AM9,1),""))</f>
        <v>1</v>
      </c>
      <c r="AY9" s="63">
        <f>IF(AX9=1,COUNTIF($AX$3:AX9,1),"")</f>
        <v>7</v>
      </c>
      <c r="AZ9" s="63" t="str">
        <f>IFERROR(INDEX($AM$3:$AM$1165,MATCH(ROWS($AY$3:AY9),$AY$3:$AY$1165,0)),"")</f>
        <v>accrualAmountCurrency</v>
      </c>
      <c r="BA9" s="63"/>
    </row>
    <row r="10" spans="1:53" x14ac:dyDescent="0.2">
      <c r="A10" s="23" t="s">
        <v>374</v>
      </c>
      <c r="B10" s="63"/>
      <c r="C10" s="23" t="s">
        <v>375</v>
      </c>
      <c r="D10" s="63"/>
      <c r="E10" s="23" t="s">
        <v>168</v>
      </c>
      <c r="F10" s="63"/>
      <c r="G10" s="63"/>
      <c r="H10" s="63"/>
      <c r="I10" s="23"/>
      <c r="J10" s="63"/>
      <c r="K10" s="27"/>
      <c r="L10" s="63"/>
      <c r="M10" s="23" t="s">
        <v>174</v>
      </c>
      <c r="N10" s="23" t="s">
        <v>376</v>
      </c>
      <c r="O10" s="23" t="str">
        <f t="shared" si="0"/>
        <v>Source-L3 Support</v>
      </c>
      <c r="P10" s="63"/>
      <c r="Q10" s="63"/>
      <c r="R10" s="63"/>
      <c r="S10" s="52">
        <v>0.33333333333333298</v>
      </c>
      <c r="T10" s="63"/>
      <c r="U10" s="63"/>
      <c r="V10" s="63"/>
      <c r="W10" s="63"/>
      <c r="X10" s="63"/>
      <c r="Y10" s="27" t="s">
        <v>377</v>
      </c>
      <c r="Z10" s="63"/>
      <c r="AA10" s="63"/>
      <c r="AB10" s="63"/>
      <c r="AC10" s="63"/>
      <c r="AD10" s="63"/>
      <c r="AE10" s="63"/>
      <c r="AF10" s="63"/>
      <c r="AG10" s="63" t="s">
        <v>378</v>
      </c>
      <c r="AH10" s="63" t="s">
        <v>285</v>
      </c>
      <c r="AI10" s="63" t="s">
        <v>379</v>
      </c>
      <c r="AJ10" s="63" t="s">
        <v>380</v>
      </c>
      <c r="AK10" s="63"/>
      <c r="AL10" s="63"/>
      <c r="AM10" s="63" t="s">
        <v>381</v>
      </c>
      <c r="AN10" s="63" t="s">
        <v>382</v>
      </c>
      <c r="AO10" s="63" t="s">
        <v>383</v>
      </c>
      <c r="AP10" s="63" t="s">
        <v>383</v>
      </c>
      <c r="AQ10" s="63">
        <v>3</v>
      </c>
      <c r="AR10" s="63"/>
      <c r="AS10" s="63" t="s">
        <v>384</v>
      </c>
      <c r="AT10" s="63" t="s">
        <v>256</v>
      </c>
      <c r="AU10" s="63" t="s">
        <v>372</v>
      </c>
      <c r="AV10" s="63" t="s">
        <v>385</v>
      </c>
      <c r="AW10" s="63"/>
      <c r="AX10" s="63">
        <f>--ISNUMBER(IFERROR(SEARCH(Tempset!$M$4,AM10,1),""))</f>
        <v>1</v>
      </c>
      <c r="AY10" s="63">
        <f>IF(AX10=1,COUNTIF($AX$3:AX10,1),"")</f>
        <v>8</v>
      </c>
      <c r="AZ10" s="63" t="str">
        <f>IFERROR(INDEX($AM$3:$AM$1165,MATCH(ROWS($AY$3:AY10),$AY$3:$AY$1165,0)),"")</f>
        <v>accrualDayCountCode</v>
      </c>
      <c r="BA10" s="63"/>
    </row>
    <row r="11" spans="1:53" x14ac:dyDescent="0.2">
      <c r="A11" s="23" t="s">
        <v>386</v>
      </c>
      <c r="B11" s="63"/>
      <c r="C11" s="23" t="s">
        <v>387</v>
      </c>
      <c r="D11" s="63"/>
      <c r="E11" s="26"/>
      <c r="F11" s="63"/>
      <c r="G11" s="24" t="s">
        <v>388</v>
      </c>
      <c r="H11" s="63"/>
      <c r="I11" s="23"/>
      <c r="J11" s="63"/>
      <c r="K11" s="23" t="s">
        <v>389</v>
      </c>
      <c r="L11" s="63"/>
      <c r="M11" s="23" t="s">
        <v>390</v>
      </c>
      <c r="N11" s="23" t="s">
        <v>257</v>
      </c>
      <c r="O11" s="23" t="str">
        <f t="shared" si="0"/>
        <v>Data Sourcing-BA</v>
      </c>
      <c r="P11" s="63"/>
      <c r="Q11" s="63"/>
      <c r="R11" s="63"/>
      <c r="S11" s="52">
        <v>0.375</v>
      </c>
      <c r="T11" s="63"/>
      <c r="U11" s="63"/>
      <c r="V11" s="63"/>
      <c r="W11" s="63"/>
      <c r="X11" s="63"/>
      <c r="Y11" s="74"/>
      <c r="Z11" s="63"/>
      <c r="AA11" s="63"/>
      <c r="AB11" s="63"/>
      <c r="AC11" s="63"/>
      <c r="AD11" s="63"/>
      <c r="AE11" s="63"/>
      <c r="AF11" s="63"/>
      <c r="AG11" s="63" t="s">
        <v>391</v>
      </c>
      <c r="AH11" s="63" t="s">
        <v>285</v>
      </c>
      <c r="AI11" s="63" t="s">
        <v>392</v>
      </c>
      <c r="AJ11" s="63" t="s">
        <v>393</v>
      </c>
      <c r="AK11" s="63"/>
      <c r="AL11" s="63"/>
      <c r="AM11" s="63" t="s">
        <v>394</v>
      </c>
      <c r="AN11" s="63" t="s">
        <v>395</v>
      </c>
      <c r="AO11" s="63" t="s">
        <v>396</v>
      </c>
      <c r="AP11" s="63" t="s">
        <v>370</v>
      </c>
      <c r="AQ11" s="63">
        <v>3</v>
      </c>
      <c r="AR11" s="63"/>
      <c r="AS11" s="63" t="s">
        <v>397</v>
      </c>
      <c r="AT11" s="63" t="s">
        <v>256</v>
      </c>
      <c r="AU11" s="63" t="s">
        <v>372</v>
      </c>
      <c r="AV11" s="63"/>
      <c r="AW11" s="63"/>
      <c r="AX11" s="63">
        <f>--ISNUMBER(IFERROR(SEARCH(Tempset!$M$4,AM11,1),""))</f>
        <v>1</v>
      </c>
      <c r="AY11" s="63">
        <f>IF(AX11=1,COUNTIF($AX$3:AX11,1),"")</f>
        <v>9</v>
      </c>
      <c r="AZ11" s="63" t="str">
        <f>IFERROR(INDEX($AM$3:$AM$1165,MATCH(ROWS($AY$3:AY11),$AY$3:$AY$1165,0)),"")</f>
        <v>accruedPremium</v>
      </c>
      <c r="BA11" s="63"/>
    </row>
    <row r="12" spans="1:53" x14ac:dyDescent="0.2">
      <c r="A12" s="23" t="s">
        <v>398</v>
      </c>
      <c r="B12" s="63"/>
      <c r="C12" s="63"/>
      <c r="D12" s="63"/>
      <c r="E12" s="24" t="s">
        <v>399</v>
      </c>
      <c r="F12" s="63"/>
      <c r="G12" s="23"/>
      <c r="H12" s="63"/>
      <c r="I12" s="41"/>
      <c r="J12" s="63"/>
      <c r="K12" s="23" t="s">
        <v>400</v>
      </c>
      <c r="L12" s="63"/>
      <c r="M12" s="23" t="s">
        <v>390</v>
      </c>
      <c r="N12" s="23" t="s">
        <v>280</v>
      </c>
      <c r="O12" s="23" t="str">
        <f t="shared" si="0"/>
        <v>Data Sourcing-Ingestion</v>
      </c>
      <c r="P12" s="63"/>
      <c r="Q12" s="63"/>
      <c r="R12" s="63"/>
      <c r="S12" s="52">
        <v>0.41666666666666702</v>
      </c>
      <c r="T12" s="63"/>
      <c r="U12" s="63"/>
      <c r="V12" s="63"/>
      <c r="W12" s="63"/>
      <c r="X12" s="63"/>
      <c r="Y12" s="74"/>
      <c r="Z12" s="63"/>
      <c r="AA12" s="63"/>
      <c r="AB12" s="63"/>
      <c r="AC12" s="63"/>
      <c r="AD12" s="63"/>
      <c r="AE12" s="63"/>
      <c r="AF12" s="63"/>
      <c r="AG12" s="63" t="s">
        <v>401</v>
      </c>
      <c r="AH12" s="63" t="s">
        <v>303</v>
      </c>
      <c r="AI12" s="63" t="s">
        <v>402</v>
      </c>
      <c r="AJ12" s="63" t="s">
        <v>403</v>
      </c>
      <c r="AK12" s="63"/>
      <c r="AL12" s="63"/>
      <c r="AM12" s="63" t="s">
        <v>404</v>
      </c>
      <c r="AN12" s="63" t="s">
        <v>405</v>
      </c>
      <c r="AO12" s="63" t="s">
        <v>406</v>
      </c>
      <c r="AP12" s="63" t="s">
        <v>407</v>
      </c>
      <c r="AQ12" s="63">
        <v>2</v>
      </c>
      <c r="AR12" s="63"/>
      <c r="AS12" s="63" t="s">
        <v>408</v>
      </c>
      <c r="AT12" s="63" t="s">
        <v>256</v>
      </c>
      <c r="AU12" s="63" t="str">
        <f>CONCATENATE(AU4,",",AU5,",",AU6,",",AU7,",",AU8,",",AU9)</f>
        <v>England and Wales, United Kingdom,Germany,Russian Federation,Brazil,Spain,Delaware, USA</v>
      </c>
      <c r="AV12" s="63"/>
      <c r="AW12" s="63"/>
      <c r="AX12" s="63">
        <f>--ISNUMBER(IFERROR(SEARCH(Tempset!$M$4,AM12,1),""))</f>
        <v>1</v>
      </c>
      <c r="AY12" s="63">
        <f>IF(AX12=1,COUNTIF($AX$3:AX12,1),"")</f>
        <v>10</v>
      </c>
      <c r="AZ12" s="63" t="str">
        <f>IFERROR(INDEX($AM$3:$AM$1165,MATCH(ROWS($AY$3:AY12),$AY$3:$AY$1165,0)),"")</f>
        <v>ACMparameters</v>
      </c>
      <c r="BA12" s="63"/>
    </row>
    <row r="13" spans="1:53" x14ac:dyDescent="0.2">
      <c r="A13" s="23" t="s">
        <v>409</v>
      </c>
      <c r="B13" s="63"/>
      <c r="C13" s="24" t="s">
        <v>410</v>
      </c>
      <c r="D13" s="63"/>
      <c r="E13" s="23"/>
      <c r="F13" s="63"/>
      <c r="G13" s="23" t="s">
        <v>411</v>
      </c>
      <c r="H13" s="63"/>
      <c r="I13" s="24" t="s">
        <v>412</v>
      </c>
      <c r="J13" s="63"/>
      <c r="K13" s="23" t="s">
        <v>413</v>
      </c>
      <c r="L13" s="63"/>
      <c r="M13" s="23" t="s">
        <v>414</v>
      </c>
      <c r="N13" s="23" t="s">
        <v>415</v>
      </c>
      <c r="O13" s="23" t="str">
        <f t="shared" si="0"/>
        <v>Analytics Team-Project</v>
      </c>
      <c r="P13" s="63"/>
      <c r="Q13" s="63"/>
      <c r="R13" s="63"/>
      <c r="S13" s="52">
        <v>0.45833333333333298</v>
      </c>
      <c r="T13" s="63"/>
      <c r="U13" s="63"/>
      <c r="V13" s="63"/>
      <c r="W13" s="63"/>
      <c r="X13" s="63"/>
      <c r="Y13" s="63"/>
      <c r="Z13" s="63"/>
      <c r="AA13" s="63"/>
      <c r="AB13" s="63"/>
      <c r="AC13" s="63"/>
      <c r="AD13" s="63"/>
      <c r="AE13" s="63"/>
      <c r="AF13" s="63"/>
      <c r="AG13" s="63" t="s">
        <v>416</v>
      </c>
      <c r="AH13" s="63" t="s">
        <v>303</v>
      </c>
      <c r="AI13" s="63" t="s">
        <v>417</v>
      </c>
      <c r="AJ13" s="63" t="s">
        <v>418</v>
      </c>
      <c r="AK13" s="63"/>
      <c r="AL13" s="63"/>
      <c r="AM13" s="63" t="s">
        <v>419</v>
      </c>
      <c r="AN13" s="63" t="s">
        <v>420</v>
      </c>
      <c r="AO13" s="63" t="s">
        <v>421</v>
      </c>
      <c r="AP13" s="63" t="s">
        <v>422</v>
      </c>
      <c r="AQ13" s="63">
        <v>2</v>
      </c>
      <c r="AR13" s="63"/>
      <c r="AS13" s="63" t="s">
        <v>423</v>
      </c>
      <c r="AT13" s="63" t="s">
        <v>256</v>
      </c>
      <c r="AU13" s="63" t="s">
        <v>423</v>
      </c>
      <c r="AV13" s="63"/>
      <c r="AW13" s="63"/>
      <c r="AX13" s="63">
        <f>--ISNUMBER(IFERROR(SEARCH(Tempset!$M$4,AM13,1),""))</f>
        <v>1</v>
      </c>
      <c r="AY13" s="63">
        <f>IF(AX13=1,COUNTIF($AX$3:AX13,1),"")</f>
        <v>11</v>
      </c>
      <c r="AZ13" s="63" t="str">
        <f>IFERROR(INDEX($AM$3:$AM$1165,MATCH(ROWS($AY$3:AY13),$AY$3:$AY$1165,0)),"")</f>
        <v>ACPValue</v>
      </c>
      <c r="BA13" s="63"/>
    </row>
    <row r="14" spans="1:53" x14ac:dyDescent="0.2">
      <c r="A14" s="23" t="s">
        <v>424</v>
      </c>
      <c r="B14" s="63"/>
      <c r="C14" s="25"/>
      <c r="D14" s="63"/>
      <c r="E14" s="23" t="s">
        <v>155</v>
      </c>
      <c r="F14" s="63"/>
      <c r="G14" s="23" t="s">
        <v>425</v>
      </c>
      <c r="H14" s="63"/>
      <c r="I14" s="23"/>
      <c r="J14" s="63"/>
      <c r="K14" s="23" t="s">
        <v>426</v>
      </c>
      <c r="L14" s="63"/>
      <c r="M14" s="23" t="s">
        <v>427</v>
      </c>
      <c r="N14" s="23" t="s">
        <v>428</v>
      </c>
      <c r="O14" s="23" t="str">
        <f t="shared" si="0"/>
        <v>Legal-CDAT</v>
      </c>
      <c r="P14" s="63"/>
      <c r="Q14" s="24" t="s">
        <v>429</v>
      </c>
      <c r="R14" s="63"/>
      <c r="S14" s="52">
        <v>0.5</v>
      </c>
      <c r="T14" s="63"/>
      <c r="U14" s="63"/>
      <c r="V14" s="63"/>
      <c r="W14" s="63"/>
      <c r="X14" s="63"/>
      <c r="Y14" s="63"/>
      <c r="Z14" s="63"/>
      <c r="AA14" s="63"/>
      <c r="AB14" s="63"/>
      <c r="AC14" s="63"/>
      <c r="AD14" s="63"/>
      <c r="AE14" s="63"/>
      <c r="AF14" s="63"/>
      <c r="AG14" s="63" t="s">
        <v>430</v>
      </c>
      <c r="AH14" s="63" t="s">
        <v>303</v>
      </c>
      <c r="AI14" s="63" t="s">
        <v>431</v>
      </c>
      <c r="AJ14" s="63" t="s">
        <v>432</v>
      </c>
      <c r="AK14" s="63"/>
      <c r="AL14" s="63"/>
      <c r="AM14" s="63" t="s">
        <v>433</v>
      </c>
      <c r="AN14" s="63" t="s">
        <v>434</v>
      </c>
      <c r="AO14" s="63" t="s">
        <v>435</v>
      </c>
      <c r="AP14" s="63" t="s">
        <v>370</v>
      </c>
      <c r="AQ14" s="63">
        <v>3</v>
      </c>
      <c r="AR14" s="63"/>
      <c r="AS14" s="63" t="s">
        <v>436</v>
      </c>
      <c r="AT14" s="63" t="s">
        <v>293</v>
      </c>
      <c r="AU14" s="63" t="s">
        <v>437</v>
      </c>
      <c r="AV14" s="63"/>
      <c r="AW14" s="63"/>
      <c r="AX14" s="63">
        <f>--ISNUMBER(IFERROR(SEARCH(Tempset!$M$4,AM14,1),""))</f>
        <v>1</v>
      </c>
      <c r="AY14" s="63">
        <f>IF(AX14=1,COUNTIF($AX$3:AX14,1),"")</f>
        <v>12</v>
      </c>
      <c r="AZ14" s="63" t="str">
        <f>IFERROR(INDEX($AM$3:$AM$1165,MATCH(ROWS($AY$3:AY14),$AY$3:$AY$1165,0)),"")</f>
        <v>activesLeavingPercent</v>
      </c>
      <c r="BA14" s="63"/>
    </row>
    <row r="15" spans="1:53" x14ac:dyDescent="0.2">
      <c r="A15" s="41" t="s">
        <v>438</v>
      </c>
      <c r="B15" s="63"/>
      <c r="C15" s="23" t="s">
        <v>439</v>
      </c>
      <c r="D15" s="63"/>
      <c r="E15" s="23" t="s">
        <v>156</v>
      </c>
      <c r="F15" s="63"/>
      <c r="G15" s="23" t="s">
        <v>440</v>
      </c>
      <c r="H15" s="63"/>
      <c r="I15" s="23" t="s">
        <v>441</v>
      </c>
      <c r="J15" s="63"/>
      <c r="K15" s="23" t="s">
        <v>442</v>
      </c>
      <c r="L15" s="63"/>
      <c r="M15" s="23" t="s">
        <v>427</v>
      </c>
      <c r="N15" s="23" t="s">
        <v>443</v>
      </c>
      <c r="O15" s="23" t="str">
        <f t="shared" si="0"/>
        <v xml:space="preserve">Legal-Security </v>
      </c>
      <c r="P15" s="63"/>
      <c r="Q15" s="23" t="s">
        <v>259</v>
      </c>
      <c r="R15" s="63"/>
      <c r="S15" s="52">
        <v>0.54166666666666696</v>
      </c>
      <c r="T15" s="63"/>
      <c r="U15" s="63"/>
      <c r="V15" s="63"/>
      <c r="W15" s="63"/>
      <c r="X15" s="63"/>
      <c r="Y15" s="63"/>
      <c r="Z15" s="63"/>
      <c r="AA15" s="63"/>
      <c r="AB15" s="63"/>
      <c r="AC15" s="63"/>
      <c r="AD15" s="63"/>
      <c r="AE15" s="63"/>
      <c r="AF15" s="63"/>
      <c r="AG15" s="63" t="s">
        <v>444</v>
      </c>
      <c r="AH15" s="63" t="s">
        <v>303</v>
      </c>
      <c r="AI15" s="63" t="s">
        <v>445</v>
      </c>
      <c r="AJ15" s="63" t="s">
        <v>446</v>
      </c>
      <c r="AK15" s="63"/>
      <c r="AL15" s="63"/>
      <c r="AM15" s="63" t="s">
        <v>447</v>
      </c>
      <c r="AN15" s="63" t="s">
        <v>448</v>
      </c>
      <c r="AO15" s="63" t="s">
        <v>449</v>
      </c>
      <c r="AP15" s="63" t="s">
        <v>450</v>
      </c>
      <c r="AQ15" s="63">
        <v>4</v>
      </c>
      <c r="AR15" s="63"/>
      <c r="AS15" s="63" t="s">
        <v>451</v>
      </c>
      <c r="AT15" s="63" t="s">
        <v>293</v>
      </c>
      <c r="AU15" s="63" t="s">
        <v>452</v>
      </c>
      <c r="AV15" s="63"/>
      <c r="AW15" s="63"/>
      <c r="AX15" s="63">
        <f>--ISNUMBER(IFERROR(SEARCH(Tempset!$M$4,AM15,1),""))</f>
        <v>1</v>
      </c>
      <c r="AY15" s="63">
        <f>IF(AX15=1,COUNTIF($AX$3:AX15,1),"")</f>
        <v>13</v>
      </c>
      <c r="AZ15" s="63" t="str">
        <f>IFERROR(INDEX($AM$3:$AM$1165,MATCH(ROWS($AY$3:AY15),$AY$3:$AY$1165,0)),"")</f>
        <v>ACVARWAValue</v>
      </c>
      <c r="BA15" s="63"/>
    </row>
    <row r="16" spans="1:53" x14ac:dyDescent="0.2">
      <c r="A16" s="41" t="s">
        <v>453</v>
      </c>
      <c r="B16" s="63"/>
      <c r="C16" s="23" t="s">
        <v>454</v>
      </c>
      <c r="D16" s="63"/>
      <c r="E16" s="23" t="s">
        <v>157</v>
      </c>
      <c r="F16" s="63"/>
      <c r="G16" s="23" t="s">
        <v>455</v>
      </c>
      <c r="H16" s="63"/>
      <c r="I16" s="23" t="s">
        <v>456</v>
      </c>
      <c r="J16" s="63"/>
      <c r="K16" s="23" t="s">
        <v>457</v>
      </c>
      <c r="L16" s="63"/>
      <c r="M16" s="23" t="s">
        <v>458</v>
      </c>
      <c r="N16" s="23" t="s">
        <v>459</v>
      </c>
      <c r="O16" s="23" t="str">
        <f t="shared" si="0"/>
        <v>SDP Support-L1</v>
      </c>
      <c r="P16" s="63"/>
      <c r="Q16" s="23" t="s">
        <v>460</v>
      </c>
      <c r="R16" s="63"/>
      <c r="S16" s="52">
        <v>0.58333333333333304</v>
      </c>
      <c r="T16" s="63"/>
      <c r="U16" s="63"/>
      <c r="V16" s="63"/>
      <c r="W16" s="63"/>
      <c r="X16" s="63"/>
      <c r="Y16" s="63"/>
      <c r="Z16" s="63"/>
      <c r="AA16" s="63"/>
      <c r="AB16" s="63"/>
      <c r="AC16" s="63"/>
      <c r="AD16" s="63"/>
      <c r="AE16" s="63"/>
      <c r="AF16" s="63"/>
      <c r="AG16" s="63" t="s">
        <v>461</v>
      </c>
      <c r="AH16" s="63" t="s">
        <v>303</v>
      </c>
      <c r="AI16" s="63" t="s">
        <v>462</v>
      </c>
      <c r="AJ16" s="63" t="s">
        <v>463</v>
      </c>
      <c r="AK16" s="63"/>
      <c r="AL16" s="63"/>
      <c r="AM16" s="63" t="s">
        <v>464</v>
      </c>
      <c r="AN16" s="63" t="s">
        <v>465</v>
      </c>
      <c r="AO16" s="63" t="s">
        <v>466</v>
      </c>
      <c r="AP16" s="63" t="s">
        <v>467</v>
      </c>
      <c r="AQ16" s="63">
        <v>4</v>
      </c>
      <c r="AR16" s="63"/>
      <c r="AS16" s="63" t="s">
        <v>468</v>
      </c>
      <c r="AT16" s="63" t="s">
        <v>293</v>
      </c>
      <c r="AU16" s="63" t="s">
        <v>469</v>
      </c>
      <c r="AV16" s="63"/>
      <c r="AW16" s="63"/>
      <c r="AX16" s="63">
        <f>--ISNUMBER(IFERROR(SEARCH(Tempset!$M$4,AM16,1),""))</f>
        <v>1</v>
      </c>
      <c r="AY16" s="63">
        <f>IF(AX16=1,COUNTIF($AX$3:AX16,1),"")</f>
        <v>14</v>
      </c>
      <c r="AZ16" s="63" t="str">
        <f>IFERROR(INDEX($AM$3:$AM$1165,MATCH(ROWS($AY$3:AY16),$AY$3:$AY$1165,0)),"")</f>
        <v>ADACPosResAcc</v>
      </c>
      <c r="BA16" s="63"/>
    </row>
    <row r="17" spans="1:53" x14ac:dyDescent="0.2">
      <c r="A17" s="41" t="s">
        <v>300</v>
      </c>
      <c r="B17" s="63"/>
      <c r="C17" s="23" t="s">
        <v>470</v>
      </c>
      <c r="D17" s="63"/>
      <c r="E17" s="23" t="s">
        <v>158</v>
      </c>
      <c r="F17" s="63"/>
      <c r="G17" s="23" t="s">
        <v>471</v>
      </c>
      <c r="H17" s="63"/>
      <c r="I17" s="23" t="s">
        <v>472</v>
      </c>
      <c r="J17" s="63"/>
      <c r="K17" s="23" t="s">
        <v>473</v>
      </c>
      <c r="L17" s="63"/>
      <c r="M17" s="23" t="s">
        <v>458</v>
      </c>
      <c r="N17" s="23" t="s">
        <v>474</v>
      </c>
      <c r="O17" s="23" t="str">
        <f t="shared" si="0"/>
        <v>SDP Support-L2</v>
      </c>
      <c r="P17" s="63"/>
      <c r="Q17" s="23" t="s">
        <v>475</v>
      </c>
      <c r="R17" s="63"/>
      <c r="S17" s="52">
        <v>0.625</v>
      </c>
      <c r="T17" s="63"/>
      <c r="U17" s="63"/>
      <c r="V17" s="63"/>
      <c r="W17" s="63"/>
      <c r="X17" s="63"/>
      <c r="Y17" s="63"/>
      <c r="Z17" s="63"/>
      <c r="AA17" s="63"/>
      <c r="AB17" s="63"/>
      <c r="AC17" s="63"/>
      <c r="AD17" s="63"/>
      <c r="AE17" s="63"/>
      <c r="AF17" s="63"/>
      <c r="AG17" s="63" t="s">
        <v>476</v>
      </c>
      <c r="AH17" s="63" t="s">
        <v>303</v>
      </c>
      <c r="AI17" s="63" t="s">
        <v>477</v>
      </c>
      <c r="AJ17" s="63" t="s">
        <v>478</v>
      </c>
      <c r="AK17" s="63"/>
      <c r="AL17" s="63"/>
      <c r="AM17" s="63" t="s">
        <v>479</v>
      </c>
      <c r="AN17" s="63" t="s">
        <v>480</v>
      </c>
      <c r="AO17" s="63" t="s">
        <v>481</v>
      </c>
      <c r="AP17" s="63" t="s">
        <v>422</v>
      </c>
      <c r="AQ17" s="63">
        <v>2</v>
      </c>
      <c r="AR17" s="63"/>
      <c r="AS17" s="63" t="s">
        <v>482</v>
      </c>
      <c r="AT17" s="63" t="s">
        <v>293</v>
      </c>
      <c r="AU17" s="63" t="s">
        <v>469</v>
      </c>
      <c r="AV17" s="63"/>
      <c r="AW17" s="63"/>
      <c r="AX17" s="63">
        <f>--ISNUMBER(IFERROR(SEARCH(Tempset!$M$4,AM17,1),""))</f>
        <v>1</v>
      </c>
      <c r="AY17" s="63">
        <f>IF(AX17=1,COUNTIF($AX$3:AX17,1),"")</f>
        <v>15</v>
      </c>
      <c r="AZ17" s="63" t="str">
        <f>IFERROR(INDEX($AM$3:$AM$1165,MATCH(ROWS($AY$3:AY17),$AY$3:$AY$1165,0)),"")</f>
        <v>ADACPosResInt</v>
      </c>
      <c r="BA17" s="63"/>
    </row>
    <row r="18" spans="1:53" x14ac:dyDescent="0.2">
      <c r="A18" s="41" t="s">
        <v>242</v>
      </c>
      <c r="B18" s="63"/>
      <c r="C18" s="63"/>
      <c r="D18" s="63"/>
      <c r="E18" s="27" t="s">
        <v>159</v>
      </c>
      <c r="F18" s="63"/>
      <c r="G18" s="23" t="s">
        <v>483</v>
      </c>
      <c r="H18" s="63"/>
      <c r="I18" s="23" t="s">
        <v>484</v>
      </c>
      <c r="J18" s="63"/>
      <c r="K18" s="23" t="s">
        <v>485</v>
      </c>
      <c r="L18" s="63"/>
      <c r="M18" s="23" t="s">
        <v>458</v>
      </c>
      <c r="N18" s="23" t="s">
        <v>486</v>
      </c>
      <c r="O18" s="23" t="str">
        <f t="shared" si="0"/>
        <v>SDP Support-L3</v>
      </c>
      <c r="P18" s="63"/>
      <c r="Q18" s="23" t="s">
        <v>487</v>
      </c>
      <c r="R18" s="63"/>
      <c r="S18" s="52">
        <v>0.66666666666666696</v>
      </c>
      <c r="T18" s="63"/>
      <c r="U18" s="63"/>
      <c r="V18" s="63"/>
      <c r="W18" s="63"/>
      <c r="X18" s="63"/>
      <c r="Y18" s="63"/>
      <c r="Z18" s="63"/>
      <c r="AA18" s="63"/>
      <c r="AB18" s="63"/>
      <c r="AC18" s="63"/>
      <c r="AD18" s="63"/>
      <c r="AE18" s="63"/>
      <c r="AF18" s="63"/>
      <c r="AG18" s="63" t="s">
        <v>488</v>
      </c>
      <c r="AH18" s="63" t="s">
        <v>303</v>
      </c>
      <c r="AI18" s="63" t="s">
        <v>489</v>
      </c>
      <c r="AJ18" s="63" t="s">
        <v>490</v>
      </c>
      <c r="AK18" s="63"/>
      <c r="AL18" s="63"/>
      <c r="AM18" s="63" t="s">
        <v>491</v>
      </c>
      <c r="AN18" s="63" t="s">
        <v>492</v>
      </c>
      <c r="AO18" s="63" t="s">
        <v>493</v>
      </c>
      <c r="AP18" s="63" t="s">
        <v>370</v>
      </c>
      <c r="AQ18" s="63">
        <v>1</v>
      </c>
      <c r="AR18" s="63"/>
      <c r="AS18" s="63" t="s">
        <v>494</v>
      </c>
      <c r="AT18" s="63" t="s">
        <v>293</v>
      </c>
      <c r="AU18" s="63" t="s">
        <v>495</v>
      </c>
      <c r="AV18" s="63"/>
      <c r="AW18" s="63"/>
      <c r="AX18" s="63">
        <f>--ISNUMBER(IFERROR(SEARCH(Tempset!$M$4,AM18,1),""))</f>
        <v>1</v>
      </c>
      <c r="AY18" s="63">
        <f>IF(AX18=1,COUNTIF($AX$3:AX18,1),"")</f>
        <v>16</v>
      </c>
      <c r="AZ18" s="63" t="str">
        <f>IFERROR(INDEX($AM$3:$AM$1165,MATCH(ROWS($AY$3:AY18),$AY$3:$AY$1165,0)),"")</f>
        <v>ADACPosServFee</v>
      </c>
      <c r="BA18" s="63"/>
    </row>
    <row r="19" spans="1:53" x14ac:dyDescent="0.2">
      <c r="A19" s="41" t="s">
        <v>496</v>
      </c>
      <c r="B19" s="63"/>
      <c r="C19" s="63"/>
      <c r="D19" s="63"/>
      <c r="E19" s="27" t="s">
        <v>160</v>
      </c>
      <c r="F19" s="63"/>
      <c r="G19" s="23" t="s">
        <v>497</v>
      </c>
      <c r="H19" s="63"/>
      <c r="I19" s="63"/>
      <c r="J19" s="63"/>
      <c r="K19" s="23" t="s">
        <v>498</v>
      </c>
      <c r="L19" s="63"/>
      <c r="M19" s="27" t="s">
        <v>499</v>
      </c>
      <c r="N19" s="23" t="s">
        <v>500</v>
      </c>
      <c r="O19" s="23" t="str">
        <f t="shared" si="0"/>
        <v>Interface-Owner</v>
      </c>
      <c r="P19" s="63"/>
      <c r="Q19" s="23" t="s">
        <v>10</v>
      </c>
      <c r="R19" s="63"/>
      <c r="S19" s="52">
        <v>0.70833333333333304</v>
      </c>
      <c r="T19" s="63"/>
      <c r="U19" s="63"/>
      <c r="V19" s="63"/>
      <c r="W19" s="63"/>
      <c r="X19" s="63"/>
      <c r="Y19" s="63"/>
      <c r="Z19" s="63"/>
      <c r="AA19" s="63"/>
      <c r="AB19" s="63"/>
      <c r="AC19" s="63"/>
      <c r="AD19" s="63"/>
      <c r="AE19" s="63"/>
      <c r="AF19" s="63"/>
      <c r="AG19" s="63" t="s">
        <v>501</v>
      </c>
      <c r="AH19" s="63" t="s">
        <v>303</v>
      </c>
      <c r="AI19" s="63" t="s">
        <v>502</v>
      </c>
      <c r="AJ19" s="63" t="s">
        <v>503</v>
      </c>
      <c r="AK19" s="63"/>
      <c r="AL19" s="63"/>
      <c r="AM19" s="63" t="s">
        <v>504</v>
      </c>
      <c r="AN19" s="63" t="s">
        <v>505</v>
      </c>
      <c r="AO19" s="63" t="s">
        <v>506</v>
      </c>
      <c r="AP19" s="63" t="s">
        <v>422</v>
      </c>
      <c r="AQ19" s="63">
        <v>2</v>
      </c>
      <c r="AR19" s="63"/>
      <c r="AS19" s="63" t="s">
        <v>408</v>
      </c>
      <c r="AT19" s="63" t="s">
        <v>293</v>
      </c>
      <c r="AU19" s="63" t="str">
        <f>CONCATENATE(AU14,",",AU15,",",AU16,",",AU18)</f>
        <v>Japan,Hong Kong,Singapore,Victoria, Australia</v>
      </c>
      <c r="AV19" s="63"/>
      <c r="AW19" s="63"/>
      <c r="AX19" s="63">
        <f>--ISNUMBER(IFERROR(SEARCH(Tempset!$M$4,AM19,1),""))</f>
        <v>1</v>
      </c>
      <c r="AY19" s="63">
        <f>IF(AX19=1,COUNTIF($AX$3:AX19,1),"")</f>
        <v>17</v>
      </c>
      <c r="AZ19" s="63" t="str">
        <f>IFERROR(INDEX($AM$3:$AM$1165,MATCH(ROWS($AY$3:AY19),$AY$3:$AY$1165,0)),"")</f>
        <v>ADACPosSsh</v>
      </c>
      <c r="BA19" s="63"/>
    </row>
    <row r="20" spans="1:53" x14ac:dyDescent="0.2">
      <c r="A20" s="41" t="s">
        <v>507</v>
      </c>
      <c r="B20" s="63"/>
      <c r="C20" s="24" t="s">
        <v>508</v>
      </c>
      <c r="D20" s="63"/>
      <c r="E20" s="27" t="s">
        <v>161</v>
      </c>
      <c r="F20" s="63"/>
      <c r="G20" s="23" t="s">
        <v>509</v>
      </c>
      <c r="H20" s="63"/>
      <c r="I20" s="63"/>
      <c r="J20" s="63"/>
      <c r="K20" s="23" t="s">
        <v>510</v>
      </c>
      <c r="L20" s="63"/>
      <c r="M20" s="41" t="s">
        <v>499</v>
      </c>
      <c r="N20" s="41" t="s">
        <v>511</v>
      </c>
      <c r="O20" s="41" t="str">
        <f t="shared" si="0"/>
        <v>Interface-Contact</v>
      </c>
      <c r="P20" s="63"/>
      <c r="Q20" s="23" t="s">
        <v>299</v>
      </c>
      <c r="R20" s="63"/>
      <c r="S20" s="52">
        <v>0.75</v>
      </c>
      <c r="T20" s="63"/>
      <c r="U20" s="63"/>
      <c r="V20" s="63"/>
      <c r="W20" s="63"/>
      <c r="X20" s="63"/>
      <c r="Y20" s="63"/>
      <c r="Z20" s="63"/>
      <c r="AA20" s="63"/>
      <c r="AB20" s="63"/>
      <c r="AC20" s="63"/>
      <c r="AD20" s="63"/>
      <c r="AE20" s="63"/>
      <c r="AF20" s="63"/>
      <c r="AG20" s="63" t="s">
        <v>512</v>
      </c>
      <c r="AH20" s="63" t="s">
        <v>303</v>
      </c>
      <c r="AI20" s="63" t="s">
        <v>513</v>
      </c>
      <c r="AJ20" s="63" t="s">
        <v>514</v>
      </c>
      <c r="AK20" s="63"/>
      <c r="AL20" s="63"/>
      <c r="AM20" s="63" t="s">
        <v>515</v>
      </c>
      <c r="AN20" s="63" t="s">
        <v>516</v>
      </c>
      <c r="AO20" s="63" t="s">
        <v>517</v>
      </c>
      <c r="AP20" s="63" t="s">
        <v>272</v>
      </c>
      <c r="AQ20" s="63">
        <v>2</v>
      </c>
      <c r="AR20" s="63"/>
      <c r="AS20" s="63" t="s">
        <v>423</v>
      </c>
      <c r="AT20" s="63" t="s">
        <v>293</v>
      </c>
      <c r="AU20" s="63" t="s">
        <v>423</v>
      </c>
      <c r="AV20" s="63"/>
      <c r="AW20" s="63"/>
      <c r="AX20" s="63">
        <f>--ISNUMBER(IFERROR(SEARCH(Tempset!$M$4,AM20,1),""))</f>
        <v>1</v>
      </c>
      <c r="AY20" s="63">
        <f>IF(AX20=1,COUNTIF($AX$3:AX20,1),"")</f>
        <v>18</v>
      </c>
      <c r="AZ20" s="63" t="str">
        <f>IFERROR(INDEX($AM$3:$AM$1165,MATCH(ROWS($AY$3:AY20),$AY$3:$AY$1165,0)),"")</f>
        <v>additionalFundingRatio</v>
      </c>
      <c r="BA20" s="63"/>
    </row>
    <row r="21" spans="1:53" x14ac:dyDescent="0.2">
      <c r="A21" s="41" t="s">
        <v>518</v>
      </c>
      <c r="B21" s="63"/>
      <c r="C21" s="25"/>
      <c r="D21" s="63"/>
      <c r="E21" s="27" t="s">
        <v>162</v>
      </c>
      <c r="F21" s="63"/>
      <c r="G21" s="23" t="s">
        <v>519</v>
      </c>
      <c r="H21" s="63"/>
      <c r="I21" s="63"/>
      <c r="J21" s="63"/>
      <c r="K21" s="23" t="s">
        <v>520</v>
      </c>
      <c r="L21" s="63"/>
      <c r="M21" s="27" t="s">
        <v>521</v>
      </c>
      <c r="N21" s="27"/>
      <c r="O21" s="27" t="str">
        <f t="shared" si="0"/>
        <v>SNOW</v>
      </c>
      <c r="P21" s="63"/>
      <c r="Q21" s="63"/>
      <c r="R21" s="63"/>
      <c r="S21" s="52">
        <v>0.79166666666666696</v>
      </c>
      <c r="T21" s="63"/>
      <c r="U21" s="63"/>
      <c r="V21" s="63"/>
      <c r="W21" s="63"/>
      <c r="X21" s="63"/>
      <c r="Y21" s="63"/>
      <c r="Z21" s="63"/>
      <c r="AA21" s="63"/>
      <c r="AB21" s="63"/>
      <c r="AC21" s="63"/>
      <c r="AD21" s="63"/>
      <c r="AE21" s="63"/>
      <c r="AF21" s="63"/>
      <c r="AG21" s="63" t="s">
        <v>522</v>
      </c>
      <c r="AH21" s="63" t="s">
        <v>303</v>
      </c>
      <c r="AI21" s="63" t="s">
        <v>523</v>
      </c>
      <c r="AJ21" s="63" t="s">
        <v>524</v>
      </c>
      <c r="AK21" s="63"/>
      <c r="AL21" s="63"/>
      <c r="AM21" s="63" t="s">
        <v>525</v>
      </c>
      <c r="AN21" s="63" t="s">
        <v>526</v>
      </c>
      <c r="AO21" s="63" t="s">
        <v>527</v>
      </c>
      <c r="AP21" s="63" t="s">
        <v>370</v>
      </c>
      <c r="AQ21" s="63">
        <v>1</v>
      </c>
      <c r="AR21" s="63"/>
      <c r="AS21" s="63" t="s">
        <v>528</v>
      </c>
      <c r="AT21" s="63" t="s">
        <v>312</v>
      </c>
      <c r="AU21" s="74" t="s">
        <v>529</v>
      </c>
      <c r="AV21" s="63"/>
      <c r="AW21" s="63"/>
      <c r="AX21" s="63">
        <f>--ISNUMBER(IFERROR(SEARCH(Tempset!$M$4,AM21,1),""))</f>
        <v>1</v>
      </c>
      <c r="AY21" s="63">
        <f>IF(AX21=1,COUNTIF($AX$3:AX21,1),"")</f>
        <v>19</v>
      </c>
      <c r="AZ21" s="63" t="str">
        <f>IFERROR(INDEX($AM$3:$AM$1165,MATCH(ROWS($AY$3:AY21),$AY$3:$AY$1165,0)),"")</f>
        <v>adjustedExpiryDate</v>
      </c>
      <c r="BA21" s="63"/>
    </row>
    <row r="22" spans="1:53" x14ac:dyDescent="0.2">
      <c r="A22" s="63"/>
      <c r="B22" s="63"/>
      <c r="C22" s="23" t="s">
        <v>530</v>
      </c>
      <c r="D22" s="63"/>
      <c r="E22" s="27" t="s">
        <v>163</v>
      </c>
      <c r="F22" s="63"/>
      <c r="G22" s="63"/>
      <c r="H22" s="63"/>
      <c r="I22" s="63"/>
      <c r="J22" s="63"/>
      <c r="K22" s="23" t="s">
        <v>531</v>
      </c>
      <c r="L22" s="63"/>
      <c r="M22" s="27" t="s">
        <v>331</v>
      </c>
      <c r="N22" s="23"/>
      <c r="O22" s="23" t="str">
        <f>CONCATENATE(M22,IF(ISBLANK(N22),"","-"),N22)</f>
        <v>Other</v>
      </c>
      <c r="P22" s="63"/>
      <c r="Q22" s="63"/>
      <c r="R22" s="63"/>
      <c r="S22" s="52">
        <v>0.83333333333333304</v>
      </c>
      <c r="T22" s="63"/>
      <c r="U22" s="63"/>
      <c r="V22" s="63"/>
      <c r="W22" s="63"/>
      <c r="X22" s="63"/>
      <c r="Y22" s="63"/>
      <c r="Z22" s="63"/>
      <c r="AA22" s="63"/>
      <c r="AB22" s="63"/>
      <c r="AC22" s="63"/>
      <c r="AD22" s="63"/>
      <c r="AE22" s="63"/>
      <c r="AF22" s="63"/>
      <c r="AG22" s="63" t="s">
        <v>532</v>
      </c>
      <c r="AH22" s="63" t="s">
        <v>303</v>
      </c>
      <c r="AI22" s="63" t="s">
        <v>533</v>
      </c>
      <c r="AJ22" s="63" t="s">
        <v>534</v>
      </c>
      <c r="AK22" s="63"/>
      <c r="AL22" s="63"/>
      <c r="AM22" s="63" t="s">
        <v>535</v>
      </c>
      <c r="AN22" s="63" t="s">
        <v>536</v>
      </c>
      <c r="AO22" s="63" t="s">
        <v>537</v>
      </c>
      <c r="AP22" s="63" t="s">
        <v>538</v>
      </c>
      <c r="AQ22" s="63">
        <v>2</v>
      </c>
      <c r="AR22" s="63"/>
      <c r="AS22" s="63" t="s">
        <v>539</v>
      </c>
      <c r="AT22" s="63" t="s">
        <v>312</v>
      </c>
      <c r="AU22" s="74" t="s">
        <v>466</v>
      </c>
      <c r="AV22" s="63"/>
      <c r="AW22" s="63"/>
      <c r="AX22" s="63">
        <f>--ISNUMBER(IFERROR(SEARCH(Tempset!$M$4,AM22,1),""))</f>
        <v>1</v>
      </c>
      <c r="AY22" s="63">
        <f>IF(AX22=1,COUNTIF($AX$3:AX22,1),"")</f>
        <v>20</v>
      </c>
      <c r="AZ22" s="63" t="str">
        <f>IFERROR(INDEX($AM$3:$AM$1165,MATCH(ROWS($AY$3:AY22),$AY$3:$AY$1165,0)),"")</f>
        <v>adjustedNotional</v>
      </c>
      <c r="BA22" s="63"/>
    </row>
    <row r="23" spans="1:53" x14ac:dyDescent="0.2">
      <c r="A23" s="63"/>
      <c r="B23" s="63"/>
      <c r="C23" s="23" t="s">
        <v>316</v>
      </c>
      <c r="D23" s="63"/>
      <c r="E23" s="27" t="s">
        <v>164</v>
      </c>
      <c r="F23" s="63"/>
      <c r="G23" s="63"/>
      <c r="H23" s="63"/>
      <c r="I23" s="63"/>
      <c r="J23" s="63"/>
      <c r="K23" s="23" t="s">
        <v>331</v>
      </c>
      <c r="L23" s="63"/>
      <c r="M23" s="23" t="s">
        <v>540</v>
      </c>
      <c r="N23" s="23"/>
      <c r="O23" s="23" t="str">
        <f>CONCATENATE(M23,IF(ISBLANK(N23),"","-"),N23)</f>
        <v>Provider Contact</v>
      </c>
      <c r="P23" s="63"/>
      <c r="Q23" s="63"/>
      <c r="R23" s="63"/>
      <c r="S23" s="52">
        <v>0.875</v>
      </c>
      <c r="T23" s="63"/>
      <c r="U23" s="63"/>
      <c r="V23" s="63"/>
      <c r="W23" s="63"/>
      <c r="X23" s="63"/>
      <c r="Y23" s="63"/>
      <c r="Z23" s="63"/>
      <c r="AA23" s="63"/>
      <c r="AB23" s="63"/>
      <c r="AC23" s="63"/>
      <c r="AD23" s="63"/>
      <c r="AE23" s="63"/>
      <c r="AF23" s="63"/>
      <c r="AG23" s="63" t="s">
        <v>541</v>
      </c>
      <c r="AH23" s="63" t="s">
        <v>303</v>
      </c>
      <c r="AI23" s="63" t="s">
        <v>542</v>
      </c>
      <c r="AJ23" s="63" t="s">
        <v>543</v>
      </c>
      <c r="AK23" s="63"/>
      <c r="AL23" s="63"/>
      <c r="AM23" s="63" t="s">
        <v>544</v>
      </c>
      <c r="AN23" s="63" t="s">
        <v>545</v>
      </c>
      <c r="AO23" s="63" t="s">
        <v>546</v>
      </c>
      <c r="AP23" s="63" t="s">
        <v>467</v>
      </c>
      <c r="AQ23" s="63">
        <v>4</v>
      </c>
      <c r="AR23" s="63"/>
      <c r="AS23" s="63" t="s">
        <v>547</v>
      </c>
      <c r="AT23" s="63" t="s">
        <v>312</v>
      </c>
      <c r="AU23" s="74" t="s">
        <v>548</v>
      </c>
      <c r="AV23" s="63"/>
      <c r="AW23" s="63"/>
      <c r="AX23" s="63">
        <f>--ISNUMBER(IFERROR(SEARCH(Tempset!$M$4,AM23,1),""))</f>
        <v>1</v>
      </c>
      <c r="AY23" s="63">
        <f>IF(AX23=1,COUNTIF($AX$3:AX23,1),"")</f>
        <v>21</v>
      </c>
      <c r="AZ23" s="63" t="str">
        <f>IFERROR(INDEX($AM$3:$AM$1165,MATCH(ROWS($AY$3:AY23),$AY$3:$AY$1165,0)),"")</f>
        <v>affiliateCode</v>
      </c>
      <c r="BA23" s="63"/>
    </row>
    <row r="24" spans="1:53" x14ac:dyDescent="0.2">
      <c r="A24" s="63"/>
      <c r="B24" s="63"/>
      <c r="C24" s="27" t="s">
        <v>549</v>
      </c>
      <c r="D24" s="63"/>
      <c r="E24" s="27" t="s">
        <v>165</v>
      </c>
      <c r="F24" s="63"/>
      <c r="G24" s="24" t="s">
        <v>550</v>
      </c>
      <c r="H24" s="63"/>
      <c r="I24" s="63"/>
      <c r="J24" s="63"/>
      <c r="K24" s="63"/>
      <c r="L24" s="63"/>
      <c r="M24" s="23" t="s">
        <v>551</v>
      </c>
      <c r="N24" s="23"/>
      <c r="O24" s="23" t="str">
        <f>CONCATENATE(M24,IF(ISBLANK(N24),"","-"),N24)</f>
        <v>Consumer Contact</v>
      </c>
      <c r="P24" s="63"/>
      <c r="Q24" s="63"/>
      <c r="R24" s="63"/>
      <c r="S24" s="52">
        <v>0.91666666666666696</v>
      </c>
      <c r="T24" s="63"/>
      <c r="U24" s="63"/>
      <c r="V24" s="63"/>
      <c r="W24" s="63"/>
      <c r="X24" s="63"/>
      <c r="Y24" s="63"/>
      <c r="Z24" s="63"/>
      <c r="AA24" s="63"/>
      <c r="AB24" s="63"/>
      <c r="AC24" s="63"/>
      <c r="AD24" s="63"/>
      <c r="AE24" s="63"/>
      <c r="AF24" s="63"/>
      <c r="AG24" s="63" t="s">
        <v>552</v>
      </c>
      <c r="AH24" s="63" t="s">
        <v>303</v>
      </c>
      <c r="AI24" s="63" t="s">
        <v>553</v>
      </c>
      <c r="AJ24" s="63" t="s">
        <v>554</v>
      </c>
      <c r="AK24" s="63"/>
      <c r="AL24" s="63"/>
      <c r="AM24" s="63" t="s">
        <v>555</v>
      </c>
      <c r="AN24" s="63" t="s">
        <v>556</v>
      </c>
      <c r="AO24" s="63" t="s">
        <v>557</v>
      </c>
      <c r="AP24" s="63" t="s">
        <v>558</v>
      </c>
      <c r="AQ24" s="63">
        <v>2</v>
      </c>
      <c r="AR24" s="63"/>
      <c r="AS24" s="63" t="s">
        <v>559</v>
      </c>
      <c r="AT24" s="63" t="s">
        <v>312</v>
      </c>
      <c r="AU24" s="74" t="s">
        <v>560</v>
      </c>
      <c r="AV24" s="63"/>
      <c r="AW24" s="63"/>
      <c r="AX24" s="63">
        <f>--ISNUMBER(IFERROR(SEARCH(Tempset!$M$4,AM24,1),""))</f>
        <v>1</v>
      </c>
      <c r="AY24" s="63">
        <f>IF(AX24=1,COUNTIF($AX$3:AX24,1),"")</f>
        <v>22</v>
      </c>
      <c r="AZ24" s="63" t="str">
        <f>IFERROR(INDEX($AM$3:$AM$1165,MATCH(ROWS($AY$3:AY24),$AY$3:$AY$1165,0)),"")</f>
        <v>affiliateDealerFlag</v>
      </c>
      <c r="BA24" s="63"/>
    </row>
    <row r="25" spans="1:53" x14ac:dyDescent="0.2">
      <c r="A25" s="63"/>
      <c r="B25" s="63"/>
      <c r="C25" s="27" t="s">
        <v>561</v>
      </c>
      <c r="D25" s="63"/>
      <c r="E25" s="27" t="s">
        <v>166</v>
      </c>
      <c r="F25" s="63"/>
      <c r="G25" s="23"/>
      <c r="H25" s="63"/>
      <c r="I25" s="63"/>
      <c r="J25" s="63"/>
      <c r="K25" s="63"/>
      <c r="L25" s="63"/>
      <c r="M25" s="23" t="s">
        <v>562</v>
      </c>
      <c r="N25" s="23"/>
      <c r="O25" s="23" t="str">
        <f>CONCATENATE(M25,IF(ISBLANK(N25),"","-"),N25)</f>
        <v>Escalation Contact</v>
      </c>
      <c r="P25" s="63"/>
      <c r="Q25" s="63"/>
      <c r="R25" s="63"/>
      <c r="S25" s="52">
        <v>0.95833333333333304</v>
      </c>
      <c r="T25" s="63"/>
      <c r="U25" s="63"/>
      <c r="V25" s="63"/>
      <c r="W25" s="63"/>
      <c r="X25" s="63"/>
      <c r="Y25" s="63"/>
      <c r="Z25" s="63"/>
      <c r="AA25" s="63"/>
      <c r="AB25" s="63"/>
      <c r="AC25" s="63"/>
      <c r="AD25" s="63"/>
      <c r="AE25" s="63"/>
      <c r="AF25" s="63"/>
      <c r="AG25" s="63" t="s">
        <v>563</v>
      </c>
      <c r="AH25" s="63" t="s">
        <v>318</v>
      </c>
      <c r="AI25" s="63" t="s">
        <v>564</v>
      </c>
      <c r="AJ25" s="63" t="s">
        <v>565</v>
      </c>
      <c r="AK25" s="63"/>
      <c r="AL25" s="63"/>
      <c r="AM25" s="63" t="s">
        <v>566</v>
      </c>
      <c r="AN25" s="63" t="s">
        <v>567</v>
      </c>
      <c r="AO25" s="63" t="s">
        <v>568</v>
      </c>
      <c r="AP25" s="63" t="s">
        <v>569</v>
      </c>
      <c r="AQ25" s="63">
        <v>2</v>
      </c>
      <c r="AR25" s="63"/>
      <c r="AS25" s="63" t="s">
        <v>570</v>
      </c>
      <c r="AT25" s="63" t="s">
        <v>312</v>
      </c>
      <c r="AU25" s="63" t="s">
        <v>274</v>
      </c>
      <c r="AV25" s="63"/>
      <c r="AW25" s="63"/>
      <c r="AX25" s="63">
        <f>--ISNUMBER(IFERROR(SEARCH(Tempset!$M$4,AM25,1),""))</f>
        <v>1</v>
      </c>
      <c r="AY25" s="63">
        <f>IF(AX25=1,COUNTIF($AX$3:AX25,1),"")</f>
        <v>23</v>
      </c>
      <c r="AZ25" s="63" t="str">
        <f>IFERROR(INDEX($AM$3:$AM$1165,MATCH(ROWS($AY$3:AY25),$AY$3:$AY$1165,0)),"")</f>
        <v>agencyCMBSERCValue</v>
      </c>
      <c r="BA25" s="63"/>
    </row>
    <row r="26" spans="1:53" x14ac:dyDescent="0.2">
      <c r="A26" s="63"/>
      <c r="B26" s="63"/>
      <c r="C26" s="41" t="s">
        <v>571</v>
      </c>
      <c r="D26" s="63"/>
      <c r="E26" s="27" t="s">
        <v>167</v>
      </c>
      <c r="F26" s="63"/>
      <c r="G26" s="23" t="s">
        <v>572</v>
      </c>
      <c r="H26" s="63"/>
      <c r="I26" s="63"/>
      <c r="J26" s="63"/>
      <c r="K26" s="63"/>
      <c r="L26" s="63"/>
      <c r="M26" s="23" t="s">
        <v>573</v>
      </c>
      <c r="N26" s="23"/>
      <c r="O26" s="23" t="str">
        <f>CONCATENATE(M26,IF(ISBLANK(N26),"","-"),N26)</f>
        <v>IT Application Owner (Source IT)</v>
      </c>
      <c r="P26" s="63"/>
      <c r="Q26" s="63"/>
      <c r="R26" s="63"/>
      <c r="S26" s="63"/>
      <c r="T26" s="63"/>
      <c r="U26" s="63"/>
      <c r="V26" s="63"/>
      <c r="W26" s="63"/>
      <c r="X26" s="63"/>
      <c r="Y26" s="63"/>
      <c r="Z26" s="63"/>
      <c r="AA26" s="63"/>
      <c r="AB26" s="63"/>
      <c r="AC26" s="63"/>
      <c r="AD26" s="63"/>
      <c r="AE26" s="63"/>
      <c r="AF26" s="63"/>
      <c r="AG26" s="63" t="s">
        <v>574</v>
      </c>
      <c r="AH26" s="63" t="s">
        <v>333</v>
      </c>
      <c r="AI26" s="63" t="s">
        <v>575</v>
      </c>
      <c r="AJ26" s="63" t="s">
        <v>576</v>
      </c>
      <c r="AK26" s="63"/>
      <c r="AL26" s="63"/>
      <c r="AM26" s="63" t="s">
        <v>577</v>
      </c>
      <c r="AN26" s="63" t="s">
        <v>578</v>
      </c>
      <c r="AO26" s="63" t="s">
        <v>579</v>
      </c>
      <c r="AP26" s="63" t="s">
        <v>580</v>
      </c>
      <c r="AQ26" s="63">
        <v>3</v>
      </c>
      <c r="AR26" s="63"/>
      <c r="AS26" s="63" t="s">
        <v>581</v>
      </c>
      <c r="AT26" s="63" t="s">
        <v>312</v>
      </c>
      <c r="AU26" s="63" t="s">
        <v>582</v>
      </c>
      <c r="AV26" s="63"/>
      <c r="AW26" s="63"/>
      <c r="AX26" s="63">
        <f>--ISNUMBER(IFERROR(SEARCH(Tempset!$M$4,AM26,1),""))</f>
        <v>1</v>
      </c>
      <c r="AY26" s="63">
        <f>IF(AX26=1,COUNTIF($AX$3:AX26,1),"")</f>
        <v>24</v>
      </c>
      <c r="AZ26" s="63" t="str">
        <f>IFERROR(INDEX($AM$3:$AM$1165,MATCH(ROWS($AY$3:AY26),$AY$3:$AY$1165,0)),"")</f>
        <v>agencyRMBSERCValue</v>
      </c>
      <c r="BA26" s="63"/>
    </row>
    <row r="27" spans="1:53" x14ac:dyDescent="0.2">
      <c r="A27" s="63"/>
      <c r="B27" s="63"/>
      <c r="C27" s="41" t="s">
        <v>583</v>
      </c>
      <c r="D27" s="63"/>
      <c r="E27" s="27" t="s">
        <v>168</v>
      </c>
      <c r="F27" s="63"/>
      <c r="G27" s="23" t="s">
        <v>584</v>
      </c>
      <c r="H27" s="63"/>
      <c r="I27" s="63"/>
      <c r="J27" s="63"/>
      <c r="K27" s="24" t="s">
        <v>585</v>
      </c>
      <c r="L27" s="63"/>
      <c r="M27" s="63"/>
      <c r="N27" s="63"/>
      <c r="O27" s="63"/>
      <c r="P27" s="63"/>
      <c r="Q27" s="63"/>
      <c r="R27" s="63"/>
      <c r="S27" s="63"/>
      <c r="T27" s="63"/>
      <c r="U27" s="63"/>
      <c r="V27" s="63"/>
      <c r="W27" s="63"/>
      <c r="X27" s="63"/>
      <c r="Y27" s="63"/>
      <c r="Z27" s="63"/>
      <c r="AA27" s="63"/>
      <c r="AB27" s="63"/>
      <c r="AC27" s="63"/>
      <c r="AD27" s="63"/>
      <c r="AE27" s="63"/>
      <c r="AF27" s="63"/>
      <c r="AG27" s="63" t="s">
        <v>586</v>
      </c>
      <c r="AH27" s="63" t="s">
        <v>333</v>
      </c>
      <c r="AI27" s="63" t="s">
        <v>587</v>
      </c>
      <c r="AJ27" s="63" t="s">
        <v>588</v>
      </c>
      <c r="AK27" s="63"/>
      <c r="AL27" s="63"/>
      <c r="AM27" s="63" t="s">
        <v>589</v>
      </c>
      <c r="AN27" s="63" t="s">
        <v>590</v>
      </c>
      <c r="AO27" s="63" t="s">
        <v>591</v>
      </c>
      <c r="AP27" s="63" t="s">
        <v>272</v>
      </c>
      <c r="AQ27" s="63">
        <v>3</v>
      </c>
      <c r="AR27" s="63"/>
      <c r="AS27" s="63" t="s">
        <v>592</v>
      </c>
      <c r="AT27" s="63" t="s">
        <v>312</v>
      </c>
      <c r="AU27" s="63" t="s">
        <v>593</v>
      </c>
      <c r="AV27" s="63"/>
      <c r="AW27" s="63"/>
      <c r="AX27" s="63">
        <f>--ISNUMBER(IFERROR(SEARCH(Tempset!$M$4,AM27,1),""))</f>
        <v>1</v>
      </c>
      <c r="AY27" s="63">
        <f>IF(AX27=1,COUNTIF($AX$3:AX27,1),"")</f>
        <v>25</v>
      </c>
      <c r="AZ27" s="63" t="str">
        <f>IFERROR(INDEX($AM$3:$AM$1165,MATCH(ROWS($AY$3:AY27),$AY$3:$AY$1165,0)),"")</f>
        <v>agreedMarginAmount</v>
      </c>
      <c r="BA27" s="63"/>
    </row>
    <row r="28" spans="1:53" x14ac:dyDescent="0.2">
      <c r="A28" s="63"/>
      <c r="B28" s="63"/>
      <c r="C28" s="63"/>
      <c r="D28" s="63"/>
      <c r="E28" s="63"/>
      <c r="F28" s="63"/>
      <c r="G28" s="23" t="s">
        <v>594</v>
      </c>
      <c r="H28" s="63"/>
      <c r="I28" s="63"/>
      <c r="J28" s="63"/>
      <c r="K28" s="23"/>
      <c r="L28" s="63"/>
      <c r="M28" s="63"/>
      <c r="N28" s="63"/>
      <c r="O28" s="63"/>
      <c r="P28" s="63"/>
      <c r="Q28" s="63"/>
      <c r="R28" s="63"/>
      <c r="S28" s="63"/>
      <c r="T28" s="63"/>
      <c r="U28" s="63"/>
      <c r="V28" s="63"/>
      <c r="W28" s="63"/>
      <c r="X28" s="63"/>
      <c r="Y28" s="63"/>
      <c r="Z28" s="63"/>
      <c r="AA28" s="63"/>
      <c r="AB28" s="63"/>
      <c r="AC28" s="63"/>
      <c r="AD28" s="63"/>
      <c r="AE28" s="63"/>
      <c r="AF28" s="63"/>
      <c r="AG28" s="63" t="s">
        <v>595</v>
      </c>
      <c r="AH28" s="63" t="s">
        <v>349</v>
      </c>
      <c r="AI28" s="63" t="s">
        <v>596</v>
      </c>
      <c r="AJ28" s="63" t="s">
        <v>597</v>
      </c>
      <c r="AK28" s="63"/>
      <c r="AL28" s="63"/>
      <c r="AM28" s="63" t="s">
        <v>598</v>
      </c>
      <c r="AN28" s="63" t="s">
        <v>599</v>
      </c>
      <c r="AO28" s="63" t="s">
        <v>600</v>
      </c>
      <c r="AP28" s="63" t="s">
        <v>407</v>
      </c>
      <c r="AQ28" s="63">
        <v>2</v>
      </c>
      <c r="AR28" s="63"/>
      <c r="AS28" s="63" t="s">
        <v>601</v>
      </c>
      <c r="AT28" s="63" t="s">
        <v>312</v>
      </c>
      <c r="AU28" s="63" t="s">
        <v>372</v>
      </c>
      <c r="AV28" s="63"/>
      <c r="AW28" s="63"/>
      <c r="AX28" s="63">
        <f>--ISNUMBER(IFERROR(SEARCH(Tempset!$M$4,AM28,1),""))</f>
        <v>1</v>
      </c>
      <c r="AY28" s="63">
        <f>IF(AX28=1,COUNTIF($AX$3:AX28,1),"")</f>
        <v>26</v>
      </c>
      <c r="AZ28" s="63" t="str">
        <f>IFERROR(INDEX($AM$3:$AM$1165,MATCH(ROWS($AY$3:AY28),$AY$3:$AY$1165,0)),"")</f>
        <v>agreementLifecycleStatus</v>
      </c>
      <c r="BA28" s="63"/>
    </row>
    <row r="29" spans="1:53" x14ac:dyDescent="0.2">
      <c r="A29" s="63"/>
      <c r="B29" s="63"/>
      <c r="C29" s="63"/>
      <c r="D29" s="63"/>
      <c r="E29" s="63"/>
      <c r="F29" s="63"/>
      <c r="G29" s="23" t="s">
        <v>602</v>
      </c>
      <c r="H29" s="63"/>
      <c r="I29" s="63"/>
      <c r="J29" s="63"/>
      <c r="K29" s="23" t="s">
        <v>603</v>
      </c>
      <c r="L29" s="63"/>
      <c r="M29" s="278" t="s">
        <v>604</v>
      </c>
      <c r="N29" s="279"/>
      <c r="O29" s="280"/>
      <c r="P29" s="63"/>
      <c r="Q29" s="63"/>
      <c r="R29" s="63"/>
      <c r="S29" s="63"/>
      <c r="T29" s="63"/>
      <c r="U29" s="63"/>
      <c r="V29" s="63"/>
      <c r="W29" s="63"/>
      <c r="X29" s="63"/>
      <c r="Y29" s="63"/>
      <c r="Z29" s="63"/>
      <c r="AA29" s="63"/>
      <c r="AB29" s="63"/>
      <c r="AC29" s="63"/>
      <c r="AD29" s="63"/>
      <c r="AE29" s="63"/>
      <c r="AF29" s="63"/>
      <c r="AG29" s="63"/>
      <c r="AH29" s="63" t="s">
        <v>364</v>
      </c>
      <c r="AI29" s="63" t="s">
        <v>605</v>
      </c>
      <c r="AJ29" s="63" t="s">
        <v>606</v>
      </c>
      <c r="AK29" s="63"/>
      <c r="AL29" s="63"/>
      <c r="AM29" s="63" t="s">
        <v>607</v>
      </c>
      <c r="AN29" s="63" t="s">
        <v>608</v>
      </c>
      <c r="AO29" s="63" t="s">
        <v>609</v>
      </c>
      <c r="AP29" s="63" t="s">
        <v>370</v>
      </c>
      <c r="AQ29" s="63">
        <v>3</v>
      </c>
      <c r="AR29" s="63"/>
      <c r="AS29" s="63" t="s">
        <v>610</v>
      </c>
      <c r="AT29" s="63" t="s">
        <v>312</v>
      </c>
      <c r="AU29" s="63" t="s">
        <v>274</v>
      </c>
      <c r="AV29" s="63"/>
      <c r="AW29" s="63"/>
      <c r="AX29" s="63">
        <f>--ISNUMBER(IFERROR(SEARCH(Tempset!$M$4,AM29,1),""))</f>
        <v>1</v>
      </c>
      <c r="AY29" s="63">
        <f>IF(AX29=1,COUNTIF($AX$3:AX29,1),"")</f>
        <v>27</v>
      </c>
      <c r="AZ29" s="63" t="str">
        <f>IFERROR(INDEX($AM$3:$AM$1165,MATCH(ROWS($AY$3:AY29),$AY$3:$AY$1165,0)),"")</f>
        <v>AIRBRiskWeightValue</v>
      </c>
      <c r="BA29" s="63"/>
    </row>
    <row r="30" spans="1:53" x14ac:dyDescent="0.2">
      <c r="A30" s="63"/>
      <c r="B30" s="63"/>
      <c r="C30" s="63"/>
      <c r="D30" s="63"/>
      <c r="E30" s="63"/>
      <c r="F30" s="63"/>
      <c r="G30" s="63"/>
      <c r="H30" s="63"/>
      <c r="I30" s="63"/>
      <c r="J30" s="63"/>
      <c r="K30" s="23" t="s">
        <v>611</v>
      </c>
      <c r="L30" s="63"/>
      <c r="M30" s="63" t="s">
        <v>612</v>
      </c>
      <c r="N30" s="63"/>
      <c r="O30" s="63"/>
      <c r="P30" s="63"/>
      <c r="Q30" s="63"/>
      <c r="R30" s="63"/>
      <c r="S30" s="63"/>
      <c r="T30" s="63"/>
      <c r="U30" s="63"/>
      <c r="V30" s="63"/>
      <c r="W30" s="63"/>
      <c r="X30" s="63"/>
      <c r="Y30" s="63"/>
      <c r="Z30" s="63"/>
      <c r="AA30" s="63"/>
      <c r="AB30" s="63"/>
      <c r="AC30" s="63"/>
      <c r="AD30" s="63"/>
      <c r="AE30" s="63"/>
      <c r="AF30" s="63"/>
      <c r="AG30" s="63"/>
      <c r="AH30" s="63" t="s">
        <v>364</v>
      </c>
      <c r="AI30" s="63" t="s">
        <v>613</v>
      </c>
      <c r="AJ30" s="63" t="s">
        <v>614</v>
      </c>
      <c r="AK30" s="63"/>
      <c r="AL30" s="63"/>
      <c r="AM30" s="63" t="s">
        <v>615</v>
      </c>
      <c r="AN30" s="63" t="s">
        <v>616</v>
      </c>
      <c r="AO30" s="63" t="s">
        <v>617</v>
      </c>
      <c r="AP30" s="63" t="s">
        <v>291</v>
      </c>
      <c r="AQ30" s="63">
        <v>1</v>
      </c>
      <c r="AR30" s="63"/>
      <c r="AS30" s="63" t="s">
        <v>618</v>
      </c>
      <c r="AT30" s="63" t="s">
        <v>312</v>
      </c>
      <c r="AU30" s="63" t="s">
        <v>619</v>
      </c>
      <c r="AV30" s="63"/>
      <c r="AW30" s="63"/>
      <c r="AX30" s="63">
        <f>--ISNUMBER(IFERROR(SEARCH(Tempset!$M$4,AM30,1),""))</f>
        <v>1</v>
      </c>
      <c r="AY30" s="63">
        <f>IF(AX30=1,COUNTIF($AX$3:AX30,1),"")</f>
        <v>28</v>
      </c>
      <c r="AZ30" s="63" t="str">
        <f>IFERROR(INDEX($AM$3:$AM$1165,MATCH(ROWS($AY$3:AY30),$AY$3:$AY$1165,0)),"")</f>
        <v>allocatedCoverValue</v>
      </c>
      <c r="BA30" s="63"/>
    </row>
    <row r="31" spans="1:53" x14ac:dyDescent="0.2">
      <c r="A31" s="63"/>
      <c r="B31" s="63"/>
      <c r="C31" s="63"/>
      <c r="D31" s="63"/>
      <c r="E31" s="24" t="s">
        <v>620</v>
      </c>
      <c r="F31" s="63"/>
      <c r="G31" s="63"/>
      <c r="H31" s="63"/>
      <c r="I31" s="63"/>
      <c r="J31" s="63"/>
      <c r="K31" s="23" t="s">
        <v>621</v>
      </c>
      <c r="L31" s="63"/>
      <c r="M31" s="63" t="s">
        <v>348</v>
      </c>
      <c r="N31" s="63"/>
      <c r="O31" s="63"/>
      <c r="P31" s="63"/>
      <c r="Q31" s="63"/>
      <c r="R31" s="63"/>
      <c r="S31" s="63"/>
      <c r="T31" s="63"/>
      <c r="U31" s="63"/>
      <c r="V31" s="63"/>
      <c r="W31" s="63"/>
      <c r="X31" s="63"/>
      <c r="Y31" s="63"/>
      <c r="Z31" s="63"/>
      <c r="AA31" s="63"/>
      <c r="AB31" s="63"/>
      <c r="AC31" s="63"/>
      <c r="AD31" s="63"/>
      <c r="AE31" s="63"/>
      <c r="AF31" s="63"/>
      <c r="AG31" s="63"/>
      <c r="AH31" s="63" t="s">
        <v>364</v>
      </c>
      <c r="AI31" s="63" t="s">
        <v>622</v>
      </c>
      <c r="AJ31" s="63" t="s">
        <v>623</v>
      </c>
      <c r="AK31" s="63"/>
      <c r="AL31" s="63"/>
      <c r="AM31" s="63" t="s">
        <v>624</v>
      </c>
      <c r="AN31" s="63" t="s">
        <v>625</v>
      </c>
      <c r="AO31" s="63" t="s">
        <v>626</v>
      </c>
      <c r="AP31" s="63" t="s">
        <v>627</v>
      </c>
      <c r="AQ31" s="63">
        <v>1</v>
      </c>
      <c r="AR31" s="63"/>
      <c r="AS31" s="63" t="s">
        <v>628</v>
      </c>
      <c r="AT31" s="63" t="s">
        <v>312</v>
      </c>
      <c r="AU31" s="63" t="s">
        <v>529</v>
      </c>
      <c r="AV31" s="63"/>
      <c r="AW31" s="63"/>
      <c r="AX31" s="63">
        <f>--ISNUMBER(IFERROR(SEARCH(Tempset!$M$4,AM31,1),""))</f>
        <v>1</v>
      </c>
      <c r="AY31" s="63">
        <f>IF(AX31=1,COUNTIF($AX$3:AX31,1),"")</f>
        <v>29</v>
      </c>
      <c r="AZ31" s="63" t="str">
        <f>IFERROR(INDEX($AM$3:$AM$1165,MATCH(ROWS($AY$3:AY31),$AY$3:$AY$1165,0)),"")</f>
        <v>allocatedQuotaValue</v>
      </c>
      <c r="BA31" s="63"/>
    </row>
    <row r="32" spans="1:53" x14ac:dyDescent="0.2">
      <c r="A32" s="63"/>
      <c r="B32" s="63"/>
      <c r="C32" s="63"/>
      <c r="D32" s="63"/>
      <c r="E32" s="23"/>
      <c r="F32" s="63"/>
      <c r="G32" s="63"/>
      <c r="H32" s="63"/>
      <c r="I32" s="63"/>
      <c r="J32" s="63"/>
      <c r="K32" s="23" t="s">
        <v>629</v>
      </c>
      <c r="L32" s="63"/>
      <c r="M32" s="63"/>
      <c r="N32" s="63"/>
      <c r="O32" s="63"/>
      <c r="P32" s="63"/>
      <c r="Q32" s="63"/>
      <c r="R32" s="63"/>
      <c r="S32" s="63"/>
      <c r="T32" s="63"/>
      <c r="U32" s="63"/>
      <c r="V32" s="63"/>
      <c r="W32" s="63"/>
      <c r="X32" s="63"/>
      <c r="Y32" s="63"/>
      <c r="Z32" s="63"/>
      <c r="AA32" s="63"/>
      <c r="AB32" s="63"/>
      <c r="AC32" s="63"/>
      <c r="AD32" s="63"/>
      <c r="AE32" s="63"/>
      <c r="AF32" s="63"/>
      <c r="AG32" s="63"/>
      <c r="AH32" s="63" t="s">
        <v>378</v>
      </c>
      <c r="AI32" s="63" t="s">
        <v>630</v>
      </c>
      <c r="AJ32" s="63" t="s">
        <v>631</v>
      </c>
      <c r="AK32" s="63"/>
      <c r="AL32" s="63"/>
      <c r="AM32" s="63" t="s">
        <v>632</v>
      </c>
      <c r="AN32" s="63" t="s">
        <v>633</v>
      </c>
      <c r="AO32" s="63" t="s">
        <v>634</v>
      </c>
      <c r="AP32" s="63" t="s">
        <v>383</v>
      </c>
      <c r="AQ32" s="63">
        <v>2</v>
      </c>
      <c r="AR32" s="63"/>
      <c r="AS32" s="63" t="s">
        <v>635</v>
      </c>
      <c r="AT32" s="63" t="s">
        <v>312</v>
      </c>
      <c r="AU32" s="63" t="s">
        <v>636</v>
      </c>
      <c r="AV32" s="63"/>
      <c r="AW32" s="63"/>
      <c r="AX32" s="63">
        <f>--ISNUMBER(IFERROR(SEARCH(Tempset!$M$4,AM32,1),""))</f>
        <v>1</v>
      </c>
      <c r="AY32" s="63">
        <f>IF(AX32=1,COUNTIF($AX$3:AX32,1),"")</f>
        <v>30</v>
      </c>
      <c r="AZ32" s="63" t="str">
        <f>IFERROR(INDEX($AM$3:$AM$1165,MATCH(ROWS($AY$3:AY32),$AY$3:$AY$1165,0)),"")</f>
        <v>allowedProductsUnderLimit</v>
      </c>
      <c r="BA32" s="63"/>
    </row>
    <row r="33" spans="3:53" x14ac:dyDescent="0.2">
      <c r="C33" s="63"/>
      <c r="D33" s="63"/>
      <c r="E33" s="23" t="s">
        <v>637</v>
      </c>
      <c r="F33" s="63"/>
      <c r="G33" s="63"/>
      <c r="H33" s="63"/>
      <c r="I33" s="63"/>
      <c r="J33" s="63"/>
      <c r="K33" s="23" t="s">
        <v>638</v>
      </c>
      <c r="L33" s="63"/>
      <c r="M33" s="63"/>
      <c r="N33" s="63"/>
      <c r="O33" s="63"/>
      <c r="P33" s="63"/>
      <c r="Q33" s="63"/>
      <c r="R33" s="63"/>
      <c r="S33" s="63"/>
      <c r="T33" s="63"/>
      <c r="U33" s="63"/>
      <c r="V33" s="63"/>
      <c r="W33" s="63"/>
      <c r="X33" s="63"/>
      <c r="Y33" s="63"/>
      <c r="Z33" s="63"/>
      <c r="AA33" s="63"/>
      <c r="AB33" s="63"/>
      <c r="AC33" s="63"/>
      <c r="AD33" s="63"/>
      <c r="AE33" s="63"/>
      <c r="AF33" s="63"/>
      <c r="AG33" s="63"/>
      <c r="AH33" s="63" t="s">
        <v>378</v>
      </c>
      <c r="AI33" s="63" t="s">
        <v>639</v>
      </c>
      <c r="AJ33" s="63" t="s">
        <v>640</v>
      </c>
      <c r="AK33" s="63"/>
      <c r="AL33" s="63"/>
      <c r="AM33" s="63" t="s">
        <v>641</v>
      </c>
      <c r="AN33" s="63" t="s">
        <v>642</v>
      </c>
      <c r="AO33" s="63" t="s">
        <v>340</v>
      </c>
      <c r="AP33" s="63" t="s">
        <v>407</v>
      </c>
      <c r="AQ33" s="63">
        <v>2</v>
      </c>
      <c r="AR33" s="63"/>
      <c r="AS33" s="63" t="s">
        <v>408</v>
      </c>
      <c r="AT33" s="63" t="s">
        <v>312</v>
      </c>
      <c r="AU33" s="63" t="str">
        <f>CONCATENATE(AU21,",",AU22,",",AU23,",",AU24,",",AU25,",",AU26,",",AU27,",",AU28,",",AU30,",",AU30,",",AU32)</f>
        <v>Luxembourg,Austria,Qatar,Italy,England and Wales, United Kingdom,Mexico,Saudi Arabia,Delaware, USA,Zurich, Switzerland,Zurich, Switzerland,Liechtenstein, Liechtenstein</v>
      </c>
      <c r="AV33" s="63"/>
      <c r="AW33" s="63"/>
      <c r="AX33" s="63">
        <f>--ISNUMBER(IFERROR(SEARCH(Tempset!$M$4,AM33,1),""))</f>
        <v>1</v>
      </c>
      <c r="AY33" s="63">
        <f>IF(AX33=1,COUNTIF($AX$3:AX33,1),"")</f>
        <v>31</v>
      </c>
      <c r="AZ33" s="63" t="str">
        <f>IFERROR(INDEX($AM$3:$AM$1165,MATCH(ROWS($AY$3:AY33),$AY$3:$AY$1165,0)),"")</f>
        <v>alpha</v>
      </c>
      <c r="BA33" s="63"/>
    </row>
    <row r="34" spans="3:53" x14ac:dyDescent="0.2">
      <c r="C34" s="63"/>
      <c r="D34" s="63"/>
      <c r="E34" s="23" t="s">
        <v>643</v>
      </c>
      <c r="F34" s="63"/>
      <c r="G34" s="63"/>
      <c r="H34" s="63"/>
      <c r="I34" s="63"/>
      <c r="J34" s="63"/>
      <c r="K34" s="23" t="s">
        <v>644</v>
      </c>
      <c r="L34" s="63"/>
      <c r="M34" s="278" t="s">
        <v>645</v>
      </c>
      <c r="N34" s="279"/>
      <c r="O34" s="280"/>
      <c r="P34" s="63"/>
      <c r="Q34" s="63"/>
      <c r="R34" s="63"/>
      <c r="S34" s="63"/>
      <c r="T34" s="63"/>
      <c r="U34" s="63"/>
      <c r="V34" s="63"/>
      <c r="W34" s="63"/>
      <c r="X34" s="63"/>
      <c r="Y34" s="63"/>
      <c r="Z34" s="63"/>
      <c r="AA34" s="63"/>
      <c r="AB34" s="63"/>
      <c r="AC34" s="63"/>
      <c r="AD34" s="63"/>
      <c r="AE34" s="63"/>
      <c r="AF34" s="63"/>
      <c r="AG34" s="63"/>
      <c r="AH34" s="63" t="s">
        <v>378</v>
      </c>
      <c r="AI34" s="63" t="s">
        <v>646</v>
      </c>
      <c r="AJ34" s="63" t="s">
        <v>647</v>
      </c>
      <c r="AK34" s="63"/>
      <c r="AL34" s="63"/>
      <c r="AM34" s="63" t="s">
        <v>648</v>
      </c>
      <c r="AN34" s="63" t="s">
        <v>649</v>
      </c>
      <c r="AO34" s="63" t="s">
        <v>650</v>
      </c>
      <c r="AP34" s="63" t="s">
        <v>370</v>
      </c>
      <c r="AQ34" s="63">
        <v>2</v>
      </c>
      <c r="AR34" s="63"/>
      <c r="AS34" s="63" t="s">
        <v>423</v>
      </c>
      <c r="AT34" s="63" t="s">
        <v>312</v>
      </c>
      <c r="AU34" s="63" t="s">
        <v>423</v>
      </c>
      <c r="AV34" s="63"/>
      <c r="AW34" s="63"/>
      <c r="AX34" s="63">
        <f>--ISNUMBER(IFERROR(SEARCH(Tempset!$M$4,AM34,1),""))</f>
        <v>1</v>
      </c>
      <c r="AY34" s="63">
        <f>IF(AX34=1,COUNTIF($AX$3:AX34,1),"")</f>
        <v>32</v>
      </c>
      <c r="AZ34" s="63" t="str">
        <f>IFERROR(INDEX($AM$3:$AM$1165,MATCH(ROWS($AY$3:AY34),$AY$3:$AY$1165,0)),"")</f>
        <v>amortizationAmount</v>
      </c>
      <c r="BA34" s="63"/>
    </row>
    <row r="35" spans="3:53" x14ac:dyDescent="0.2">
      <c r="C35" s="63"/>
      <c r="D35" s="63"/>
      <c r="E35" s="23" t="s">
        <v>651</v>
      </c>
      <c r="F35" s="63"/>
      <c r="G35" s="63"/>
      <c r="H35" s="63"/>
      <c r="I35" s="63"/>
      <c r="J35" s="63"/>
      <c r="K35" s="23" t="s">
        <v>652</v>
      </c>
      <c r="L35" s="63"/>
      <c r="M35" s="63" t="s">
        <v>653</v>
      </c>
      <c r="N35" s="63"/>
      <c r="O35" s="63"/>
      <c r="P35" s="63"/>
      <c r="Q35" s="63"/>
      <c r="R35" s="63"/>
      <c r="S35" s="63"/>
      <c r="T35" s="63"/>
      <c r="U35" s="63"/>
      <c r="V35" s="63"/>
      <c r="W35" s="63"/>
      <c r="X35" s="63"/>
      <c r="Y35" s="63"/>
      <c r="Z35" s="63"/>
      <c r="AA35" s="63"/>
      <c r="AB35" s="63"/>
      <c r="AC35" s="63"/>
      <c r="AD35" s="63"/>
      <c r="AE35" s="63"/>
      <c r="AF35" s="63"/>
      <c r="AG35" s="63"/>
      <c r="AH35" s="63" t="s">
        <v>378</v>
      </c>
      <c r="AI35" s="63" t="s">
        <v>654</v>
      </c>
      <c r="AJ35" s="63" t="s">
        <v>655</v>
      </c>
      <c r="AK35" s="63"/>
      <c r="AL35" s="63"/>
      <c r="AM35" s="63" t="s">
        <v>656</v>
      </c>
      <c r="AN35" s="63" t="s">
        <v>657</v>
      </c>
      <c r="AO35" s="63" t="s">
        <v>658</v>
      </c>
      <c r="AP35" s="63" t="s">
        <v>370</v>
      </c>
      <c r="AQ35" s="63">
        <v>3</v>
      </c>
      <c r="AR35" s="63"/>
      <c r="AS35" s="63" t="s">
        <v>659</v>
      </c>
      <c r="AT35" s="63" t="s">
        <v>327</v>
      </c>
      <c r="AU35" s="63" t="s">
        <v>619</v>
      </c>
      <c r="AV35" s="63"/>
      <c r="AW35" s="63"/>
      <c r="AX35" s="63">
        <f>--ISNUMBER(IFERROR(SEARCH(Tempset!$M$4,AM35,1),""))</f>
        <v>1</v>
      </c>
      <c r="AY35" s="63">
        <f>IF(AX35=1,COUNTIF($AX$3:AX35,1),"")</f>
        <v>33</v>
      </c>
      <c r="AZ35" s="63" t="str">
        <f>IFERROR(INDEX($AM$3:$AM$1165,MATCH(ROWS($AY$3:AY35),$AY$3:$AY$1165,0)),"")</f>
        <v>amortizationSchedule</v>
      </c>
      <c r="BA35" s="63"/>
    </row>
    <row r="36" spans="3:53" x14ac:dyDescent="0.2">
      <c r="C36" s="63"/>
      <c r="D36" s="63"/>
      <c r="E36" s="23" t="s">
        <v>660</v>
      </c>
      <c r="F36" s="63"/>
      <c r="G36" s="63"/>
      <c r="H36" s="63"/>
      <c r="I36" s="63"/>
      <c r="J36" s="63"/>
      <c r="K36" s="23" t="s">
        <v>661</v>
      </c>
      <c r="L36" s="63"/>
      <c r="M36" s="63" t="s">
        <v>662</v>
      </c>
      <c r="N36" s="63"/>
      <c r="O36" s="63"/>
      <c r="P36" s="63"/>
      <c r="Q36" s="63"/>
      <c r="R36" s="63"/>
      <c r="S36" s="63"/>
      <c r="T36" s="63"/>
      <c r="U36" s="63"/>
      <c r="V36" s="63"/>
      <c r="W36" s="63"/>
      <c r="X36" s="63"/>
      <c r="Y36" s="63"/>
      <c r="Z36" s="63"/>
      <c r="AA36" s="63"/>
      <c r="AB36" s="63"/>
      <c r="AC36" s="63"/>
      <c r="AD36" s="63"/>
      <c r="AE36" s="63"/>
      <c r="AF36" s="63"/>
      <c r="AG36" s="63"/>
      <c r="AH36" s="63" t="s">
        <v>378</v>
      </c>
      <c r="AI36" s="63" t="s">
        <v>663</v>
      </c>
      <c r="AJ36" s="63" t="s">
        <v>664</v>
      </c>
      <c r="AK36" s="63"/>
      <c r="AL36" s="63"/>
      <c r="AM36" s="63" t="s">
        <v>665</v>
      </c>
      <c r="AN36" s="63" t="s">
        <v>666</v>
      </c>
      <c r="AO36" s="63" t="s">
        <v>667</v>
      </c>
      <c r="AP36" s="63" t="s">
        <v>668</v>
      </c>
      <c r="AQ36" s="63">
        <v>3</v>
      </c>
      <c r="AR36" s="63"/>
      <c r="AS36" s="63" t="s">
        <v>669</v>
      </c>
      <c r="AT36" s="63" t="s">
        <v>327</v>
      </c>
      <c r="AU36" s="63" t="s">
        <v>619</v>
      </c>
      <c r="AV36" s="63"/>
      <c r="AW36" s="63"/>
      <c r="AX36" s="63">
        <f>--ISNUMBER(IFERROR(SEARCH(Tempset!$M$4,AM36,1),""))</f>
        <v>1</v>
      </c>
      <c r="AY36" s="63">
        <f>IF(AX36=1,COUNTIF($AX$3:AX36,1),"")</f>
        <v>34</v>
      </c>
      <c r="AZ36" s="63" t="str">
        <f>IFERROR(INDEX($AM$3:$AM$1165,MATCH(ROWS($AY$3:AY36),$AY$3:$AY$1165,0)),"")</f>
        <v>amortizedNotional</v>
      </c>
      <c r="BA36" s="63"/>
    </row>
    <row r="37" spans="3:53" x14ac:dyDescent="0.2">
      <c r="C37" s="63"/>
      <c r="D37" s="63"/>
      <c r="E37" s="63"/>
      <c r="F37" s="63"/>
      <c r="G37" s="63"/>
      <c r="H37" s="63"/>
      <c r="I37" s="63"/>
      <c r="J37" s="63"/>
      <c r="K37" s="23" t="s">
        <v>670</v>
      </c>
      <c r="L37" s="63"/>
      <c r="M37" s="63"/>
      <c r="N37" s="63"/>
      <c r="O37" s="63"/>
      <c r="P37" s="63"/>
      <c r="Q37" s="63"/>
      <c r="R37" s="63"/>
      <c r="S37" s="63"/>
      <c r="T37" s="63"/>
      <c r="U37" s="63"/>
      <c r="V37" s="63"/>
      <c r="W37" s="63"/>
      <c r="X37" s="63"/>
      <c r="Y37" s="63"/>
      <c r="Z37" s="63"/>
      <c r="AA37" s="63"/>
      <c r="AB37" s="63"/>
      <c r="AC37" s="63"/>
      <c r="AD37" s="63"/>
      <c r="AE37" s="63"/>
      <c r="AF37" s="63"/>
      <c r="AG37" s="63"/>
      <c r="AH37" s="63" t="s">
        <v>378</v>
      </c>
      <c r="AI37" s="63" t="s">
        <v>671</v>
      </c>
      <c r="AJ37" s="63" t="s">
        <v>672</v>
      </c>
      <c r="AK37" s="63"/>
      <c r="AL37" s="63"/>
      <c r="AM37" s="63" t="s">
        <v>673</v>
      </c>
      <c r="AN37" s="63" t="s">
        <v>674</v>
      </c>
      <c r="AO37" s="63" t="s">
        <v>675</v>
      </c>
      <c r="AP37" s="63" t="s">
        <v>538</v>
      </c>
      <c r="AQ37" s="63">
        <v>3</v>
      </c>
      <c r="AR37" s="63"/>
      <c r="AS37" s="63" t="s">
        <v>676</v>
      </c>
      <c r="AT37" s="63" t="s">
        <v>327</v>
      </c>
      <c r="AU37" s="63" t="s">
        <v>619</v>
      </c>
      <c r="AV37" s="63"/>
      <c r="AW37" s="63"/>
      <c r="AX37" s="63">
        <f>--ISNUMBER(IFERROR(SEARCH(Tempset!$M$4,AM37,1),""))</f>
        <v>1</v>
      </c>
      <c r="AY37" s="63">
        <f>IF(AX37=1,COUNTIF($AX$3:AX37,1),"")</f>
        <v>35</v>
      </c>
      <c r="AZ37" s="63" t="str">
        <f>IFERROR(INDEX($AM$3:$AM$1165,MATCH(ROWS($AY$3:AY37),$AY$3:$AY$1165,0)),"")</f>
        <v>amountOutstanding</v>
      </c>
      <c r="BA37" s="63"/>
    </row>
    <row r="38" spans="3:53" x14ac:dyDescent="0.2">
      <c r="C38" s="63"/>
      <c r="D38" s="63"/>
      <c r="E38" s="24" t="s">
        <v>677</v>
      </c>
      <c r="F38" s="63"/>
      <c r="G38" s="63"/>
      <c r="H38" s="63"/>
      <c r="I38" s="63"/>
      <c r="J38" s="63"/>
      <c r="K38" s="23" t="s">
        <v>79</v>
      </c>
      <c r="L38" s="63"/>
      <c r="M38" s="63"/>
      <c r="N38" s="63"/>
      <c r="O38" s="63"/>
      <c r="P38" s="63"/>
      <c r="Q38" s="63"/>
      <c r="R38" s="63"/>
      <c r="S38" s="63"/>
      <c r="T38" s="63"/>
      <c r="U38" s="63"/>
      <c r="V38" s="63"/>
      <c r="W38" s="63"/>
      <c r="X38" s="63"/>
      <c r="Y38" s="63"/>
      <c r="Z38" s="63"/>
      <c r="AA38" s="63"/>
      <c r="AB38" s="63"/>
      <c r="AC38" s="63"/>
      <c r="AD38" s="63"/>
      <c r="AE38" s="63"/>
      <c r="AF38" s="63"/>
      <c r="AG38" s="63"/>
      <c r="AH38" s="63" t="s">
        <v>378</v>
      </c>
      <c r="AI38" s="63" t="s">
        <v>678</v>
      </c>
      <c r="AJ38" s="63" t="s">
        <v>679</v>
      </c>
      <c r="AK38" s="63"/>
      <c r="AL38" s="63"/>
      <c r="AM38" s="63" t="s">
        <v>680</v>
      </c>
      <c r="AN38" s="63" t="s">
        <v>681</v>
      </c>
      <c r="AO38" s="63" t="s">
        <v>682</v>
      </c>
      <c r="AP38" s="63" t="s">
        <v>569</v>
      </c>
      <c r="AQ38" s="63">
        <v>2</v>
      </c>
      <c r="AR38" s="63"/>
      <c r="AS38" s="63" t="s">
        <v>683</v>
      </c>
      <c r="AT38" s="63" t="s">
        <v>327</v>
      </c>
      <c r="AU38" s="63" t="s">
        <v>619</v>
      </c>
      <c r="AV38" s="63"/>
      <c r="AW38" s="63"/>
      <c r="AX38" s="63">
        <f>--ISNUMBER(IFERROR(SEARCH(Tempset!$M$4,AM38,1),""))</f>
        <v>1</v>
      </c>
      <c r="AY38" s="63">
        <f>IF(AX38=1,COUNTIF($AX$3:AX38,1),"")</f>
        <v>36</v>
      </c>
      <c r="AZ38" s="63" t="str">
        <f>IFERROR(INDEX($AM$3:$AM$1165,MATCH(ROWS($AY$3:AY38),$AY$3:$AY$1165,0)),"")</f>
        <v>amtAddRiskRprtngCcy</v>
      </c>
      <c r="BA38" s="63"/>
    </row>
    <row r="39" spans="3:53" x14ac:dyDescent="0.2">
      <c r="C39" s="24" t="s">
        <v>684</v>
      </c>
      <c r="D39" s="63"/>
      <c r="E39" s="23"/>
      <c r="F39" s="63"/>
      <c r="G39" s="63"/>
      <c r="H39" s="63"/>
      <c r="I39" s="63"/>
      <c r="J39" s="63"/>
      <c r="K39" s="23" t="s">
        <v>685</v>
      </c>
      <c r="L39" s="63"/>
      <c r="M39" s="24" t="s">
        <v>686</v>
      </c>
      <c r="N39" s="63"/>
      <c r="O39" s="63"/>
      <c r="P39" s="63"/>
      <c r="Q39" s="63"/>
      <c r="R39" s="63"/>
      <c r="S39" s="63"/>
      <c r="T39" s="63"/>
      <c r="U39" s="63"/>
      <c r="V39" s="63"/>
      <c r="W39" s="63"/>
      <c r="X39" s="63"/>
      <c r="Y39" s="63"/>
      <c r="Z39" s="63"/>
      <c r="AA39" s="63"/>
      <c r="AB39" s="63"/>
      <c r="AC39" s="63"/>
      <c r="AD39" s="63"/>
      <c r="AE39" s="63"/>
      <c r="AF39" s="63"/>
      <c r="AG39" s="63"/>
      <c r="AH39" s="63" t="s">
        <v>378</v>
      </c>
      <c r="AI39" s="63" t="s">
        <v>687</v>
      </c>
      <c r="AJ39" s="63" t="s">
        <v>688</v>
      </c>
      <c r="AK39" s="63"/>
      <c r="AL39" s="63"/>
      <c r="AM39" s="63" t="s">
        <v>689</v>
      </c>
      <c r="AN39" s="63" t="s">
        <v>690</v>
      </c>
      <c r="AO39" s="63" t="s">
        <v>691</v>
      </c>
      <c r="AP39" s="63" t="s">
        <v>692</v>
      </c>
      <c r="AQ39" s="63">
        <v>1</v>
      </c>
      <c r="AR39" s="63"/>
      <c r="AS39" s="63" t="s">
        <v>693</v>
      </c>
      <c r="AT39" s="63" t="s">
        <v>327</v>
      </c>
      <c r="AU39" s="63" t="s">
        <v>619</v>
      </c>
      <c r="AV39" s="63"/>
      <c r="AW39" s="63"/>
      <c r="AX39" s="63">
        <f>--ISNUMBER(IFERROR(SEARCH(Tempset!$M$4,AM39,1),""))</f>
        <v>1</v>
      </c>
      <c r="AY39" s="63">
        <f>IF(AX39=1,COUNTIF($AX$3:AX39,1),"")</f>
        <v>37</v>
      </c>
      <c r="AZ39" s="63" t="str">
        <f>IFERROR(INDEX($AM$3:$AM$1165,MATCH(ROWS($AY$3:AY39),$AY$3:$AY$1165,0)),"")</f>
        <v>analyticDelta</v>
      </c>
      <c r="BA39" s="63"/>
    </row>
    <row r="40" spans="3:53" x14ac:dyDescent="0.2">
      <c r="C40" s="23" t="s">
        <v>454</v>
      </c>
      <c r="D40" s="63"/>
      <c r="E40" s="23" t="s">
        <v>694</v>
      </c>
      <c r="F40" s="63"/>
      <c r="G40" s="63"/>
      <c r="H40" s="63"/>
      <c r="I40" s="63"/>
      <c r="J40" s="63"/>
      <c r="K40" s="23" t="s">
        <v>695</v>
      </c>
      <c r="L40" s="63"/>
      <c r="M40" s="23"/>
      <c r="N40" s="63"/>
      <c r="O40" s="63"/>
      <c r="P40" s="63"/>
      <c r="Q40" s="63"/>
      <c r="R40" s="63"/>
      <c r="S40" s="63"/>
      <c r="T40" s="63"/>
      <c r="U40" s="63"/>
      <c r="V40" s="63"/>
      <c r="W40" s="63"/>
      <c r="X40" s="63"/>
      <c r="Y40" s="63"/>
      <c r="Z40" s="63"/>
      <c r="AA40" s="63"/>
      <c r="AB40" s="63"/>
      <c r="AC40" s="63"/>
      <c r="AD40" s="63"/>
      <c r="AE40" s="63"/>
      <c r="AF40" s="63"/>
      <c r="AG40" s="63"/>
      <c r="AH40" s="63" t="s">
        <v>391</v>
      </c>
      <c r="AI40" s="63" t="s">
        <v>696</v>
      </c>
      <c r="AJ40" s="63" t="s">
        <v>697</v>
      </c>
      <c r="AK40" s="63"/>
      <c r="AL40" s="63"/>
      <c r="AM40" s="63" t="s">
        <v>698</v>
      </c>
      <c r="AN40" s="63" t="s">
        <v>699</v>
      </c>
      <c r="AO40" s="63" t="s">
        <v>700</v>
      </c>
      <c r="AP40" s="63" t="s">
        <v>668</v>
      </c>
      <c r="AQ40" s="63">
        <v>1</v>
      </c>
      <c r="AR40" s="63"/>
      <c r="AS40" s="63" t="s">
        <v>408</v>
      </c>
      <c r="AT40" s="63" t="s">
        <v>327</v>
      </c>
      <c r="AU40" s="63" t="s">
        <v>619</v>
      </c>
      <c r="AV40" s="63"/>
      <c r="AW40" s="63"/>
      <c r="AX40" s="63">
        <f>--ISNUMBER(IFERROR(SEARCH(Tempset!$M$4,AM40,1),""))</f>
        <v>1</v>
      </c>
      <c r="AY40" s="63">
        <f>IF(AX40=1,COUNTIF($AX$3:AX40,1),"")</f>
        <v>38</v>
      </c>
      <c r="AZ40" s="63" t="str">
        <f>IFERROR(INDEX($AM$3:$AM$1165,MATCH(ROWS($AY$3:AY40),$AY$3:$AY$1165,0)),"")</f>
        <v>annualizationFactor</v>
      </c>
      <c r="BA40" s="63"/>
    </row>
    <row r="41" spans="3:53" x14ac:dyDescent="0.2">
      <c r="C41" s="23" t="s">
        <v>701</v>
      </c>
      <c r="D41" s="63"/>
      <c r="E41" s="23" t="s">
        <v>702</v>
      </c>
      <c r="F41" s="63"/>
      <c r="G41" s="63"/>
      <c r="H41" s="63"/>
      <c r="I41" s="63"/>
      <c r="J41" s="63"/>
      <c r="K41" s="23" t="s">
        <v>120</v>
      </c>
      <c r="L41" s="63"/>
      <c r="M41" s="23" t="s">
        <v>343</v>
      </c>
      <c r="N41" s="63"/>
      <c r="O41" s="63"/>
      <c r="P41" s="63"/>
      <c r="Q41" s="63"/>
      <c r="R41" s="63"/>
      <c r="S41" s="63"/>
      <c r="T41" s="63"/>
      <c r="U41" s="63"/>
      <c r="V41" s="63"/>
      <c r="W41" s="63"/>
      <c r="X41" s="63"/>
      <c r="Y41" s="63"/>
      <c r="Z41" s="63"/>
      <c r="AA41" s="63"/>
      <c r="AB41" s="63"/>
      <c r="AC41" s="63"/>
      <c r="AD41" s="63"/>
      <c r="AE41" s="63"/>
      <c r="AF41" s="63"/>
      <c r="AG41" s="63"/>
      <c r="AH41" s="63" t="s">
        <v>401</v>
      </c>
      <c r="AI41" s="63" t="s">
        <v>703</v>
      </c>
      <c r="AJ41" s="63" t="s">
        <v>704</v>
      </c>
      <c r="AK41" s="63"/>
      <c r="AL41" s="63"/>
      <c r="AM41" s="63" t="s">
        <v>705</v>
      </c>
      <c r="AN41" s="63" t="s">
        <v>706</v>
      </c>
      <c r="AO41" s="63" t="s">
        <v>707</v>
      </c>
      <c r="AP41" s="63" t="s">
        <v>355</v>
      </c>
      <c r="AQ41" s="63">
        <v>2</v>
      </c>
      <c r="AR41" s="63"/>
      <c r="AS41" s="63" t="s">
        <v>423</v>
      </c>
      <c r="AT41" s="63" t="s">
        <v>327</v>
      </c>
      <c r="AU41" s="63" t="s">
        <v>423</v>
      </c>
      <c r="AV41" s="63"/>
      <c r="AW41" s="63"/>
      <c r="AX41" s="63">
        <f>--ISNUMBER(IFERROR(SEARCH(Tempset!$M$4,AM41,1),""))</f>
        <v>1</v>
      </c>
      <c r="AY41" s="63">
        <f>IF(AX41=1,COUNTIF($AX$3:AX41,1),"")</f>
        <v>39</v>
      </c>
      <c r="AZ41" s="63" t="str">
        <f>IFERROR(INDEX($AM$3:$AM$1165,MATCH(ROWS($AY$3:AY41),$AY$3:$AY$1165,0)),"")</f>
        <v>APACClientIndustryCode</v>
      </c>
      <c r="BA41" s="63"/>
    </row>
    <row r="42" spans="3:53" x14ac:dyDescent="0.2">
      <c r="C42" s="23" t="s">
        <v>708</v>
      </c>
      <c r="D42" s="63"/>
      <c r="E42" s="23" t="s">
        <v>709</v>
      </c>
      <c r="F42" s="63"/>
      <c r="G42" s="63"/>
      <c r="H42" s="63"/>
      <c r="I42" s="63"/>
      <c r="J42" s="63"/>
      <c r="K42" s="23" t="s">
        <v>710</v>
      </c>
      <c r="L42" s="63"/>
      <c r="M42" s="23" t="s">
        <v>360</v>
      </c>
      <c r="N42" s="63"/>
      <c r="O42" s="63"/>
      <c r="P42" s="63"/>
      <c r="Q42" s="63"/>
      <c r="R42" s="63"/>
      <c r="S42" s="63"/>
      <c r="T42" s="63"/>
      <c r="U42" s="63"/>
      <c r="V42" s="63"/>
      <c r="W42" s="63"/>
      <c r="X42" s="63"/>
      <c r="Y42" s="63"/>
      <c r="Z42" s="63"/>
      <c r="AA42" s="63"/>
      <c r="AB42" s="63"/>
      <c r="AC42" s="63"/>
      <c r="AD42" s="63"/>
      <c r="AE42" s="63"/>
      <c r="AF42" s="63"/>
      <c r="AG42" s="63"/>
      <c r="AH42" s="63" t="s">
        <v>401</v>
      </c>
      <c r="AI42" s="63" t="s">
        <v>711</v>
      </c>
      <c r="AJ42" s="63" t="s">
        <v>712</v>
      </c>
      <c r="AK42" s="63"/>
      <c r="AL42" s="63"/>
      <c r="AM42" s="63" t="s">
        <v>713</v>
      </c>
      <c r="AN42" s="63" t="s">
        <v>714</v>
      </c>
      <c r="AO42" s="63" t="s">
        <v>715</v>
      </c>
      <c r="AP42" s="63" t="s">
        <v>580</v>
      </c>
      <c r="AQ42" s="63">
        <v>4</v>
      </c>
      <c r="AR42" s="63"/>
      <c r="AS42" s="63" t="s">
        <v>373</v>
      </c>
      <c r="AT42" s="63" t="s">
        <v>341</v>
      </c>
      <c r="AU42" s="63" t="s">
        <v>619</v>
      </c>
      <c r="AV42" s="63"/>
      <c r="AW42" s="63"/>
      <c r="AX42" s="63">
        <f>--ISNUMBER(IFERROR(SEARCH(Tempset!$M$4,AM42,1),""))</f>
        <v>1</v>
      </c>
      <c r="AY42" s="63">
        <f>IF(AX42=1,COUNTIF($AX$3:AX42,1),"")</f>
        <v>40</v>
      </c>
      <c r="AZ42" s="63" t="str">
        <f>IFERROR(INDEX($AM$3:$AM$1165,MATCH(ROWS($AY$3:AY42),$AY$3:$AY$1165,0)),"")</f>
        <v>appliedFundRiskWeight</v>
      </c>
      <c r="BA42" s="63"/>
    </row>
    <row r="43" spans="3:53" x14ac:dyDescent="0.2">
      <c r="C43" s="23" t="s">
        <v>716</v>
      </c>
      <c r="D43" s="63"/>
      <c r="E43" s="23" t="s">
        <v>717</v>
      </c>
      <c r="F43" s="63"/>
      <c r="G43" s="63"/>
      <c r="H43" s="63"/>
      <c r="I43" s="63"/>
      <c r="J43" s="63"/>
      <c r="K43" s="23" t="s">
        <v>718</v>
      </c>
      <c r="L43" s="63"/>
      <c r="M43" s="23" t="s">
        <v>375</v>
      </c>
      <c r="N43" s="63"/>
      <c r="O43" s="63"/>
      <c r="P43" s="63"/>
      <c r="Q43" s="63"/>
      <c r="R43" s="63"/>
      <c r="S43" s="63"/>
      <c r="T43" s="63"/>
      <c r="U43" s="63"/>
      <c r="V43" s="63"/>
      <c r="W43" s="63"/>
      <c r="X43" s="63"/>
      <c r="Y43" s="63"/>
      <c r="Z43" s="63"/>
      <c r="AA43" s="63"/>
      <c r="AB43" s="63"/>
      <c r="AC43" s="63"/>
      <c r="AD43" s="63"/>
      <c r="AE43" s="63"/>
      <c r="AF43" s="63"/>
      <c r="AG43" s="63"/>
      <c r="AH43" s="63" t="s">
        <v>401</v>
      </c>
      <c r="AI43" s="63" t="s">
        <v>719</v>
      </c>
      <c r="AJ43" s="63" t="s">
        <v>720</v>
      </c>
      <c r="AK43" s="63"/>
      <c r="AL43" s="63"/>
      <c r="AM43" s="63" t="s">
        <v>721</v>
      </c>
      <c r="AN43" s="63" t="s">
        <v>722</v>
      </c>
      <c r="AO43" s="63" t="s">
        <v>723</v>
      </c>
      <c r="AP43" s="63" t="s">
        <v>569</v>
      </c>
      <c r="AQ43" s="63">
        <v>3</v>
      </c>
      <c r="AR43" s="63"/>
      <c r="AS43" s="63" t="s">
        <v>408</v>
      </c>
      <c r="AT43" s="63" t="s">
        <v>341</v>
      </c>
      <c r="AU43" s="63" t="s">
        <v>619</v>
      </c>
      <c r="AV43" s="63"/>
      <c r="AW43" s="63"/>
      <c r="AX43" s="63">
        <f>--ISNUMBER(IFERROR(SEARCH(Tempset!$M$4,AM43,1),""))</f>
        <v>1</v>
      </c>
      <c r="AY43" s="63">
        <f>IF(AX43=1,COUNTIF($AX$3:AX43,1),"")</f>
        <v>41</v>
      </c>
      <c r="AZ43" s="63" t="str">
        <f>IFERROR(INDEX($AM$3:$AM$1165,MATCH(ROWS($AY$3:AY43),$AY$3:$AY$1165,0)),"")</f>
        <v>appliedModelName</v>
      </c>
      <c r="BA43" s="63"/>
    </row>
    <row r="44" spans="3:53" x14ac:dyDescent="0.2">
      <c r="C44" s="23" t="s">
        <v>724</v>
      </c>
      <c r="D44" s="63"/>
      <c r="E44" s="63"/>
      <c r="F44" s="63"/>
      <c r="G44" s="63"/>
      <c r="H44" s="63"/>
      <c r="I44" s="63"/>
      <c r="J44" s="63"/>
      <c r="K44" s="23" t="s">
        <v>725</v>
      </c>
      <c r="L44" s="63"/>
      <c r="M44" s="23" t="s">
        <v>387</v>
      </c>
      <c r="N44" s="63"/>
      <c r="O44" s="63"/>
      <c r="P44" s="63"/>
      <c r="Q44" s="63"/>
      <c r="R44" s="63"/>
      <c r="S44" s="63"/>
      <c r="T44" s="63"/>
      <c r="U44" s="63"/>
      <c r="V44" s="63"/>
      <c r="W44" s="63"/>
      <c r="X44" s="63"/>
      <c r="Y44" s="63"/>
      <c r="Z44" s="63"/>
      <c r="AA44" s="63"/>
      <c r="AB44" s="63"/>
      <c r="AC44" s="63"/>
      <c r="AD44" s="63"/>
      <c r="AE44" s="63"/>
      <c r="AF44" s="63"/>
      <c r="AG44" s="63"/>
      <c r="AH44" s="63" t="s">
        <v>401</v>
      </c>
      <c r="AI44" s="63" t="s">
        <v>726</v>
      </c>
      <c r="AJ44" s="63" t="s">
        <v>727</v>
      </c>
      <c r="AK44" s="63"/>
      <c r="AL44" s="63"/>
      <c r="AM44" s="63" t="s">
        <v>728</v>
      </c>
      <c r="AN44" s="63" t="s">
        <v>729</v>
      </c>
      <c r="AO44" s="63" t="s">
        <v>730</v>
      </c>
      <c r="AP44" s="63" t="s">
        <v>370</v>
      </c>
      <c r="AQ44" s="63">
        <v>3</v>
      </c>
      <c r="AR44" s="63"/>
      <c r="AS44" s="63" t="s">
        <v>423</v>
      </c>
      <c r="AT44" s="63" t="s">
        <v>341</v>
      </c>
      <c r="AU44" s="63" t="s">
        <v>423</v>
      </c>
      <c r="AV44" s="63"/>
      <c r="AW44" s="63"/>
      <c r="AX44" s="63">
        <f>--ISNUMBER(IFERROR(SEARCH(Tempset!$M$4,AM44,1),""))</f>
        <v>1</v>
      </c>
      <c r="AY44" s="63">
        <f>IF(AX44=1,COUNTIF($AX$3:AX44,1),"")</f>
        <v>42</v>
      </c>
      <c r="AZ44" s="63" t="str">
        <f>IFERROR(INDEX($AM$3:$AM$1165,MATCH(ROWS($AY$3:AY44),$AY$3:$AY$1165,0)),"")</f>
        <v>assetBackedSecuritiesERCValue</v>
      </c>
      <c r="BA44" s="63"/>
    </row>
    <row r="45" spans="3:53" x14ac:dyDescent="0.2">
      <c r="C45" s="23" t="s">
        <v>731</v>
      </c>
      <c r="D45" s="63"/>
      <c r="E45" s="24" t="s">
        <v>732</v>
      </c>
      <c r="F45" s="63"/>
      <c r="G45" s="63"/>
      <c r="H45" s="63"/>
      <c r="I45" s="63"/>
      <c r="J45" s="63"/>
      <c r="K45" s="23" t="s">
        <v>733</v>
      </c>
      <c r="L45" s="63"/>
      <c r="M45" s="27" t="s">
        <v>734</v>
      </c>
      <c r="N45" s="63"/>
      <c r="O45" s="63"/>
      <c r="P45" s="63"/>
      <c r="Q45" s="63"/>
      <c r="R45" s="63"/>
      <c r="S45" s="63"/>
      <c r="T45" s="63"/>
      <c r="U45" s="63"/>
      <c r="V45" s="63"/>
      <c r="W45" s="63"/>
      <c r="X45" s="63"/>
      <c r="Y45" s="63"/>
      <c r="Z45" s="63"/>
      <c r="AA45" s="63"/>
      <c r="AB45" s="63"/>
      <c r="AC45" s="63"/>
      <c r="AD45" s="63"/>
      <c r="AE45" s="63"/>
      <c r="AF45" s="63"/>
      <c r="AG45" s="63"/>
      <c r="AH45" s="63" t="s">
        <v>401</v>
      </c>
      <c r="AI45" s="63" t="s">
        <v>735</v>
      </c>
      <c r="AJ45" s="63" t="s">
        <v>736</v>
      </c>
      <c r="AK45" s="63"/>
      <c r="AL45" s="63"/>
      <c r="AM45" s="63" t="s">
        <v>737</v>
      </c>
      <c r="AN45" s="63" t="s">
        <v>738</v>
      </c>
      <c r="AO45" s="63" t="s">
        <v>739</v>
      </c>
      <c r="AP45" s="63" t="s">
        <v>355</v>
      </c>
      <c r="AQ45" s="63">
        <v>1</v>
      </c>
      <c r="AR45" s="63"/>
      <c r="AS45" s="63" t="s">
        <v>730</v>
      </c>
      <c r="AT45" s="63" t="s">
        <v>358</v>
      </c>
      <c r="AU45" s="63" t="s">
        <v>730</v>
      </c>
      <c r="AV45" s="63"/>
      <c r="AW45" s="63"/>
      <c r="AX45" s="63">
        <f>--ISNUMBER(IFERROR(SEARCH(Tempset!$M$4,AM45,1),""))</f>
        <v>1</v>
      </c>
      <c r="AY45" s="63">
        <f>IF(AX45=1,COUNTIF($AX$3:AX45,1),"")</f>
        <v>43</v>
      </c>
      <c r="AZ45" s="63" t="str">
        <f>IFERROR(INDEX($AM$3:$AM$1165,MATCH(ROWS($AY$3:AY45),$AY$3:$AY$1165,0)),"")</f>
        <v>assetClass</v>
      </c>
      <c r="BA45" s="63"/>
    </row>
    <row r="46" spans="3:53" x14ac:dyDescent="0.2">
      <c r="C46" s="63"/>
      <c r="D46" s="63"/>
      <c r="E46" s="25"/>
      <c r="F46" s="63"/>
      <c r="G46" s="63"/>
      <c r="H46" s="63"/>
      <c r="I46" s="63"/>
      <c r="J46" s="63"/>
      <c r="K46" s="41" t="s">
        <v>740</v>
      </c>
      <c r="L46" s="63"/>
      <c r="M46" s="63"/>
      <c r="N46" s="63"/>
      <c r="O46" s="63"/>
      <c r="P46" s="63"/>
      <c r="Q46" s="63"/>
      <c r="R46" s="63"/>
      <c r="S46" s="63"/>
      <c r="T46" s="63"/>
      <c r="U46" s="63"/>
      <c r="V46" s="63"/>
      <c r="W46" s="63"/>
      <c r="X46" s="63"/>
      <c r="Y46" s="63"/>
      <c r="Z46" s="63"/>
      <c r="AA46" s="63"/>
      <c r="AB46" s="63"/>
      <c r="AC46" s="63"/>
      <c r="AD46" s="63"/>
      <c r="AE46" s="63"/>
      <c r="AF46" s="63"/>
      <c r="AG46" s="63"/>
      <c r="AH46" s="63" t="s">
        <v>401</v>
      </c>
      <c r="AI46" s="63" t="s">
        <v>741</v>
      </c>
      <c r="AJ46" s="63" t="s">
        <v>742</v>
      </c>
      <c r="AK46" s="63"/>
      <c r="AL46" s="63"/>
      <c r="AM46" s="63" t="s">
        <v>743</v>
      </c>
      <c r="AN46" s="63" t="s">
        <v>744</v>
      </c>
      <c r="AO46" s="63" t="s">
        <v>745</v>
      </c>
      <c r="AP46" s="63" t="s">
        <v>355</v>
      </c>
      <c r="AQ46" s="63">
        <v>2</v>
      </c>
      <c r="AR46" s="63"/>
      <c r="AS46" s="63" t="s">
        <v>746</v>
      </c>
      <c r="AT46" s="63" t="s">
        <v>358</v>
      </c>
      <c r="AU46" s="63" t="s">
        <v>274</v>
      </c>
      <c r="AV46" s="63"/>
      <c r="AW46" s="63"/>
      <c r="AX46" s="63">
        <f>--ISNUMBER(IFERROR(SEARCH(Tempset!$M$4,AM46,1),""))</f>
        <v>1</v>
      </c>
      <c r="AY46" s="63">
        <f>IF(AX46=1,COUNTIF($AX$3:AX46,1),"")</f>
        <v>44</v>
      </c>
      <c r="AZ46" s="63" t="str">
        <f>IFERROR(INDEX($AM$3:$AM$1165,MATCH(ROWS($AY$3:AY46),$AY$3:$AY$1165,0)),"")</f>
        <v>assetCurrency</v>
      </c>
      <c r="BA46" s="63"/>
    </row>
    <row r="47" spans="3:53" x14ac:dyDescent="0.2">
      <c r="C47" s="63"/>
      <c r="D47" s="63"/>
      <c r="E47" s="23" t="s">
        <v>499</v>
      </c>
      <c r="F47" s="63"/>
      <c r="G47" s="63"/>
      <c r="H47" s="63"/>
      <c r="I47" s="63"/>
      <c r="J47" s="63"/>
      <c r="K47" s="63"/>
      <c r="L47" s="63"/>
      <c r="M47" s="63"/>
      <c r="N47" s="63"/>
      <c r="O47" s="63"/>
      <c r="P47" s="63"/>
      <c r="Q47" s="63"/>
      <c r="R47" s="63"/>
      <c r="S47" s="63"/>
      <c r="T47" s="63"/>
      <c r="U47" s="63"/>
      <c r="V47" s="63"/>
      <c r="W47" s="63"/>
      <c r="X47" s="63"/>
      <c r="Y47" s="63"/>
      <c r="Z47" s="63"/>
      <c r="AA47" s="63"/>
      <c r="AB47" s="63"/>
      <c r="AC47" s="63"/>
      <c r="AD47" s="63"/>
      <c r="AE47" s="63"/>
      <c r="AF47" s="63"/>
      <c r="AG47" s="63"/>
      <c r="AH47" s="63" t="s">
        <v>401</v>
      </c>
      <c r="AI47" s="63" t="s">
        <v>747</v>
      </c>
      <c r="AJ47" s="63" t="s">
        <v>748</v>
      </c>
      <c r="AK47" s="63"/>
      <c r="AL47" s="63"/>
      <c r="AM47" s="63" t="s">
        <v>749</v>
      </c>
      <c r="AN47" s="63" t="s">
        <v>750</v>
      </c>
      <c r="AO47" s="63" t="s">
        <v>751</v>
      </c>
      <c r="AP47" s="63" t="s">
        <v>407</v>
      </c>
      <c r="AQ47" s="63">
        <v>3</v>
      </c>
      <c r="AR47" s="63"/>
      <c r="AS47" s="63" t="s">
        <v>752</v>
      </c>
      <c r="AT47" s="63" t="s">
        <v>358</v>
      </c>
      <c r="AU47" s="63" t="s">
        <v>753</v>
      </c>
      <c r="AV47" s="63"/>
      <c r="AW47" s="63"/>
      <c r="AX47" s="63">
        <f>--ISNUMBER(IFERROR(SEARCH(Tempset!$M$4,AM47,1),""))</f>
        <v>1</v>
      </c>
      <c r="AY47" s="63">
        <f>IF(AX47=1,COUNTIF($AX$3:AX47,1),"")</f>
        <v>45</v>
      </c>
      <c r="AZ47" s="63" t="str">
        <f>IFERROR(INDEX($AM$3:$AM$1165,MATCH(ROWS($AY$3:AY47),$AY$3:$AY$1165,0)),"")</f>
        <v>assetLiabilityFlag</v>
      </c>
      <c r="BA47" s="63"/>
    </row>
    <row r="48" spans="3:53" x14ac:dyDescent="0.2">
      <c r="C48" s="63"/>
      <c r="D48" s="63"/>
      <c r="E48" s="23" t="s">
        <v>754</v>
      </c>
      <c r="F48" s="63"/>
      <c r="G48" s="63"/>
      <c r="H48" s="63"/>
      <c r="I48" s="63"/>
      <c r="J48" s="63"/>
      <c r="K48" s="63"/>
      <c r="L48" s="63"/>
      <c r="M48" s="63"/>
      <c r="N48" s="63"/>
      <c r="O48" s="63"/>
      <c r="P48" s="63"/>
      <c r="Q48" s="63"/>
      <c r="R48" s="63"/>
      <c r="S48" s="63"/>
      <c r="T48" s="63"/>
      <c r="U48" s="63"/>
      <c r="V48" s="63"/>
      <c r="W48" s="63"/>
      <c r="X48" s="63"/>
      <c r="Y48" s="63"/>
      <c r="Z48" s="63"/>
      <c r="AA48" s="63"/>
      <c r="AB48" s="63"/>
      <c r="AC48" s="63"/>
      <c r="AD48" s="63"/>
      <c r="AE48" s="63"/>
      <c r="AF48" s="63"/>
      <c r="AG48" s="63"/>
      <c r="AH48" s="63" t="s">
        <v>416</v>
      </c>
      <c r="AI48" s="63" t="s">
        <v>755</v>
      </c>
      <c r="AJ48" s="63" t="s">
        <v>756</v>
      </c>
      <c r="AK48" s="63"/>
      <c r="AL48" s="63"/>
      <c r="AM48" s="63" t="s">
        <v>757</v>
      </c>
      <c r="AN48" s="63" t="s">
        <v>758</v>
      </c>
      <c r="AO48" s="63" t="s">
        <v>759</v>
      </c>
      <c r="AP48" s="63" t="s">
        <v>760</v>
      </c>
      <c r="AQ48" s="63">
        <v>2</v>
      </c>
      <c r="AR48" s="63"/>
      <c r="AS48" s="63" t="s">
        <v>761</v>
      </c>
      <c r="AT48" s="63" t="s">
        <v>358</v>
      </c>
      <c r="AU48" s="63" t="s">
        <v>762</v>
      </c>
      <c r="AV48" s="63"/>
      <c r="AW48" s="63"/>
      <c r="AX48" s="63">
        <f>--ISNUMBER(IFERROR(SEARCH(Tempset!$M$4,AM48,1),""))</f>
        <v>1</v>
      </c>
      <c r="AY48" s="63">
        <f>IF(AX48=1,COUNTIF($AX$3:AX48,1),"")</f>
        <v>46</v>
      </c>
      <c r="AZ48" s="63" t="str">
        <f>IFERROR(INDEX($AM$3:$AM$1165,MATCH(ROWS($AY$3:AY48),$AY$3:$AY$1165,0)),"")</f>
        <v>ATECost</v>
      </c>
      <c r="BA48" s="63"/>
    </row>
    <row r="49" spans="5:53" x14ac:dyDescent="0.2">
      <c r="E49" s="23" t="s">
        <v>763</v>
      </c>
      <c r="F49" s="63"/>
      <c r="G49" s="63"/>
      <c r="H49" s="63"/>
      <c r="I49" s="63"/>
      <c r="J49" s="63"/>
      <c r="K49" s="63"/>
      <c r="L49" s="63"/>
      <c r="M49" s="63"/>
      <c r="N49" s="63"/>
      <c r="O49" s="63"/>
      <c r="P49" s="63"/>
      <c r="Q49" s="63"/>
      <c r="R49" s="63"/>
      <c r="S49" s="63"/>
      <c r="T49" s="63"/>
      <c r="U49" s="63"/>
      <c r="V49" s="63"/>
      <c r="W49" s="63"/>
      <c r="X49" s="63"/>
      <c r="Y49" s="63"/>
      <c r="Z49" s="63"/>
      <c r="AA49" s="63"/>
      <c r="AB49" s="63"/>
      <c r="AC49" s="63"/>
      <c r="AD49" s="63"/>
      <c r="AE49" s="63"/>
      <c r="AF49" s="63"/>
      <c r="AG49" s="63"/>
      <c r="AH49" s="63" t="s">
        <v>416</v>
      </c>
      <c r="AI49" s="63" t="s">
        <v>764</v>
      </c>
      <c r="AJ49" s="63" t="s">
        <v>765</v>
      </c>
      <c r="AK49" s="63"/>
      <c r="AL49" s="63"/>
      <c r="AM49" s="63" t="s">
        <v>766</v>
      </c>
      <c r="AN49" s="63" t="s">
        <v>767</v>
      </c>
      <c r="AO49" s="63" t="s">
        <v>768</v>
      </c>
      <c r="AP49" s="63" t="s">
        <v>450</v>
      </c>
      <c r="AQ49" s="63">
        <v>2</v>
      </c>
      <c r="AR49" s="63"/>
      <c r="AS49" s="63" t="s">
        <v>769</v>
      </c>
      <c r="AT49" s="63" t="s">
        <v>358</v>
      </c>
      <c r="AU49" s="63" t="s">
        <v>560</v>
      </c>
      <c r="AV49" s="63"/>
      <c r="AW49" s="63"/>
      <c r="AX49" s="63">
        <f>--ISNUMBER(IFERROR(SEARCH(Tempset!$M$4,AM49,1),""))</f>
        <v>1</v>
      </c>
      <c r="AY49" s="63">
        <f>IF(AX49=1,COUNTIF($AX$3:AX49,1),"")</f>
        <v>47</v>
      </c>
      <c r="AZ49" s="63" t="str">
        <f>IFERROR(INDEX($AM$3:$AM$1165,MATCH(ROWS($AY$3:AY49),$AY$3:$AY$1165,0)),"")</f>
        <v>attachmentPoint</v>
      </c>
      <c r="BA49" s="63"/>
    </row>
    <row r="50" spans="5:53" x14ac:dyDescent="0.2">
      <c r="E50" s="63"/>
      <c r="F50" s="63"/>
      <c r="G50" s="63"/>
      <c r="H50" s="63"/>
      <c r="I50" s="63"/>
      <c r="J50" s="63"/>
      <c r="K50" s="63"/>
      <c r="L50" s="63"/>
      <c r="M50" s="63"/>
      <c r="N50" s="63"/>
      <c r="O50" s="63"/>
      <c r="P50" s="63"/>
      <c r="Q50" s="63"/>
      <c r="R50" s="63"/>
      <c r="S50" s="63"/>
      <c r="T50" s="63"/>
      <c r="U50" s="63"/>
      <c r="V50" s="63"/>
      <c r="W50" s="63"/>
      <c r="X50" s="63"/>
      <c r="Y50" s="63"/>
      <c r="Z50" s="63"/>
      <c r="AA50" s="63"/>
      <c r="AB50" s="63"/>
      <c r="AC50" s="63"/>
      <c r="AD50" s="63"/>
      <c r="AE50" s="63"/>
      <c r="AF50" s="63"/>
      <c r="AG50" s="63"/>
      <c r="AH50" s="63" t="s">
        <v>416</v>
      </c>
      <c r="AI50" s="63" t="s">
        <v>770</v>
      </c>
      <c r="AJ50" s="63" t="s">
        <v>771</v>
      </c>
      <c r="AK50" s="63"/>
      <c r="AL50" s="63"/>
      <c r="AM50" s="63" t="s">
        <v>772</v>
      </c>
      <c r="AN50" s="63" t="s">
        <v>773</v>
      </c>
      <c r="AO50" s="63" t="s">
        <v>774</v>
      </c>
      <c r="AP50" s="63" t="s">
        <v>450</v>
      </c>
      <c r="AQ50" s="63">
        <v>2</v>
      </c>
      <c r="AR50" s="63"/>
      <c r="AS50" s="63" t="s">
        <v>775</v>
      </c>
      <c r="AT50" s="63" t="s">
        <v>358</v>
      </c>
      <c r="AU50" s="63" t="s">
        <v>776</v>
      </c>
      <c r="AV50" s="63"/>
      <c r="AW50" s="63"/>
      <c r="AX50" s="63">
        <f>--ISNUMBER(IFERROR(SEARCH(Tempset!$M$4,AM50,1),""))</f>
        <v>1</v>
      </c>
      <c r="AY50" s="63">
        <f>IF(AX50=1,COUNTIF($AX$3:AX50,1),"")</f>
        <v>48</v>
      </c>
      <c r="AZ50" s="63" t="str">
        <f>IFERROR(INDEX($AM$3:$AM$1165,MATCH(ROWS($AY$3:AY50),$AY$3:$AY$1165,0)),"")</f>
        <v>AUMCode</v>
      </c>
      <c r="BA50" s="63"/>
    </row>
    <row r="51" spans="5:53" x14ac:dyDescent="0.2">
      <c r="E51" s="63"/>
      <c r="F51" s="63"/>
      <c r="G51" s="63"/>
      <c r="H51" s="63"/>
      <c r="I51" s="63"/>
      <c r="J51" s="63"/>
      <c r="K51" s="63"/>
      <c r="L51" s="63"/>
      <c r="M51" s="63"/>
      <c r="N51" s="63"/>
      <c r="O51" s="63"/>
      <c r="P51" s="63"/>
      <c r="Q51" s="63"/>
      <c r="R51" s="63"/>
      <c r="S51" s="63"/>
      <c r="T51" s="63"/>
      <c r="U51" s="63"/>
      <c r="V51" s="63"/>
      <c r="W51" s="63"/>
      <c r="X51" s="63"/>
      <c r="Y51" s="63"/>
      <c r="Z51" s="63"/>
      <c r="AA51" s="63"/>
      <c r="AB51" s="63"/>
      <c r="AC51" s="63"/>
      <c r="AD51" s="63"/>
      <c r="AE51" s="63"/>
      <c r="AF51" s="63"/>
      <c r="AG51" s="63"/>
      <c r="AH51" s="63" t="s">
        <v>416</v>
      </c>
      <c r="AI51" s="63" t="s">
        <v>777</v>
      </c>
      <c r="AJ51" s="63" t="s">
        <v>778</v>
      </c>
      <c r="AK51" s="63"/>
      <c r="AL51" s="63"/>
      <c r="AM51" s="63" t="s">
        <v>779</v>
      </c>
      <c r="AN51" s="63" t="s">
        <v>780</v>
      </c>
      <c r="AO51" s="63" t="s">
        <v>781</v>
      </c>
      <c r="AP51" s="63" t="s">
        <v>407</v>
      </c>
      <c r="AQ51" s="63">
        <v>2</v>
      </c>
      <c r="AR51" s="63"/>
      <c r="AS51" s="63" t="s">
        <v>452</v>
      </c>
      <c r="AT51" s="63" t="s">
        <v>358</v>
      </c>
      <c r="AU51" s="63" t="s">
        <v>452</v>
      </c>
      <c r="AV51" s="63"/>
      <c r="AW51" s="63"/>
      <c r="AX51" s="63">
        <f>--ISNUMBER(IFERROR(SEARCH(Tempset!$M$4,AM51,1),""))</f>
        <v>1</v>
      </c>
      <c r="AY51" s="63">
        <f>IF(AX51=1,COUNTIF($AX$3:AX51,1),"")</f>
        <v>49</v>
      </c>
      <c r="AZ51" s="63" t="str">
        <f>IFERROR(INDEX($AM$3:$AM$1165,MATCH(ROWS($AY$3:AY51),$AY$3:$AY$1165,0)),"")</f>
        <v>availableEconomicCapitalValue</v>
      </c>
      <c r="BA51" s="63"/>
    </row>
    <row r="52" spans="5:53" x14ac:dyDescent="0.2">
      <c r="E52" s="24" t="s">
        <v>782</v>
      </c>
      <c r="F52" s="63"/>
      <c r="G52" s="63"/>
      <c r="H52" s="63"/>
      <c r="I52" s="63"/>
      <c r="J52" s="63"/>
      <c r="K52" s="63"/>
      <c r="L52" s="63"/>
      <c r="M52" s="63"/>
      <c r="N52" s="63"/>
      <c r="O52" s="63"/>
      <c r="P52" s="63"/>
      <c r="Q52" s="63"/>
      <c r="R52" s="63"/>
      <c r="S52" s="63"/>
      <c r="T52" s="63"/>
      <c r="U52" s="63"/>
      <c r="V52" s="63"/>
      <c r="W52" s="63"/>
      <c r="X52" s="63"/>
      <c r="Y52" s="63"/>
      <c r="Z52" s="63"/>
      <c r="AA52" s="63"/>
      <c r="AB52" s="63"/>
      <c r="AC52" s="63"/>
      <c r="AD52" s="63"/>
      <c r="AE52" s="63"/>
      <c r="AF52" s="63"/>
      <c r="AG52" s="63"/>
      <c r="AH52" s="63" t="s">
        <v>416</v>
      </c>
      <c r="AI52" s="63" t="s">
        <v>783</v>
      </c>
      <c r="AJ52" s="63" t="s">
        <v>784</v>
      </c>
      <c r="AK52" s="63"/>
      <c r="AL52" s="63"/>
      <c r="AM52" s="63" t="s">
        <v>785</v>
      </c>
      <c r="AN52" s="63" t="s">
        <v>786</v>
      </c>
      <c r="AO52" s="63" t="s">
        <v>787</v>
      </c>
      <c r="AP52" s="63" t="s">
        <v>692</v>
      </c>
      <c r="AQ52" s="63">
        <v>2</v>
      </c>
      <c r="AR52" s="63"/>
      <c r="AS52" s="63" t="s">
        <v>788</v>
      </c>
      <c r="AT52" s="63" t="s">
        <v>358</v>
      </c>
      <c r="AU52" s="63" t="s">
        <v>789</v>
      </c>
      <c r="AV52" s="63"/>
      <c r="AW52" s="63"/>
      <c r="AX52" s="63">
        <f>--ISNUMBER(IFERROR(SEARCH(Tempset!$M$4,AM52,1),""))</f>
        <v>1</v>
      </c>
      <c r="AY52" s="63">
        <f>IF(AX52=1,COUNTIF($AX$3:AX52,1),"")</f>
        <v>50</v>
      </c>
      <c r="AZ52" s="63" t="str">
        <f>IFERROR(INDEX($AM$3:$AM$1165,MATCH(ROWS($AY$3:AY52),$AY$3:$AY$1165,0)),"")</f>
        <v>availableStableFundingCategory</v>
      </c>
      <c r="BA52" s="63"/>
    </row>
    <row r="53" spans="5:53" x14ac:dyDescent="0.2">
      <c r="E53" s="23"/>
      <c r="F53" s="63"/>
      <c r="G53" s="63"/>
      <c r="H53" s="63"/>
      <c r="I53" s="63"/>
      <c r="J53" s="63"/>
      <c r="K53" s="63"/>
      <c r="L53" s="63"/>
      <c r="M53" s="63"/>
      <c r="N53" s="63"/>
      <c r="O53" s="63"/>
      <c r="P53" s="63"/>
      <c r="Q53" s="63"/>
      <c r="R53" s="63"/>
      <c r="S53" s="63"/>
      <c r="T53" s="63"/>
      <c r="U53" s="63"/>
      <c r="V53" s="63"/>
      <c r="W53" s="63"/>
      <c r="X53" s="63"/>
      <c r="Y53" s="63"/>
      <c r="Z53" s="63"/>
      <c r="AA53" s="63"/>
      <c r="AB53" s="63"/>
      <c r="AC53" s="63"/>
      <c r="AD53" s="63"/>
      <c r="AE53" s="63"/>
      <c r="AF53" s="63"/>
      <c r="AG53" s="63"/>
      <c r="AH53" s="63" t="s">
        <v>416</v>
      </c>
      <c r="AI53" s="63" t="s">
        <v>790</v>
      </c>
      <c r="AJ53" s="63" t="s">
        <v>791</v>
      </c>
      <c r="AK53" s="63"/>
      <c r="AL53" s="63"/>
      <c r="AM53" s="63" t="s">
        <v>792</v>
      </c>
      <c r="AN53" s="63" t="s">
        <v>793</v>
      </c>
      <c r="AO53" s="63" t="s">
        <v>794</v>
      </c>
      <c r="AP53" s="63" t="s">
        <v>355</v>
      </c>
      <c r="AQ53" s="63">
        <v>2</v>
      </c>
      <c r="AR53" s="63"/>
      <c r="AS53" s="63" t="s">
        <v>469</v>
      </c>
      <c r="AT53" s="63" t="s">
        <v>358</v>
      </c>
      <c r="AU53" s="63" t="s">
        <v>469</v>
      </c>
      <c r="AV53" s="63"/>
      <c r="AW53" s="63"/>
      <c r="AX53" s="63">
        <f>--ISNUMBER(IFERROR(SEARCH(Tempset!$M$4,AM53,1),""))</f>
        <v>1</v>
      </c>
      <c r="AY53" s="63">
        <f>IF(AX53=1,COUNTIF($AX$3:AX53,1),"")</f>
        <v>51</v>
      </c>
      <c r="AZ53" s="63" t="str">
        <f>IFERROR(INDEX($AM$3:$AM$1165,MATCH(ROWS($AY$3:AY53),$AY$3:$AY$1165,0)),"")</f>
        <v>averageDailyTradedVolume</v>
      </c>
      <c r="BA53" s="63"/>
    </row>
    <row r="54" spans="5:53" x14ac:dyDescent="0.2">
      <c r="E54" s="23" t="s">
        <v>249</v>
      </c>
      <c r="F54" s="63"/>
      <c r="G54" s="63"/>
      <c r="H54" s="63"/>
      <c r="I54" s="63"/>
      <c r="J54" s="63"/>
      <c r="K54" s="63"/>
      <c r="L54" s="63"/>
      <c r="M54" s="63"/>
      <c r="N54" s="63"/>
      <c r="O54" s="63"/>
      <c r="P54" s="63"/>
      <c r="Q54" s="63"/>
      <c r="R54" s="63"/>
      <c r="S54" s="63"/>
      <c r="T54" s="63"/>
      <c r="U54" s="63"/>
      <c r="V54" s="63"/>
      <c r="W54" s="63"/>
      <c r="X54" s="63"/>
      <c r="Y54" s="63"/>
      <c r="Z54" s="63"/>
      <c r="AA54" s="63"/>
      <c r="AB54" s="63"/>
      <c r="AC54" s="63"/>
      <c r="AD54" s="63"/>
      <c r="AE54" s="63"/>
      <c r="AF54" s="63"/>
      <c r="AG54" s="63"/>
      <c r="AH54" s="63" t="s">
        <v>416</v>
      </c>
      <c r="AI54" s="63" t="s">
        <v>795</v>
      </c>
      <c r="AJ54" s="63" t="s">
        <v>796</v>
      </c>
      <c r="AK54" s="63"/>
      <c r="AL54" s="63"/>
      <c r="AM54" s="63" t="s">
        <v>797</v>
      </c>
      <c r="AN54" s="63" t="s">
        <v>798</v>
      </c>
      <c r="AO54" s="63" t="s">
        <v>799</v>
      </c>
      <c r="AP54" s="63" t="s">
        <v>324</v>
      </c>
      <c r="AQ54" s="63">
        <v>3</v>
      </c>
      <c r="AR54" s="63"/>
      <c r="AS54" s="63" t="s">
        <v>800</v>
      </c>
      <c r="AT54" s="63" t="s">
        <v>358</v>
      </c>
      <c r="AU54" s="63" t="s">
        <v>801</v>
      </c>
      <c r="AV54" s="63"/>
      <c r="AW54" s="63"/>
      <c r="AX54" s="63">
        <f>--ISNUMBER(IFERROR(SEARCH(Tempset!$M$4,AM54,1),""))</f>
        <v>1</v>
      </c>
      <c r="AY54" s="63">
        <f>IF(AX54=1,COUNTIF($AX$3:AX54,1),"")</f>
        <v>52</v>
      </c>
      <c r="AZ54" s="63" t="str">
        <f>IFERROR(INDEX($AM$3:$AM$1165,MATCH(ROWS($AY$3:AY54),$AY$3:$AY$1165,0)),"")</f>
        <v>averageDailyTradedVolumeRatio</v>
      </c>
      <c r="BA54" s="63"/>
    </row>
    <row r="55" spans="5:53" x14ac:dyDescent="0.2">
      <c r="E55" s="23" t="s">
        <v>802</v>
      </c>
      <c r="F55" s="63"/>
      <c r="G55" s="63"/>
      <c r="H55" s="63"/>
      <c r="I55" s="63"/>
      <c r="J55" s="63"/>
      <c r="K55" s="63"/>
      <c r="L55" s="63"/>
      <c r="M55" s="63"/>
      <c r="N55" s="63"/>
      <c r="O55" s="63"/>
      <c r="P55" s="63"/>
      <c r="Q55" s="63"/>
      <c r="R55" s="63"/>
      <c r="S55" s="63"/>
      <c r="T55" s="63"/>
      <c r="U55" s="63"/>
      <c r="V55" s="63"/>
      <c r="W55" s="63"/>
      <c r="X55" s="63"/>
      <c r="Y55" s="63"/>
      <c r="Z55" s="63"/>
      <c r="AA55" s="63"/>
      <c r="AB55" s="63"/>
      <c r="AC55" s="63"/>
      <c r="AD55" s="63"/>
      <c r="AE55" s="63"/>
      <c r="AF55" s="63"/>
      <c r="AG55" s="63"/>
      <c r="AH55" s="63" t="s">
        <v>416</v>
      </c>
      <c r="AI55" s="63" t="s">
        <v>803</v>
      </c>
      <c r="AJ55" s="63" t="s">
        <v>804</v>
      </c>
      <c r="AK55" s="63"/>
      <c r="AL55" s="63"/>
      <c r="AM55" s="63" t="s">
        <v>805</v>
      </c>
      <c r="AN55" s="63" t="s">
        <v>806</v>
      </c>
      <c r="AO55" s="63" t="s">
        <v>807</v>
      </c>
      <c r="AP55" s="63" t="s">
        <v>558</v>
      </c>
      <c r="AQ55" s="63">
        <v>3</v>
      </c>
      <c r="AR55" s="63"/>
      <c r="AS55" s="63" t="s">
        <v>808</v>
      </c>
      <c r="AT55" s="63" t="s">
        <v>358</v>
      </c>
      <c r="AU55" s="63" t="s">
        <v>809</v>
      </c>
      <c r="AV55" s="63"/>
      <c r="AW55" s="63"/>
      <c r="AX55" s="63">
        <f>--ISNUMBER(IFERROR(SEARCH(Tempset!$M$4,AM55,1),""))</f>
        <v>1</v>
      </c>
      <c r="AY55" s="63">
        <f>IF(AX55=1,COUNTIF($AX$3:AX55,1),"")</f>
        <v>53</v>
      </c>
      <c r="AZ55" s="63" t="str">
        <f>IFERROR(INDEX($AM$3:$AM$1165,MATCH(ROWS($AY$3:AY55),$AY$3:$AY$1165,0)),"")</f>
        <v>balanceAmountType</v>
      </c>
      <c r="BA55" s="63"/>
    </row>
    <row r="56" spans="5:53" x14ac:dyDescent="0.2">
      <c r="E56" s="23" t="s">
        <v>810</v>
      </c>
      <c r="F56" s="63"/>
      <c r="G56" s="63"/>
      <c r="H56" s="63"/>
      <c r="I56" s="63"/>
      <c r="J56" s="63"/>
      <c r="K56" s="63"/>
      <c r="L56" s="63"/>
      <c r="M56" s="63"/>
      <c r="N56" s="63"/>
      <c r="O56" s="63"/>
      <c r="P56" s="63"/>
      <c r="Q56" s="63"/>
      <c r="R56" s="63"/>
      <c r="S56" s="63"/>
      <c r="T56" s="63"/>
      <c r="U56" s="63"/>
      <c r="V56" s="63"/>
      <c r="W56" s="63"/>
      <c r="X56" s="63"/>
      <c r="Y56" s="63"/>
      <c r="Z56" s="63"/>
      <c r="AA56" s="63"/>
      <c r="AB56" s="63"/>
      <c r="AC56" s="63"/>
      <c r="AD56" s="63"/>
      <c r="AE56" s="63"/>
      <c r="AF56" s="63"/>
      <c r="AG56" s="63"/>
      <c r="AH56" s="63" t="s">
        <v>416</v>
      </c>
      <c r="AI56" s="63" t="s">
        <v>811</v>
      </c>
      <c r="AJ56" s="63" t="s">
        <v>812</v>
      </c>
      <c r="AK56" s="63"/>
      <c r="AL56" s="63"/>
      <c r="AM56" s="63" t="s">
        <v>813</v>
      </c>
      <c r="AN56" s="63" t="s">
        <v>814</v>
      </c>
      <c r="AO56" s="63" t="s">
        <v>815</v>
      </c>
      <c r="AP56" s="63" t="s">
        <v>569</v>
      </c>
      <c r="AQ56" s="63">
        <v>2</v>
      </c>
      <c r="AR56" s="63"/>
      <c r="AS56" s="63" t="s">
        <v>816</v>
      </c>
      <c r="AT56" s="63" t="s">
        <v>358</v>
      </c>
      <c r="AU56" s="63" t="s">
        <v>817</v>
      </c>
      <c r="AV56" s="63"/>
      <c r="AW56" s="63"/>
      <c r="AX56" s="63">
        <f>--ISNUMBER(IFERROR(SEARCH(Tempset!$M$4,AM56,1),""))</f>
        <v>1</v>
      </c>
      <c r="AY56" s="63">
        <f>IF(AX56=1,COUNTIF($AX$3:AX56,1),"")</f>
        <v>54</v>
      </c>
      <c r="AZ56" s="63" t="str">
        <f>IFERROR(INDEX($AM$3:$AM$1165,MATCH(ROWS($AY$3:AY56),$AY$3:$AY$1165,0)),"")</f>
        <v>balanceBasisTypeCode</v>
      </c>
      <c r="BA56" s="63"/>
    </row>
    <row r="57" spans="5:53" x14ac:dyDescent="0.2">
      <c r="E57" s="23" t="s">
        <v>818</v>
      </c>
      <c r="F57" s="63"/>
      <c r="G57" s="63"/>
      <c r="H57" s="63"/>
      <c r="I57" s="63"/>
      <c r="J57" s="63"/>
      <c r="K57" s="63"/>
      <c r="L57" s="63"/>
      <c r="M57" s="63"/>
      <c r="N57" s="63"/>
      <c r="O57" s="63"/>
      <c r="P57" s="63"/>
      <c r="Q57" s="63"/>
      <c r="R57" s="63"/>
      <c r="S57" s="63"/>
      <c r="T57" s="63"/>
      <c r="U57" s="63"/>
      <c r="V57" s="63"/>
      <c r="W57" s="63"/>
      <c r="X57" s="63"/>
      <c r="Y57" s="63"/>
      <c r="Z57" s="63"/>
      <c r="AA57" s="63"/>
      <c r="AB57" s="63"/>
      <c r="AC57" s="63"/>
      <c r="AD57" s="63"/>
      <c r="AE57" s="63"/>
      <c r="AF57" s="63"/>
      <c r="AG57" s="63"/>
      <c r="AH57" s="63" t="s">
        <v>430</v>
      </c>
      <c r="AI57" s="63" t="s">
        <v>725</v>
      </c>
      <c r="AJ57" s="63" t="s">
        <v>819</v>
      </c>
      <c r="AK57" s="63"/>
      <c r="AL57" s="63"/>
      <c r="AM57" s="63" t="s">
        <v>820</v>
      </c>
      <c r="AN57" s="63" t="s">
        <v>821</v>
      </c>
      <c r="AO57" s="63" t="s">
        <v>822</v>
      </c>
      <c r="AP57" s="63" t="s">
        <v>291</v>
      </c>
      <c r="AQ57" s="63">
        <v>3</v>
      </c>
      <c r="AR57" s="63"/>
      <c r="AS57" s="63" t="s">
        <v>823</v>
      </c>
      <c r="AT57" s="63" t="s">
        <v>358</v>
      </c>
      <c r="AU57" s="63" t="s">
        <v>495</v>
      </c>
      <c r="AV57" s="63"/>
      <c r="AW57" s="63"/>
      <c r="AX57" s="63">
        <f>--ISNUMBER(IFERROR(SEARCH(Tempset!$M$4,AM57,1),""))</f>
        <v>1</v>
      </c>
      <c r="AY57" s="63">
        <f>IF(AX57=1,COUNTIF($AX$3:AX57,1),"")</f>
        <v>55</v>
      </c>
      <c r="AZ57" s="63" t="str">
        <f>IFERROR(INDEX($AM$3:$AM$1165,MATCH(ROWS($AY$3:AY57),$AY$3:$AY$1165,0)),"")</f>
        <v>balanceSheetCoverageBufferValue</v>
      </c>
      <c r="BA57" s="63"/>
    </row>
    <row r="58" spans="5:53" x14ac:dyDescent="0.2">
      <c r="E58" s="23" t="s">
        <v>284</v>
      </c>
      <c r="F58" s="63"/>
      <c r="G58" s="63"/>
      <c r="H58" s="63"/>
      <c r="I58" s="63"/>
      <c r="J58" s="63"/>
      <c r="K58" s="63"/>
      <c r="L58" s="63"/>
      <c r="M58" s="63"/>
      <c r="N58" s="63"/>
      <c r="O58" s="63"/>
      <c r="P58" s="63"/>
      <c r="Q58" s="63"/>
      <c r="R58" s="63"/>
      <c r="S58" s="63"/>
      <c r="T58" s="63"/>
      <c r="U58" s="63"/>
      <c r="V58" s="63"/>
      <c r="W58" s="63"/>
      <c r="X58" s="63"/>
      <c r="Y58" s="63"/>
      <c r="Z58" s="63"/>
      <c r="AA58" s="63"/>
      <c r="AB58" s="63"/>
      <c r="AC58" s="63"/>
      <c r="AD58" s="63"/>
      <c r="AE58" s="63"/>
      <c r="AF58" s="63"/>
      <c r="AG58" s="63"/>
      <c r="AH58" s="63" t="s">
        <v>444</v>
      </c>
      <c r="AI58" s="63" t="s">
        <v>824</v>
      </c>
      <c r="AJ58" s="63" t="s">
        <v>825</v>
      </c>
      <c r="AK58" s="63"/>
      <c r="AL58" s="63"/>
      <c r="AM58" s="63" t="s">
        <v>826</v>
      </c>
      <c r="AN58" s="63" t="s">
        <v>827</v>
      </c>
      <c r="AO58" s="63" t="s">
        <v>828</v>
      </c>
      <c r="AP58" s="63" t="s">
        <v>370</v>
      </c>
      <c r="AQ58" s="63">
        <v>1</v>
      </c>
      <c r="AR58" s="63"/>
      <c r="AS58" s="63" t="s">
        <v>829</v>
      </c>
      <c r="AT58" s="63" t="s">
        <v>358</v>
      </c>
      <c r="AU58" s="63" t="s">
        <v>437</v>
      </c>
      <c r="AV58" s="63"/>
      <c r="AW58" s="63"/>
      <c r="AX58" s="63">
        <f>--ISNUMBER(IFERROR(SEARCH(Tempset!$M$4,AM58,1),""))</f>
        <v>1</v>
      </c>
      <c r="AY58" s="63">
        <f>IF(AX58=1,COUNTIF($AX$3:AX58,1),"")</f>
        <v>56</v>
      </c>
      <c r="AZ58" s="63" t="str">
        <f>IFERROR(INDEX($AM$3:$AM$1165,MATCH(ROWS($AY$3:AY58),$AY$3:$AY$1165,0)),"")</f>
        <v>bankruptcy</v>
      </c>
      <c r="BA58" s="63"/>
    </row>
    <row r="59" spans="5:53" x14ac:dyDescent="0.2">
      <c r="E59" s="23" t="s">
        <v>263</v>
      </c>
      <c r="F59" s="63"/>
      <c r="G59" s="63"/>
      <c r="H59" s="63"/>
      <c r="I59" s="63"/>
      <c r="J59" s="63"/>
      <c r="K59" s="63"/>
      <c r="L59" s="63"/>
      <c r="M59" s="63"/>
      <c r="N59" s="63"/>
      <c r="O59" s="63"/>
      <c r="P59" s="63"/>
      <c r="Q59" s="63"/>
      <c r="R59" s="63"/>
      <c r="S59" s="63"/>
      <c r="T59" s="63"/>
      <c r="U59" s="63"/>
      <c r="V59" s="63"/>
      <c r="W59" s="63"/>
      <c r="X59" s="63"/>
      <c r="Y59" s="63"/>
      <c r="Z59" s="63"/>
      <c r="AA59" s="63"/>
      <c r="AB59" s="63"/>
      <c r="AC59" s="63"/>
      <c r="AD59" s="63"/>
      <c r="AE59" s="63"/>
      <c r="AF59" s="63"/>
      <c r="AG59" s="63"/>
      <c r="AH59" s="63" t="s">
        <v>461</v>
      </c>
      <c r="AI59" s="63" t="s">
        <v>830</v>
      </c>
      <c r="AJ59" s="63" t="s">
        <v>831</v>
      </c>
      <c r="AK59" s="63"/>
      <c r="AL59" s="63"/>
      <c r="AM59" s="63" t="s">
        <v>832</v>
      </c>
      <c r="AN59" s="63" t="s">
        <v>833</v>
      </c>
      <c r="AO59" s="63" t="s">
        <v>834</v>
      </c>
      <c r="AP59" s="63" t="s">
        <v>370</v>
      </c>
      <c r="AQ59" s="63">
        <v>3</v>
      </c>
      <c r="AR59" s="63"/>
      <c r="AS59" s="63" t="s">
        <v>506</v>
      </c>
      <c r="AT59" s="63" t="s">
        <v>358</v>
      </c>
      <c r="AU59" s="63" t="s">
        <v>835</v>
      </c>
      <c r="AV59" s="63"/>
      <c r="AW59" s="63"/>
      <c r="AX59" s="63">
        <f>--ISNUMBER(IFERROR(SEARCH(Tempset!$M$4,AM59,1),""))</f>
        <v>1</v>
      </c>
      <c r="AY59" s="63">
        <f>IF(AX59=1,COUNTIF($AX$3:AX59,1),"")</f>
        <v>57</v>
      </c>
      <c r="AZ59" s="63" t="str">
        <f>IFERROR(INDEX($AM$3:$AM$1165,MATCH(ROWS($AY$3:AY59),$AY$3:$AY$1165,0)),"")</f>
        <v>bankruptcyRemoteFlag</v>
      </c>
      <c r="BA59" s="63"/>
    </row>
    <row r="60" spans="5:53" x14ac:dyDescent="0.2">
      <c r="E60" s="63"/>
      <c r="F60" s="63"/>
      <c r="G60" s="63"/>
      <c r="H60" s="63"/>
      <c r="I60" s="63"/>
      <c r="J60" s="63"/>
      <c r="K60" s="63"/>
      <c r="L60" s="63"/>
      <c r="M60" s="63"/>
      <c r="N60" s="63"/>
      <c r="O60" s="63"/>
      <c r="P60" s="63"/>
      <c r="Q60" s="63"/>
      <c r="R60" s="63"/>
      <c r="S60" s="63"/>
      <c r="T60" s="63"/>
      <c r="U60" s="63"/>
      <c r="V60" s="63"/>
      <c r="W60" s="63"/>
      <c r="X60" s="63"/>
      <c r="Y60" s="63"/>
      <c r="Z60" s="63"/>
      <c r="AA60" s="63"/>
      <c r="AB60" s="63"/>
      <c r="AC60" s="63"/>
      <c r="AD60" s="63"/>
      <c r="AE60" s="63"/>
      <c r="AF60" s="63"/>
      <c r="AG60" s="63"/>
      <c r="AH60" s="63" t="s">
        <v>476</v>
      </c>
      <c r="AI60" s="63" t="s">
        <v>836</v>
      </c>
      <c r="AJ60" s="63" t="s">
        <v>837</v>
      </c>
      <c r="AK60" s="63"/>
      <c r="AL60" s="63"/>
      <c r="AM60" s="63" t="s">
        <v>838</v>
      </c>
      <c r="AN60" s="63" t="s">
        <v>839</v>
      </c>
      <c r="AO60" s="63" t="s">
        <v>840</v>
      </c>
      <c r="AP60" s="63" t="s">
        <v>291</v>
      </c>
      <c r="AQ60" s="63">
        <v>3</v>
      </c>
      <c r="AR60" s="63"/>
      <c r="AS60" s="63" t="s">
        <v>841</v>
      </c>
      <c r="AT60" s="63" t="s">
        <v>358</v>
      </c>
      <c r="AU60" s="63" t="s">
        <v>841</v>
      </c>
      <c r="AV60" s="63"/>
      <c r="AW60" s="63"/>
      <c r="AX60" s="63">
        <f>--ISNUMBER(IFERROR(SEARCH(Tempset!$M$4,AM60,1),""))</f>
        <v>1</v>
      </c>
      <c r="AY60" s="63">
        <f>IF(AX60=1,COUNTIF($AX$3:AX60,1),"")</f>
        <v>58</v>
      </c>
      <c r="AZ60" s="63" t="str">
        <f>IFERROR(INDEX($AM$3:$AM$1165,MATCH(ROWS($AY$3:AY60),$AY$3:$AY$1165,0)),"")</f>
        <v>barrierCode</v>
      </c>
      <c r="BA60" s="63"/>
    </row>
    <row r="61" spans="5:53" x14ac:dyDescent="0.2">
      <c r="E61" s="63"/>
      <c r="F61" s="63"/>
      <c r="G61" s="63"/>
      <c r="H61" s="63"/>
      <c r="I61" s="63"/>
      <c r="J61" s="63"/>
      <c r="K61" s="63"/>
      <c r="L61" s="63"/>
      <c r="M61" s="63"/>
      <c r="N61" s="63"/>
      <c r="O61" s="63"/>
      <c r="P61" s="63"/>
      <c r="Q61" s="63"/>
      <c r="R61" s="63"/>
      <c r="S61" s="63"/>
      <c r="T61" s="63"/>
      <c r="U61" s="63"/>
      <c r="V61" s="63"/>
      <c r="W61" s="63"/>
      <c r="X61" s="63"/>
      <c r="Y61" s="63"/>
      <c r="Z61" s="63"/>
      <c r="AA61" s="63"/>
      <c r="AB61" s="63"/>
      <c r="AC61" s="63"/>
      <c r="AD61" s="63"/>
      <c r="AE61" s="63"/>
      <c r="AF61" s="63"/>
      <c r="AG61" s="63"/>
      <c r="AH61" s="63" t="s">
        <v>476</v>
      </c>
      <c r="AI61" s="63" t="s">
        <v>842</v>
      </c>
      <c r="AJ61" s="63" t="s">
        <v>843</v>
      </c>
      <c r="AK61" s="63"/>
      <c r="AL61" s="63"/>
      <c r="AM61" s="63" t="s">
        <v>844</v>
      </c>
      <c r="AN61" s="63" t="s">
        <v>845</v>
      </c>
      <c r="AO61" s="63" t="s">
        <v>846</v>
      </c>
      <c r="AP61" s="63" t="s">
        <v>538</v>
      </c>
      <c r="AQ61" s="63">
        <v>4</v>
      </c>
      <c r="AR61" s="63"/>
      <c r="AS61" s="63" t="s">
        <v>847</v>
      </c>
      <c r="AT61" s="63" t="s">
        <v>358</v>
      </c>
      <c r="AU61" s="63" t="s">
        <v>493</v>
      </c>
      <c r="AV61" s="63"/>
      <c r="AW61" s="63"/>
      <c r="AX61" s="63">
        <f>--ISNUMBER(IFERROR(SEARCH(Tempset!$M$4,AM61,1),""))</f>
        <v>1</v>
      </c>
      <c r="AY61" s="63">
        <f>IF(AX61=1,COUNTIF($AX$3:AX61,1),"")</f>
        <v>59</v>
      </c>
      <c r="AZ61" s="63" t="str">
        <f>IFERROR(INDEX($AM$3:$AM$1165,MATCH(ROWS($AY$3:AY61),$AY$3:$AY$1165,0)),"")</f>
        <v>baseCurrency</v>
      </c>
      <c r="BA61" s="63"/>
    </row>
    <row r="62" spans="5:53" x14ac:dyDescent="0.2">
      <c r="E62" s="63"/>
      <c r="F62" s="63"/>
      <c r="G62" s="63"/>
      <c r="H62" s="63"/>
      <c r="I62" s="63"/>
      <c r="J62" s="63"/>
      <c r="K62" s="63"/>
      <c r="L62" s="63"/>
      <c r="M62" s="63"/>
      <c r="N62" s="63"/>
      <c r="O62" s="63"/>
      <c r="P62" s="63"/>
      <c r="Q62" s="63"/>
      <c r="R62" s="63"/>
      <c r="S62" s="63"/>
      <c r="T62" s="63"/>
      <c r="U62" s="63"/>
      <c r="V62" s="63"/>
      <c r="W62" s="63"/>
      <c r="X62" s="63"/>
      <c r="Y62" s="63"/>
      <c r="Z62" s="63"/>
      <c r="AA62" s="63"/>
      <c r="AB62" s="63"/>
      <c r="AC62" s="63"/>
      <c r="AD62" s="63"/>
      <c r="AE62" s="63"/>
      <c r="AF62" s="63"/>
      <c r="AG62" s="63"/>
      <c r="AH62" s="63" t="s">
        <v>476</v>
      </c>
      <c r="AI62" s="63" t="s">
        <v>848</v>
      </c>
      <c r="AJ62" s="63" t="s">
        <v>849</v>
      </c>
      <c r="AK62" s="63"/>
      <c r="AL62" s="63"/>
      <c r="AM62" s="63" t="s">
        <v>850</v>
      </c>
      <c r="AN62" s="63" t="s">
        <v>851</v>
      </c>
      <c r="AO62" s="63" t="s">
        <v>852</v>
      </c>
      <c r="AP62" s="63" t="s">
        <v>760</v>
      </c>
      <c r="AQ62" s="63">
        <v>1</v>
      </c>
      <c r="AR62" s="63"/>
      <c r="AS62" s="63" t="s">
        <v>853</v>
      </c>
      <c r="AT62" s="63" t="s">
        <v>358</v>
      </c>
      <c r="AU62" s="63" t="s">
        <v>593</v>
      </c>
      <c r="AV62" s="63"/>
      <c r="AW62" s="63"/>
      <c r="AX62" s="63">
        <f>--ISNUMBER(IFERROR(SEARCH(Tempset!$M$4,AM62,1),""))</f>
        <v>1</v>
      </c>
      <c r="AY62" s="63">
        <f>IF(AX62=1,COUNTIF($AX$3:AX62,1),"")</f>
        <v>60</v>
      </c>
      <c r="AZ62" s="63" t="str">
        <f>IFERROR(INDEX($AM$3:$AM$1165,MATCH(ROWS($AY$3:AY62),$AY$3:$AY$1165,0)),"")</f>
        <v>basel2TierInfo</v>
      </c>
      <c r="BA62" s="63"/>
    </row>
    <row r="63" spans="5:53" x14ac:dyDescent="0.2">
      <c r="E63" s="63"/>
      <c r="F63" s="63"/>
      <c r="G63" s="63"/>
      <c r="H63" s="63"/>
      <c r="I63" s="63"/>
      <c r="J63" s="63"/>
      <c r="K63" s="63"/>
      <c r="L63" s="63"/>
      <c r="M63" s="63"/>
      <c r="N63" s="63"/>
      <c r="O63" s="63"/>
      <c r="P63" s="63"/>
      <c r="Q63" s="63"/>
      <c r="R63" s="63"/>
      <c r="S63" s="63"/>
      <c r="T63" s="63"/>
      <c r="U63" s="63"/>
      <c r="V63" s="63"/>
      <c r="W63" s="63"/>
      <c r="X63" s="63"/>
      <c r="Y63" s="63"/>
      <c r="Z63" s="63"/>
      <c r="AA63" s="63"/>
      <c r="AB63" s="63"/>
      <c r="AC63" s="63"/>
      <c r="AD63" s="63"/>
      <c r="AE63" s="63"/>
      <c r="AF63" s="63"/>
      <c r="AG63" s="63"/>
      <c r="AH63" s="63" t="s">
        <v>476</v>
      </c>
      <c r="AI63" s="63" t="s">
        <v>854</v>
      </c>
      <c r="AJ63" s="63" t="s">
        <v>855</v>
      </c>
      <c r="AK63" s="63"/>
      <c r="AL63" s="63"/>
      <c r="AM63" s="63" t="s">
        <v>856</v>
      </c>
      <c r="AN63" s="63" t="s">
        <v>857</v>
      </c>
      <c r="AO63" s="63" t="s">
        <v>858</v>
      </c>
      <c r="AP63" s="63" t="s">
        <v>355</v>
      </c>
      <c r="AQ63" s="63">
        <v>1</v>
      </c>
      <c r="AR63" s="63"/>
      <c r="AS63" s="63" t="s">
        <v>859</v>
      </c>
      <c r="AT63" s="63" t="s">
        <v>358</v>
      </c>
      <c r="AU63" s="63" t="s">
        <v>860</v>
      </c>
      <c r="AV63" s="63"/>
      <c r="AW63" s="63"/>
      <c r="AX63" s="63">
        <f>--ISNUMBER(IFERROR(SEARCH(Tempset!$M$4,AM63,1),""))</f>
        <v>1</v>
      </c>
      <c r="AY63" s="63">
        <f>IF(AX63=1,COUNTIF($AX$3:AX63,1),"")</f>
        <v>61</v>
      </c>
      <c r="AZ63" s="63" t="str">
        <f>IFERROR(INDEX($AM$3:$AM$1165,MATCH(ROWS($AY$3:AY63),$AY$3:$AY$1165,0)),"")</f>
        <v>basel3TierInfo</v>
      </c>
      <c r="BA63" s="63"/>
    </row>
    <row r="64" spans="5:53" x14ac:dyDescent="0.2">
      <c r="E64" s="63"/>
      <c r="F64" s="63"/>
      <c r="G64" s="63"/>
      <c r="H64" s="63"/>
      <c r="I64" s="63"/>
      <c r="J64" s="63"/>
      <c r="K64" s="63"/>
      <c r="L64" s="63"/>
      <c r="M64" s="63"/>
      <c r="N64" s="63"/>
      <c r="O64" s="63"/>
      <c r="P64" s="63"/>
      <c r="Q64" s="63"/>
      <c r="R64" s="63"/>
      <c r="S64" s="63"/>
      <c r="T64" s="63"/>
      <c r="U64" s="63"/>
      <c r="V64" s="63"/>
      <c r="W64" s="63"/>
      <c r="X64" s="63"/>
      <c r="Y64" s="63"/>
      <c r="Z64" s="63"/>
      <c r="AA64" s="63"/>
      <c r="AB64" s="63"/>
      <c r="AC64" s="63"/>
      <c r="AD64" s="63"/>
      <c r="AE64" s="63"/>
      <c r="AF64" s="63"/>
      <c r="AG64" s="63"/>
      <c r="AH64" s="63" t="s">
        <v>476</v>
      </c>
      <c r="AI64" s="63" t="s">
        <v>861</v>
      </c>
      <c r="AJ64" s="63" t="s">
        <v>862</v>
      </c>
      <c r="AK64" s="63"/>
      <c r="AL64" s="63"/>
      <c r="AM64" s="63" t="s">
        <v>863</v>
      </c>
      <c r="AN64" s="63" t="s">
        <v>864</v>
      </c>
      <c r="AO64" s="63" t="s">
        <v>865</v>
      </c>
      <c r="AP64" s="63" t="s">
        <v>866</v>
      </c>
      <c r="AQ64" s="63">
        <v>4</v>
      </c>
      <c r="AR64" s="63"/>
      <c r="AS64" s="63" t="s">
        <v>867</v>
      </c>
      <c r="AT64" s="63" t="s">
        <v>358</v>
      </c>
      <c r="AU64" s="63" t="s">
        <v>357</v>
      </c>
      <c r="AV64" s="63"/>
      <c r="AW64" s="63"/>
      <c r="AX64" s="63">
        <f>--ISNUMBER(IFERROR(SEARCH(Tempset!$M$4,AM64,1),""))</f>
        <v>1</v>
      </c>
      <c r="AY64" s="63">
        <f>IF(AX64=1,COUNTIF($AX$3:AX64,1),"")</f>
        <v>62</v>
      </c>
      <c r="AZ64" s="63" t="str">
        <f>IFERROR(INDEX($AM$3:$AM$1165,MATCH(ROWS($AY$3:AY64),$AY$3:$AY$1165,0)),"")</f>
        <v>baselCategory</v>
      </c>
      <c r="BA64" s="63"/>
    </row>
    <row r="65" spans="34:53" x14ac:dyDescent="0.2">
      <c r="AH65" s="63" t="s">
        <v>476</v>
      </c>
      <c r="AI65" s="63" t="s">
        <v>868</v>
      </c>
      <c r="AJ65" s="63" t="s">
        <v>869</v>
      </c>
      <c r="AK65" s="63"/>
      <c r="AL65" s="63"/>
      <c r="AM65" s="63" t="s">
        <v>870</v>
      </c>
      <c r="AN65" s="63" t="s">
        <v>871</v>
      </c>
      <c r="AO65" s="63" t="s">
        <v>872</v>
      </c>
      <c r="AP65" s="63" t="s">
        <v>692</v>
      </c>
      <c r="AQ65" s="63">
        <v>2</v>
      </c>
      <c r="AR65" s="63"/>
      <c r="AS65" s="63" t="s">
        <v>529</v>
      </c>
      <c r="AT65" s="63" t="s">
        <v>358</v>
      </c>
      <c r="AU65" s="63" t="s">
        <v>529</v>
      </c>
      <c r="AV65" s="63"/>
      <c r="AW65" s="63"/>
      <c r="AX65" s="63">
        <f>--ISNUMBER(IFERROR(SEARCH(Tempset!$M$4,AM65,1),""))</f>
        <v>1</v>
      </c>
      <c r="AY65" s="63">
        <f>IF(AX65=1,COUNTIF($AX$3:AX65,1),"")</f>
        <v>63</v>
      </c>
      <c r="AZ65" s="63" t="str">
        <f>IFERROR(INDEX($AM$3:$AM$1165,MATCH(ROWS($AY$3:AY65),$AY$3:$AY$1165,0)),"")</f>
        <v>baselineCapitalPlan</v>
      </c>
      <c r="BA65" s="63"/>
    </row>
    <row r="66" spans="34:53" x14ac:dyDescent="0.2">
      <c r="AH66" s="63" t="s">
        <v>488</v>
      </c>
      <c r="AI66" s="63" t="s">
        <v>873</v>
      </c>
      <c r="AJ66" s="63" t="s">
        <v>874</v>
      </c>
      <c r="AK66" s="63"/>
      <c r="AL66" s="63"/>
      <c r="AM66" s="63" t="s">
        <v>875</v>
      </c>
      <c r="AN66" s="63" t="s">
        <v>876</v>
      </c>
      <c r="AO66" s="63" t="s">
        <v>877</v>
      </c>
      <c r="AP66" s="63" t="s">
        <v>370</v>
      </c>
      <c r="AQ66" s="63">
        <v>3</v>
      </c>
      <c r="AR66" s="63"/>
      <c r="AS66" s="63" t="s">
        <v>408</v>
      </c>
      <c r="AT66" s="63" t="s">
        <v>358</v>
      </c>
      <c r="AU66" s="63" t="str">
        <f>CONCATENATE(AU45,",",AU46,",",AU47,",",AU48,",",AU49,",",AU50,",",AU51,",",AU52,",",AU53,",",AU54,",",AU55,",",AU56,",",AU57,",",AU58,",",AU59,",",AU60,",",AU61,",",AU62,",",AU63,",",AU64,",",AU65)</f>
        <v>Cayman Islands,England and Wales, United Kingdom,Ontario, Canada,Ireland, Republic of,Italy,New York, USA,Hong Kong,South Korea,Singapore,Taiwan,India,China, People's Republic of , China, People's Republic,Victoria, Australia,Japan,Bahrain, Kingdom of,Guernsey,Bahamas,Saudi Arabia,Dubai, United Arab Emirates,Spain,Luxembourg</v>
      </c>
      <c r="AV66" s="63"/>
      <c r="AW66" s="63"/>
      <c r="AX66" s="63">
        <f>--ISNUMBER(IFERROR(SEARCH(Tempset!$M$4,AM66,1),""))</f>
        <v>1</v>
      </c>
      <c r="AY66" s="63">
        <f>IF(AX66=1,COUNTIF($AX$3:AX66,1),"")</f>
        <v>64</v>
      </c>
      <c r="AZ66" s="63" t="str">
        <f>IFERROR(INDEX($AM$3:$AM$1165,MATCH(ROWS($AY$3:AY66),$AY$3:$AY$1165,0)),"")</f>
        <v>baselineScenarioCost</v>
      </c>
      <c r="BA66" s="63"/>
    </row>
    <row r="67" spans="34:53" x14ac:dyDescent="0.2">
      <c r="AH67" s="63" t="s">
        <v>488</v>
      </c>
      <c r="AI67" s="63" t="s">
        <v>878</v>
      </c>
      <c r="AJ67" s="63" t="s">
        <v>879</v>
      </c>
      <c r="AK67" s="63"/>
      <c r="AL67" s="63"/>
      <c r="AM67" s="63" t="s">
        <v>880</v>
      </c>
      <c r="AN67" s="63" t="s">
        <v>881</v>
      </c>
      <c r="AO67" s="63" t="s">
        <v>882</v>
      </c>
      <c r="AP67" s="63" t="s">
        <v>370</v>
      </c>
      <c r="AQ67" s="63">
        <v>2</v>
      </c>
      <c r="AR67" s="63"/>
      <c r="AS67" s="63" t="s">
        <v>423</v>
      </c>
      <c r="AT67" s="63" t="s">
        <v>358</v>
      </c>
      <c r="AU67" s="63" t="s">
        <v>423</v>
      </c>
      <c r="AV67" s="63"/>
      <c r="AW67" s="63"/>
      <c r="AX67" s="63">
        <f>--ISNUMBER(IFERROR(SEARCH(Tempset!$M$4,AM67,1),""))</f>
        <v>1</v>
      </c>
      <c r="AY67" s="63">
        <f>IF(AX67=1,COUNTIF($AX$3:AX67,1),"")</f>
        <v>65</v>
      </c>
      <c r="AZ67" s="63" t="str">
        <f>IFERROR(INDEX($AM$3:$AM$1165,MATCH(ROWS($AY$3:AY67),$AY$3:$AY$1165,0)),"")</f>
        <v>baseRateType</v>
      </c>
      <c r="BA67" s="63"/>
    </row>
    <row r="68" spans="34:53" x14ac:dyDescent="0.2">
      <c r="AH68" s="63" t="s">
        <v>488</v>
      </c>
      <c r="AI68" s="63" t="s">
        <v>883</v>
      </c>
      <c r="AJ68" s="63" t="s">
        <v>884</v>
      </c>
      <c r="AK68" s="63"/>
      <c r="AL68" s="63"/>
      <c r="AM68" s="63" t="s">
        <v>885</v>
      </c>
      <c r="AN68" s="63" t="s">
        <v>886</v>
      </c>
      <c r="AO68" s="63" t="s">
        <v>887</v>
      </c>
      <c r="AP68" s="63" t="s">
        <v>407</v>
      </c>
      <c r="AQ68" s="63">
        <v>2</v>
      </c>
      <c r="AR68" s="63"/>
      <c r="AS68" s="63" t="s">
        <v>888</v>
      </c>
      <c r="AT68" s="63" t="s">
        <v>373</v>
      </c>
      <c r="AU68" s="63" t="s">
        <v>274</v>
      </c>
      <c r="AV68" s="63"/>
      <c r="AW68" s="63"/>
      <c r="AX68" s="63">
        <f>--ISNUMBER(IFERROR(SEARCH(Tempset!$M$4,AM68,1),""))</f>
        <v>1</v>
      </c>
      <c r="AY68" s="63">
        <f>IF(AX68=1,COUNTIF($AX$3:AX68,1),"")</f>
        <v>66</v>
      </c>
      <c r="AZ68" s="63" t="str">
        <f>IFERROR(INDEX($AM$3:$AM$1165,MATCH(ROWS($AY$3:AY68),$AY$3:$AY$1165,0)),"")</f>
        <v>baseScenarioEmergingInactives</v>
      </c>
      <c r="BA68" s="63"/>
    </row>
    <row r="69" spans="34:53" x14ac:dyDescent="0.2">
      <c r="AH69" s="63" t="s">
        <v>488</v>
      </c>
      <c r="AI69" s="63" t="s">
        <v>889</v>
      </c>
      <c r="AJ69" s="63" t="s">
        <v>890</v>
      </c>
      <c r="AK69" s="63"/>
      <c r="AL69" s="63"/>
      <c r="AM69" s="63" t="s">
        <v>891</v>
      </c>
      <c r="AN69" s="63" t="s">
        <v>892</v>
      </c>
      <c r="AO69" s="63" t="s">
        <v>893</v>
      </c>
      <c r="AP69" s="63" t="s">
        <v>309</v>
      </c>
      <c r="AQ69" s="63">
        <v>2</v>
      </c>
      <c r="AR69" s="63"/>
      <c r="AS69" s="63" t="s">
        <v>894</v>
      </c>
      <c r="AT69" s="63" t="s">
        <v>373</v>
      </c>
      <c r="AU69" s="63" t="s">
        <v>809</v>
      </c>
      <c r="AV69" s="63"/>
      <c r="AW69" s="63"/>
      <c r="AX69" s="63">
        <f>--ISNUMBER(IFERROR(SEARCH(Tempset!$M$4,AM69,1),""))</f>
        <v>1</v>
      </c>
      <c r="AY69" s="63">
        <f>IF(AX69=1,COUNTIF($AX$3:AX69,1),"")</f>
        <v>67</v>
      </c>
      <c r="AZ69" s="63" t="str">
        <f>IFERROR(INDEX($AM$3:$AM$1165,MATCH(ROWS($AY$3:AY69),$AY$3:$AY$1165,0)),"")</f>
        <v>baseScenarioInactives</v>
      </c>
      <c r="BA69" s="63"/>
    </row>
    <row r="70" spans="34:53" x14ac:dyDescent="0.2">
      <c r="AH70" s="63" t="s">
        <v>488</v>
      </c>
      <c r="AI70" s="63" t="s">
        <v>895</v>
      </c>
      <c r="AJ70" s="63" t="s">
        <v>896</v>
      </c>
      <c r="AK70" s="63"/>
      <c r="AL70" s="63"/>
      <c r="AM70" s="63" t="s">
        <v>897</v>
      </c>
      <c r="AN70" s="63" t="s">
        <v>898</v>
      </c>
      <c r="AO70" s="63" t="s">
        <v>899</v>
      </c>
      <c r="AP70" s="63" t="s">
        <v>558</v>
      </c>
      <c r="AQ70" s="63">
        <v>2</v>
      </c>
      <c r="AR70" s="63"/>
      <c r="AS70" s="63" t="s">
        <v>900</v>
      </c>
      <c r="AT70" s="63" t="s">
        <v>373</v>
      </c>
      <c r="AU70" s="63" t="s">
        <v>469</v>
      </c>
      <c r="AV70" s="63"/>
      <c r="AW70" s="63"/>
      <c r="AX70" s="63">
        <f>--ISNUMBER(IFERROR(SEARCH(Tempset!$M$4,AM70,1),""))</f>
        <v>1</v>
      </c>
      <c r="AY70" s="63">
        <f>IF(AX70=1,COUNTIF($AX$3:AX70,1),"")</f>
        <v>68</v>
      </c>
      <c r="AZ70" s="63" t="str">
        <f>IFERROR(INDEX($AM$3:$AM$1165,MATCH(ROWS($AY$3:AY70),$AY$3:$AY$1165,0)),"")</f>
        <v>basisSwap</v>
      </c>
      <c r="BA70" s="63"/>
    </row>
    <row r="71" spans="34:53" x14ac:dyDescent="0.2">
      <c r="AH71" s="63" t="s">
        <v>488</v>
      </c>
      <c r="AI71" s="63" t="s">
        <v>901</v>
      </c>
      <c r="AJ71" s="63" t="s">
        <v>902</v>
      </c>
      <c r="AK71" s="63"/>
      <c r="AL71" s="63"/>
      <c r="AM71" s="63" t="s">
        <v>903</v>
      </c>
      <c r="AN71" s="63" t="s">
        <v>904</v>
      </c>
      <c r="AO71" s="63" t="s">
        <v>905</v>
      </c>
      <c r="AP71" s="63" t="s">
        <v>355</v>
      </c>
      <c r="AQ71" s="63">
        <v>2</v>
      </c>
      <c r="AR71" s="63"/>
      <c r="AS71" s="63" t="s">
        <v>906</v>
      </c>
      <c r="AT71" s="63" t="s">
        <v>373</v>
      </c>
      <c r="AU71" s="63" t="s">
        <v>907</v>
      </c>
      <c r="AV71" s="63"/>
      <c r="AW71" s="63"/>
      <c r="AX71" s="63">
        <f>--ISNUMBER(IFERROR(SEARCH(Tempset!$M$4,AM71,1),""))</f>
        <v>1</v>
      </c>
      <c r="AY71" s="63">
        <f>IF(AX71=1,COUNTIF($AX$3:AX71,1),"")</f>
        <v>69</v>
      </c>
      <c r="AZ71" s="63" t="str">
        <f>IFERROR(INDEX($AM$3:$AM$1165,MATCH(ROWS($AY$3:AY71),$AY$3:$AY$1165,0)),"")</f>
        <v>basisTrade</v>
      </c>
      <c r="BA71" s="63"/>
    </row>
    <row r="72" spans="34:53" x14ac:dyDescent="0.2">
      <c r="AH72" s="63" t="s">
        <v>488</v>
      </c>
      <c r="AI72" s="63" t="s">
        <v>908</v>
      </c>
      <c r="AJ72" s="63" t="s">
        <v>909</v>
      </c>
      <c r="AK72" s="63"/>
      <c r="AL72" s="63"/>
      <c r="AM72" s="63" t="s">
        <v>910</v>
      </c>
      <c r="AN72" s="63" t="s">
        <v>911</v>
      </c>
      <c r="AO72" s="63" t="s">
        <v>912</v>
      </c>
      <c r="AP72" s="63" t="s">
        <v>692</v>
      </c>
      <c r="AQ72" s="63">
        <v>1</v>
      </c>
      <c r="AR72" s="63"/>
      <c r="AS72" s="63" t="s">
        <v>408</v>
      </c>
      <c r="AT72" s="63" t="s">
        <v>373</v>
      </c>
      <c r="AU72" s="63" t="str">
        <f>CONCATENATE(AU68,",",AU69,",",AU70,",",AU71)</f>
        <v>England and Wales, United Kingdom,India,Singapore,Poland</v>
      </c>
      <c r="AV72" s="63"/>
      <c r="AW72" s="63"/>
      <c r="AX72" s="63">
        <f>--ISNUMBER(IFERROR(SEARCH(Tempset!$M$4,AM72,1),""))</f>
        <v>1</v>
      </c>
      <c r="AY72" s="63">
        <f>IF(AX72=1,COUNTIF($AX$3:AX72,1),"")</f>
        <v>70</v>
      </c>
      <c r="AZ72" s="63" t="str">
        <f>IFERROR(INDEX($AM$3:$AM$1165,MATCH(ROWS($AY$3:AY72),$AY$3:$AY$1165,0)),"")</f>
        <v>BasisTradeTransactionFlag</v>
      </c>
      <c r="BA72" s="63"/>
    </row>
    <row r="73" spans="34:53" x14ac:dyDescent="0.2">
      <c r="AH73" s="63" t="s">
        <v>488</v>
      </c>
      <c r="AI73" s="63" t="s">
        <v>913</v>
      </c>
      <c r="AJ73" s="63" t="s">
        <v>914</v>
      </c>
      <c r="AK73" s="63"/>
      <c r="AL73" s="63"/>
      <c r="AM73" s="63" t="s">
        <v>915</v>
      </c>
      <c r="AN73" s="63" t="s">
        <v>916</v>
      </c>
      <c r="AO73" s="63" t="s">
        <v>917</v>
      </c>
      <c r="AP73" s="63" t="s">
        <v>866</v>
      </c>
      <c r="AQ73" s="63">
        <v>3</v>
      </c>
      <c r="AR73" s="63"/>
      <c r="AS73" s="63" t="s">
        <v>423</v>
      </c>
      <c r="AT73" s="63" t="s">
        <v>373</v>
      </c>
      <c r="AU73" s="63" t="s">
        <v>423</v>
      </c>
      <c r="AV73" s="63"/>
      <c r="AW73" s="63"/>
      <c r="AX73" s="63">
        <f>--ISNUMBER(IFERROR(SEARCH(Tempset!$M$4,AM73,1),""))</f>
        <v>1</v>
      </c>
      <c r="AY73" s="63">
        <f>IF(AX73=1,COUNTIF($AX$3:AX73,1),"")</f>
        <v>71</v>
      </c>
      <c r="AZ73" s="63" t="str">
        <f>IFERROR(INDEX($AM$3:$AM$1165,MATCH(ROWS($AY$3:AY73),$AY$3:$AY$1165,0)),"")</f>
        <v>basketInsuranceBenefit</v>
      </c>
      <c r="BA73" s="63"/>
    </row>
    <row r="74" spans="34:53" x14ac:dyDescent="0.2">
      <c r="AH74" s="63" t="s">
        <v>488</v>
      </c>
      <c r="AI74" s="63" t="s">
        <v>918</v>
      </c>
      <c r="AJ74" s="63" t="s">
        <v>919</v>
      </c>
      <c r="AK74" s="63"/>
      <c r="AL74" s="63"/>
      <c r="AM74" s="63" t="s">
        <v>920</v>
      </c>
      <c r="AN74" s="63" t="s">
        <v>921</v>
      </c>
      <c r="AO74" s="63" t="s">
        <v>922</v>
      </c>
      <c r="AP74" s="63" t="s">
        <v>692</v>
      </c>
      <c r="AQ74" s="63">
        <v>1</v>
      </c>
      <c r="AR74" s="63"/>
      <c r="AS74" s="63" t="s">
        <v>923</v>
      </c>
      <c r="AT74" s="63" t="s">
        <v>385</v>
      </c>
      <c r="AU74" s="63" t="s">
        <v>658</v>
      </c>
      <c r="AV74" s="63"/>
      <c r="AW74" s="63"/>
      <c r="AX74" s="63">
        <f>--ISNUMBER(IFERROR(SEARCH(Tempset!$M$4,AM74,1),""))</f>
        <v>1</v>
      </c>
      <c r="AY74" s="63">
        <f>IF(AX74=1,COUNTIF($AX$3:AX74,1),"")</f>
        <v>72</v>
      </c>
      <c r="AZ74" s="63" t="str">
        <f>IFERROR(INDEX($AM$3:$AM$1165,MATCH(ROWS($AY$3:AY74),$AY$3:$AY$1165,0)),"")</f>
        <v>benchmarkTicker</v>
      </c>
      <c r="BA74" s="63"/>
    </row>
    <row r="75" spans="34:53" x14ac:dyDescent="0.2">
      <c r="AH75" s="63" t="s">
        <v>488</v>
      </c>
      <c r="AI75" s="63" t="s">
        <v>924</v>
      </c>
      <c r="AJ75" s="63" t="s">
        <v>925</v>
      </c>
      <c r="AK75" s="63"/>
      <c r="AL75" s="63"/>
      <c r="AM75" s="63" t="s">
        <v>926</v>
      </c>
      <c r="AN75" s="63" t="s">
        <v>927</v>
      </c>
      <c r="AO75" s="63" t="s">
        <v>928</v>
      </c>
      <c r="AP75" s="63" t="s">
        <v>866</v>
      </c>
      <c r="AQ75" s="63">
        <v>3</v>
      </c>
      <c r="AR75" s="63"/>
      <c r="AS75" s="63" t="s">
        <v>929</v>
      </c>
      <c r="AT75" s="63" t="s">
        <v>385</v>
      </c>
      <c r="AU75" s="63" t="s">
        <v>619</v>
      </c>
      <c r="AV75" s="63"/>
      <c r="AW75" s="63"/>
      <c r="AX75" s="63">
        <f>--ISNUMBER(IFERROR(SEARCH(Tempset!$M$4,AM75,1),""))</f>
        <v>1</v>
      </c>
      <c r="AY75" s="63">
        <f>IF(AX75=1,COUNTIF($AX$3:AX75,1),"")</f>
        <v>73</v>
      </c>
      <c r="AZ75" s="63" t="str">
        <f>IFERROR(INDEX($AM$3:$AM$1165,MATCH(ROWS($AY$3:AY75),$AY$3:$AY$1165,0)),"")</f>
        <v>beta</v>
      </c>
      <c r="BA75" s="63"/>
    </row>
    <row r="76" spans="34:53" x14ac:dyDescent="0.2">
      <c r="AH76" s="63" t="s">
        <v>501</v>
      </c>
      <c r="AI76" s="63" t="s">
        <v>930</v>
      </c>
      <c r="AJ76" s="63" t="s">
        <v>931</v>
      </c>
      <c r="AK76" s="63"/>
      <c r="AL76" s="63"/>
      <c r="AM76" s="63" t="s">
        <v>932</v>
      </c>
      <c r="AN76" s="63" t="s">
        <v>933</v>
      </c>
      <c r="AO76" s="63" t="s">
        <v>934</v>
      </c>
      <c r="AP76" s="63" t="s">
        <v>407</v>
      </c>
      <c r="AQ76" s="63">
        <v>3</v>
      </c>
      <c r="AR76" s="63"/>
      <c r="AS76" s="63" t="s">
        <v>935</v>
      </c>
      <c r="AT76" s="63" t="s">
        <v>385</v>
      </c>
      <c r="AU76" s="63" t="s">
        <v>636</v>
      </c>
      <c r="AV76" s="63"/>
      <c r="AW76" s="63"/>
      <c r="AX76" s="63">
        <f>--ISNUMBER(IFERROR(SEARCH(Tempset!$M$4,AM76,1),""))</f>
        <v>1</v>
      </c>
      <c r="AY76" s="63">
        <f>IF(AX76=1,COUNTIF($AX$3:AX76,1),"")</f>
        <v>74</v>
      </c>
      <c r="AZ76" s="63" t="str">
        <f>IFERROR(INDEX($AM$3:$AM$1165,MATCH(ROWS($AY$3:AY76),$AY$3:$AY$1165,0)),"")</f>
        <v>BFIFlag</v>
      </c>
      <c r="BA76" s="63"/>
    </row>
    <row r="77" spans="34:53" x14ac:dyDescent="0.2">
      <c r="AH77" s="63" t="s">
        <v>501</v>
      </c>
      <c r="AI77" s="63" t="s">
        <v>936</v>
      </c>
      <c r="AJ77" s="63" t="s">
        <v>937</v>
      </c>
      <c r="AK77" s="63"/>
      <c r="AL77" s="63"/>
      <c r="AM77" s="63" t="s">
        <v>938</v>
      </c>
      <c r="AN77" s="63" t="s">
        <v>939</v>
      </c>
      <c r="AO77" s="63" t="s">
        <v>940</v>
      </c>
      <c r="AP77" s="63" t="s">
        <v>941</v>
      </c>
      <c r="AQ77" s="63">
        <v>2</v>
      </c>
      <c r="AR77" s="63"/>
      <c r="AS77" s="63" t="s">
        <v>942</v>
      </c>
      <c r="AT77" s="63" t="s">
        <v>385</v>
      </c>
      <c r="AU77" s="63" t="s">
        <v>943</v>
      </c>
      <c r="AV77" s="63"/>
      <c r="AW77" s="63"/>
      <c r="AX77" s="63">
        <f>--ISNUMBER(IFERROR(SEARCH(Tempset!$M$4,AM77,1),""))</f>
        <v>1</v>
      </c>
      <c r="AY77" s="63">
        <f>IF(AX77=1,COUNTIF($AX$3:AX77,1),"")</f>
        <v>75</v>
      </c>
      <c r="AZ77" s="63" t="str">
        <f>IFERROR(INDEX($AM$3:$AM$1165,MATCH(ROWS($AY$3:AY77),$AY$3:$AY$1165,0)),"")</f>
        <v>BFIHoldingFlag</v>
      </c>
      <c r="BA77" s="63"/>
    </row>
    <row r="78" spans="34:53" x14ac:dyDescent="0.2">
      <c r="AH78" s="63" t="s">
        <v>501</v>
      </c>
      <c r="AI78" s="63" t="s">
        <v>944</v>
      </c>
      <c r="AJ78" s="63" t="s">
        <v>945</v>
      </c>
      <c r="AK78" s="63"/>
      <c r="AL78" s="63"/>
      <c r="AM78" s="63" t="s">
        <v>946</v>
      </c>
      <c r="AN78" s="63" t="s">
        <v>947</v>
      </c>
      <c r="AO78" s="63" t="s">
        <v>948</v>
      </c>
      <c r="AP78" s="63" t="s">
        <v>866</v>
      </c>
      <c r="AQ78" s="63">
        <v>4</v>
      </c>
      <c r="AR78" s="63"/>
      <c r="AS78" s="63" t="s">
        <v>949</v>
      </c>
      <c r="AT78" s="63" t="s">
        <v>385</v>
      </c>
      <c r="AU78" s="63" t="s">
        <v>469</v>
      </c>
      <c r="AV78" s="63"/>
      <c r="AW78" s="63"/>
      <c r="AX78" s="63">
        <f>--ISNUMBER(IFERROR(SEARCH(Tempset!$M$4,AM78,1),""))</f>
        <v>1</v>
      </c>
      <c r="AY78" s="63">
        <f>IF(AX78=1,COUNTIF($AX$3:AX78,1),"")</f>
        <v>76</v>
      </c>
      <c r="AZ78" s="63" t="str">
        <f>IFERROR(INDEX($AM$3:$AM$1165,MATCH(ROWS($AY$3:AY78),$AY$3:$AY$1165,0)),"")</f>
        <v>BFIHoldingInFunds</v>
      </c>
      <c r="BA78" s="63"/>
    </row>
    <row r="79" spans="34:53" x14ac:dyDescent="0.2">
      <c r="AH79" s="63" t="s">
        <v>501</v>
      </c>
      <c r="AI79" s="63" t="s">
        <v>950</v>
      </c>
      <c r="AJ79" s="63" t="s">
        <v>951</v>
      </c>
      <c r="AK79" s="63"/>
      <c r="AL79" s="63"/>
      <c r="AM79" s="63" t="s">
        <v>952</v>
      </c>
      <c r="AN79" s="63" t="s">
        <v>953</v>
      </c>
      <c r="AO79" s="63" t="s">
        <v>954</v>
      </c>
      <c r="AP79" s="63" t="s">
        <v>467</v>
      </c>
      <c r="AQ79" s="63">
        <v>4</v>
      </c>
      <c r="AR79" s="63"/>
      <c r="AS79" s="63" t="s">
        <v>955</v>
      </c>
      <c r="AT79" s="63" t="s">
        <v>385</v>
      </c>
      <c r="AU79" s="63" t="s">
        <v>619</v>
      </c>
      <c r="AV79" s="63"/>
      <c r="AW79" s="63"/>
      <c r="AX79" s="63">
        <f>--ISNUMBER(IFERROR(SEARCH(Tempset!$M$4,AM79,1),""))</f>
        <v>1</v>
      </c>
      <c r="AY79" s="63">
        <f>IF(AX79=1,COUNTIF($AX$3:AX79,1),"")</f>
        <v>77</v>
      </c>
      <c r="AZ79" s="63" t="str">
        <f>IFERROR(INDEX($AM$3:$AM$1165,MATCH(ROWS($AY$3:AY79),$AY$3:$AY$1165,0)),"")</f>
        <v>BFIValue</v>
      </c>
      <c r="BA79" s="63"/>
    </row>
    <row r="80" spans="34:53" x14ac:dyDescent="0.2">
      <c r="AH80" s="63" t="s">
        <v>501</v>
      </c>
      <c r="AI80" s="63" t="s">
        <v>956</v>
      </c>
      <c r="AJ80" s="63" t="s">
        <v>957</v>
      </c>
      <c r="AK80" s="63"/>
      <c r="AL80" s="63"/>
      <c r="AM80" s="63" t="s">
        <v>958</v>
      </c>
      <c r="AN80" s="63" t="s">
        <v>959</v>
      </c>
      <c r="AO80" s="63" t="s">
        <v>960</v>
      </c>
      <c r="AP80" s="63" t="s">
        <v>407</v>
      </c>
      <c r="AQ80" s="63">
        <v>3</v>
      </c>
      <c r="AR80" s="63"/>
      <c r="AS80" s="63" t="s">
        <v>961</v>
      </c>
      <c r="AT80" s="63" t="s">
        <v>385</v>
      </c>
      <c r="AU80" s="63" t="s">
        <v>636</v>
      </c>
      <c r="AV80" s="63"/>
      <c r="AW80" s="63"/>
      <c r="AX80" s="63">
        <f>--ISNUMBER(IFERROR(SEARCH(Tempset!$M$4,AM80,1),""))</f>
        <v>1</v>
      </c>
      <c r="AY80" s="63">
        <f>IF(AX80=1,COUNTIF($AX$3:AX80,1),"")</f>
        <v>78</v>
      </c>
      <c r="AZ80" s="63" t="str">
        <f>IFERROR(INDEX($AM$3:$AM$1165,MATCH(ROWS($AY$3:AY80),$AY$3:$AY$1165,0)),"")</f>
        <v>BFIValueCurrency</v>
      </c>
      <c r="BA80" s="63"/>
    </row>
    <row r="81" spans="34:53" x14ac:dyDescent="0.2">
      <c r="AH81" s="63" t="s">
        <v>512</v>
      </c>
      <c r="AI81" s="63" t="s">
        <v>962</v>
      </c>
      <c r="AJ81" s="63" t="s">
        <v>963</v>
      </c>
      <c r="AK81" s="63"/>
      <c r="AL81" s="63"/>
      <c r="AM81" s="63" t="s">
        <v>964</v>
      </c>
      <c r="AN81" s="63" t="s">
        <v>965</v>
      </c>
      <c r="AO81" s="63" t="s">
        <v>966</v>
      </c>
      <c r="AP81" s="63" t="s">
        <v>324</v>
      </c>
      <c r="AQ81" s="63">
        <v>3</v>
      </c>
      <c r="AR81" s="63"/>
      <c r="AS81" s="63" t="s">
        <v>967</v>
      </c>
      <c r="AT81" s="63" t="s">
        <v>385</v>
      </c>
      <c r="AU81" s="63" t="s">
        <v>968</v>
      </c>
      <c r="AV81" s="63"/>
      <c r="AW81" s="63"/>
      <c r="AX81" s="63">
        <f>--ISNUMBER(IFERROR(SEARCH(Tempset!$M$4,AM81,1),""))</f>
        <v>1</v>
      </c>
      <c r="AY81" s="63">
        <f>IF(AX81=1,COUNTIF($AX$3:AX81,1),"")</f>
        <v>79</v>
      </c>
      <c r="AZ81" s="63" t="str">
        <f>IFERROR(INDEX($AM$3:$AM$1165,MATCH(ROWS($AY$3:AY81),$AY$3:$AY$1165,0)),"")</f>
        <v>BOCollectionId</v>
      </c>
      <c r="BA81" s="63"/>
    </row>
    <row r="82" spans="34:53" x14ac:dyDescent="0.2">
      <c r="AH82" s="63" t="s">
        <v>512</v>
      </c>
      <c r="AI82" s="63" t="s">
        <v>969</v>
      </c>
      <c r="AJ82" s="63" t="s">
        <v>970</v>
      </c>
      <c r="AK82" s="63"/>
      <c r="AL82" s="63"/>
      <c r="AM82" s="63" t="s">
        <v>971</v>
      </c>
      <c r="AN82" s="63" t="s">
        <v>972</v>
      </c>
      <c r="AO82" s="63" t="s">
        <v>973</v>
      </c>
      <c r="AP82" s="63" t="s">
        <v>383</v>
      </c>
      <c r="AQ82" s="63">
        <v>2</v>
      </c>
      <c r="AR82" s="63"/>
      <c r="AS82" s="63" t="s">
        <v>974</v>
      </c>
      <c r="AT82" s="63" t="s">
        <v>385</v>
      </c>
      <c r="AU82" s="63" t="s">
        <v>529</v>
      </c>
      <c r="AV82" s="63"/>
      <c r="AW82" s="63"/>
      <c r="AX82" s="63">
        <f>--ISNUMBER(IFERROR(SEARCH(Tempset!$M$4,AM82,1),""))</f>
        <v>1</v>
      </c>
      <c r="AY82" s="63">
        <f>IF(AX82=1,COUNTIF($AX$3:AX82,1),"")</f>
        <v>80</v>
      </c>
      <c r="AZ82" s="63" t="str">
        <f>IFERROR(INDEX($AM$3:$AM$1165,MATCH(ROWS($AY$3:AY82),$AY$3:$AY$1165,0)),"")</f>
        <v>bondType</v>
      </c>
      <c r="BA82" s="63"/>
    </row>
    <row r="83" spans="34:53" x14ac:dyDescent="0.2">
      <c r="AH83" s="63" t="s">
        <v>522</v>
      </c>
      <c r="AI83" s="63" t="s">
        <v>975</v>
      </c>
      <c r="AJ83" s="63" t="s">
        <v>976</v>
      </c>
      <c r="AK83" s="63"/>
      <c r="AL83" s="63"/>
      <c r="AM83" s="63" t="s">
        <v>977</v>
      </c>
      <c r="AN83" s="63" t="s">
        <v>978</v>
      </c>
      <c r="AO83" s="63" t="s">
        <v>979</v>
      </c>
      <c r="AP83" s="63" t="s">
        <v>355</v>
      </c>
      <c r="AQ83" s="63">
        <v>2</v>
      </c>
      <c r="AR83" s="63"/>
      <c r="AS83" s="63" t="s">
        <v>980</v>
      </c>
      <c r="AT83" s="63" t="s">
        <v>385</v>
      </c>
      <c r="AU83" s="63" t="s">
        <v>981</v>
      </c>
      <c r="AV83" s="63"/>
      <c r="AW83" s="63"/>
      <c r="AX83" s="63">
        <f>--ISNUMBER(IFERROR(SEARCH(Tempset!$M$4,AM83,1),""))</f>
        <v>1</v>
      </c>
      <c r="AY83" s="63">
        <f>IF(AX83=1,COUNTIF($AX$3:AX83,1),"")</f>
        <v>81</v>
      </c>
      <c r="AZ83" s="63" t="str">
        <f>IFERROR(INDEX($AM$3:$AM$1165,MATCH(ROWS($AY$3:AY83),$AY$3:$AY$1165,0)),"")</f>
        <v>bookCategoryCode</v>
      </c>
      <c r="BA83" s="63"/>
    </row>
    <row r="84" spans="34:53" x14ac:dyDescent="0.2">
      <c r="AH84" s="63" t="s">
        <v>532</v>
      </c>
      <c r="AI84" s="63" t="s">
        <v>982</v>
      </c>
      <c r="AJ84" s="63" t="s">
        <v>983</v>
      </c>
      <c r="AK84" s="63"/>
      <c r="AL84" s="63"/>
      <c r="AM84" s="63" t="s">
        <v>984</v>
      </c>
      <c r="AN84" s="63" t="s">
        <v>985</v>
      </c>
      <c r="AO84" s="63" t="s">
        <v>986</v>
      </c>
      <c r="AP84" s="63" t="s">
        <v>569</v>
      </c>
      <c r="AQ84" s="63">
        <v>2</v>
      </c>
      <c r="AR84" s="63"/>
      <c r="AS84" s="63" t="s">
        <v>987</v>
      </c>
      <c r="AT84" s="63" t="s">
        <v>385</v>
      </c>
      <c r="AU84" s="63" t="s">
        <v>809</v>
      </c>
      <c r="AV84" s="63"/>
      <c r="AW84" s="63"/>
      <c r="AX84" s="63">
        <f>--ISNUMBER(IFERROR(SEARCH(Tempset!$M$4,AM84,1),""))</f>
        <v>1</v>
      </c>
      <c r="AY84" s="63">
        <f>IF(AX84=1,COUNTIF($AX$3:AX84,1),"")</f>
        <v>82</v>
      </c>
      <c r="AZ84" s="63" t="str">
        <f>IFERROR(INDEX($AM$3:$AM$1165,MATCH(ROWS($AY$3:AY84),$AY$3:$AY$1165,0)),"")</f>
        <v>bookCoveredPositionFlag</v>
      </c>
      <c r="BA84" s="63"/>
    </row>
    <row r="85" spans="34:53" x14ac:dyDescent="0.2">
      <c r="AH85" s="63" t="s">
        <v>532</v>
      </c>
      <c r="AI85" s="63" t="s">
        <v>988</v>
      </c>
      <c r="AJ85" s="63" t="s">
        <v>989</v>
      </c>
      <c r="AK85" s="63"/>
      <c r="AL85" s="63"/>
      <c r="AM85" s="63" t="s">
        <v>990</v>
      </c>
      <c r="AN85" s="63" t="s">
        <v>991</v>
      </c>
      <c r="AO85" s="63" t="s">
        <v>992</v>
      </c>
      <c r="AP85" s="63" t="s">
        <v>422</v>
      </c>
      <c r="AQ85" s="63">
        <v>3</v>
      </c>
      <c r="AR85" s="63"/>
      <c r="AS85" s="63" t="s">
        <v>993</v>
      </c>
      <c r="AT85" s="63" t="s">
        <v>385</v>
      </c>
      <c r="AU85" s="63" t="s">
        <v>493</v>
      </c>
      <c r="AV85" s="63"/>
      <c r="AW85" s="63"/>
      <c r="AX85" s="63">
        <f>--ISNUMBER(IFERROR(SEARCH(Tempset!$M$4,AM85,1),""))</f>
        <v>1</v>
      </c>
      <c r="AY85" s="63">
        <f>IF(AX85=1,COUNTIF($AX$3:AX85,1),"")</f>
        <v>83</v>
      </c>
      <c r="AZ85" s="63" t="str">
        <f>IFERROR(INDEX($AM$3:$AM$1165,MATCH(ROWS($AY$3:AY85),$AY$3:$AY$1165,0)),"")</f>
        <v>bookingEntityGroupId</v>
      </c>
      <c r="BA85" s="63"/>
    </row>
    <row r="86" spans="34:53" x14ac:dyDescent="0.2">
      <c r="AH86" s="63" t="s">
        <v>541</v>
      </c>
      <c r="AI86" s="63" t="s">
        <v>994</v>
      </c>
      <c r="AJ86" s="63" t="s">
        <v>995</v>
      </c>
      <c r="AK86" s="63"/>
      <c r="AL86" s="63"/>
      <c r="AM86" s="63" t="s">
        <v>996</v>
      </c>
      <c r="AN86" s="63" t="s">
        <v>997</v>
      </c>
      <c r="AO86" s="63" t="s">
        <v>311</v>
      </c>
      <c r="AP86" s="63" t="s">
        <v>467</v>
      </c>
      <c r="AQ86" s="63">
        <v>4</v>
      </c>
      <c r="AR86" s="63"/>
      <c r="AS86" s="63" t="s">
        <v>998</v>
      </c>
      <c r="AT86" s="63" t="s">
        <v>385</v>
      </c>
      <c r="AU86" s="63" t="s">
        <v>493</v>
      </c>
      <c r="AV86" s="63"/>
      <c r="AW86" s="63"/>
      <c r="AX86" s="63">
        <f>--ISNUMBER(IFERROR(SEARCH(Tempset!$M$4,AM86,1),""))</f>
        <v>1</v>
      </c>
      <c r="AY86" s="63">
        <f>IF(AX86=1,COUNTIF($AX$3:AX86,1),"")</f>
        <v>84</v>
      </c>
      <c r="AZ86" s="63" t="str">
        <f>IFERROR(INDEX($AM$3:$AM$1165,MATCH(ROWS($AY$3:AY86),$AY$3:$AY$1165,0)),"")</f>
        <v>bookingEntityId</v>
      </c>
      <c r="BA86" s="63"/>
    </row>
    <row r="87" spans="34:53" x14ac:dyDescent="0.2">
      <c r="AH87" s="63" t="s">
        <v>552</v>
      </c>
      <c r="AI87" s="63" t="s">
        <v>999</v>
      </c>
      <c r="AJ87" s="63" t="s">
        <v>1000</v>
      </c>
      <c r="AK87" s="63"/>
      <c r="AL87" s="63"/>
      <c r="AM87" s="63" t="s">
        <v>1001</v>
      </c>
      <c r="AN87" s="63" t="s">
        <v>1002</v>
      </c>
      <c r="AO87" s="63" t="s">
        <v>1003</v>
      </c>
      <c r="AP87" s="63" t="s">
        <v>569</v>
      </c>
      <c r="AQ87" s="63">
        <v>1</v>
      </c>
      <c r="AR87" s="63"/>
      <c r="AS87" s="63" t="s">
        <v>1004</v>
      </c>
      <c r="AT87" s="63" t="s">
        <v>385</v>
      </c>
      <c r="AU87" s="63" t="s">
        <v>493</v>
      </c>
      <c r="AV87" s="63"/>
      <c r="AW87" s="63"/>
      <c r="AX87" s="63">
        <f>--ISNUMBER(IFERROR(SEARCH(Tempset!$M$4,AM87,1),""))</f>
        <v>1</v>
      </c>
      <c r="AY87" s="63">
        <f>IF(AX87=1,COUNTIF($AX$3:AX87,1),"")</f>
        <v>85</v>
      </c>
      <c r="AZ87" s="63" t="str">
        <f>IFERROR(INDEX($AM$3:$AM$1165,MATCH(ROWS($AY$3:AY87),$AY$3:$AY$1165,0)),"")</f>
        <v>branchCode</v>
      </c>
      <c r="BA87" s="63"/>
    </row>
    <row r="88" spans="34:53" x14ac:dyDescent="0.2">
      <c r="AH88" s="63" t="s">
        <v>563</v>
      </c>
      <c r="AI88" s="63" t="s">
        <v>1005</v>
      </c>
      <c r="AJ88" s="63" t="s">
        <v>1006</v>
      </c>
      <c r="AK88" s="63"/>
      <c r="AL88" s="63"/>
      <c r="AM88" s="63" t="s">
        <v>1007</v>
      </c>
      <c r="AN88" s="63" t="s">
        <v>1008</v>
      </c>
      <c r="AO88" s="63" t="s">
        <v>1009</v>
      </c>
      <c r="AP88" s="63" t="s">
        <v>291</v>
      </c>
      <c r="AQ88" s="63">
        <v>3</v>
      </c>
      <c r="AR88" s="63"/>
      <c r="AS88" s="63" t="s">
        <v>1010</v>
      </c>
      <c r="AT88" s="63" t="s">
        <v>385</v>
      </c>
      <c r="AU88" s="63" t="s">
        <v>968</v>
      </c>
      <c r="AV88" s="63"/>
      <c r="AW88" s="63"/>
      <c r="AX88" s="63">
        <f>--ISNUMBER(IFERROR(SEARCH(Tempset!$M$4,AM88,1),""))</f>
        <v>1</v>
      </c>
      <c r="AY88" s="63">
        <f>IF(AX88=1,COUNTIF($AX$3:AX88,1),"")</f>
        <v>86</v>
      </c>
      <c r="AZ88" s="63" t="str">
        <f>IFERROR(INDEX($AM$3:$AM$1165,MATCH(ROWS($AY$3:AY88),$AY$3:$AY$1165,0)),"")</f>
        <v>bumpSize</v>
      </c>
      <c r="BA88" s="63"/>
    </row>
    <row r="89" spans="34:53" x14ac:dyDescent="0.2">
      <c r="AH89" s="63" t="s">
        <v>574</v>
      </c>
      <c r="AI89" s="63" t="s">
        <v>1011</v>
      </c>
      <c r="AJ89" s="63" t="s">
        <v>1012</v>
      </c>
      <c r="AK89" s="63"/>
      <c r="AL89" s="63"/>
      <c r="AM89" s="63" t="s">
        <v>1013</v>
      </c>
      <c r="AN89" s="63" t="s">
        <v>1014</v>
      </c>
      <c r="AO89" s="63" t="s">
        <v>1015</v>
      </c>
      <c r="AP89" s="63" t="s">
        <v>291</v>
      </c>
      <c r="AQ89" s="63">
        <v>3</v>
      </c>
      <c r="AR89" s="63"/>
      <c r="AS89" s="63" t="s">
        <v>408</v>
      </c>
      <c r="AT89" s="63" t="s">
        <v>385</v>
      </c>
      <c r="AU89" s="63" t="str">
        <f>CONCATENATE(AU74,",",AU75,",",AU76,",",AU77,",",AU78,",",AU81,",",AU82,",",AU83,",",AU84,",",AU85)</f>
        <v>British Virgin Islands,Zurich, Switzerland,Liechtenstein, Liechtenstein,New Zealand,Singapore,Prince Edward Island, Canada,Luxembourg,Geneva, Switzerland,India,Bahamas</v>
      </c>
      <c r="AV89" s="63"/>
      <c r="AW89" s="63"/>
      <c r="AX89" s="63">
        <f>--ISNUMBER(IFERROR(SEARCH(Tempset!$M$4,AM89,1),""))</f>
        <v>1</v>
      </c>
      <c r="AY89" s="63">
        <f>IF(AX89=1,COUNTIF($AX$3:AX89,1),"")</f>
        <v>87</v>
      </c>
      <c r="AZ89" s="63" t="str">
        <f>IFERROR(INDEX($AM$3:$AM$1165,MATCH(ROWS($AY$3:AY89),$AY$3:$AY$1165,0)),"")</f>
        <v>bumpType</v>
      </c>
      <c r="BA89" s="63"/>
    </row>
    <row r="90" spans="34:53" x14ac:dyDescent="0.2">
      <c r="AH90" s="63" t="s">
        <v>574</v>
      </c>
      <c r="AI90" s="63" t="s">
        <v>1016</v>
      </c>
      <c r="AJ90" s="63" t="s">
        <v>1017</v>
      </c>
      <c r="AK90" s="63"/>
      <c r="AL90" s="63"/>
      <c r="AM90" s="63" t="s">
        <v>1018</v>
      </c>
      <c r="AN90" s="63" t="s">
        <v>1019</v>
      </c>
      <c r="AO90" s="63" t="s">
        <v>1020</v>
      </c>
      <c r="AP90" s="63" t="s">
        <v>580</v>
      </c>
      <c r="AQ90" s="63">
        <v>4</v>
      </c>
      <c r="AR90" s="63"/>
      <c r="AS90" s="63" t="s">
        <v>423</v>
      </c>
      <c r="AT90" s="63" t="s">
        <v>385</v>
      </c>
      <c r="AU90" s="63" t="s">
        <v>423</v>
      </c>
      <c r="AV90" s="63"/>
      <c r="AW90" s="63"/>
      <c r="AX90" s="63">
        <f>--ISNUMBER(IFERROR(SEARCH(Tempset!$M$4,AM90,1),""))</f>
        <v>1</v>
      </c>
      <c r="AY90" s="63">
        <f>IF(AX90=1,COUNTIF($AX$3:AX90,1),"")</f>
        <v>88</v>
      </c>
      <c r="AZ90" s="63" t="str">
        <f>IFERROR(INDEX($AM$3:$AM$1165,MATCH(ROWS($AY$3:AY90),$AY$3:$AY$1165,0)),"")</f>
        <v>businessDayConvention</v>
      </c>
      <c r="BA90" s="63"/>
    </row>
    <row r="91" spans="34:53" x14ac:dyDescent="0.2">
      <c r="AH91" s="63" t="s">
        <v>574</v>
      </c>
      <c r="AI91" s="63" t="s">
        <v>1021</v>
      </c>
      <c r="AJ91" s="63" t="s">
        <v>1022</v>
      </c>
      <c r="AK91" s="63"/>
      <c r="AL91" s="63"/>
      <c r="AM91" s="63" t="s">
        <v>1023</v>
      </c>
      <c r="AN91" s="63" t="s">
        <v>1024</v>
      </c>
      <c r="AO91" s="63" t="s">
        <v>1025</v>
      </c>
      <c r="AP91" s="63" t="s">
        <v>370</v>
      </c>
      <c r="AQ91" s="63">
        <v>3</v>
      </c>
      <c r="AR91" s="63"/>
      <c r="AS91" s="63"/>
      <c r="AT91" s="63"/>
      <c r="AV91" s="63"/>
      <c r="AW91" s="63"/>
      <c r="AX91" s="63">
        <f>--ISNUMBER(IFERROR(SEARCH(Tempset!$M$4,AM91,1),""))</f>
        <v>1</v>
      </c>
      <c r="AY91" s="63">
        <f>IF(AX91=1,COUNTIF($AX$3:AX91,1),"")</f>
        <v>89</v>
      </c>
      <c r="AZ91" s="63" t="str">
        <f>IFERROR(INDEX($AM$3:$AM$1165,MATCH(ROWS($AY$3:AY91),$AY$3:$AY$1165,0)),"")</f>
        <v>businessUnitCode</v>
      </c>
      <c r="BA91" s="63"/>
    </row>
    <row r="92" spans="34:53" x14ac:dyDescent="0.2">
      <c r="AH92" s="63" t="s">
        <v>574</v>
      </c>
      <c r="AI92" s="63" t="s">
        <v>1026</v>
      </c>
      <c r="AJ92" s="63" t="s">
        <v>1027</v>
      </c>
      <c r="AK92" s="63"/>
      <c r="AL92" s="63"/>
      <c r="AM92" s="63" t="s">
        <v>1028</v>
      </c>
      <c r="AN92" s="63" t="s">
        <v>1029</v>
      </c>
      <c r="AO92" s="63" t="s">
        <v>1030</v>
      </c>
      <c r="AP92" s="63" t="s">
        <v>370</v>
      </c>
      <c r="AQ92" s="63">
        <v>2</v>
      </c>
      <c r="AR92" s="63"/>
      <c r="AS92" s="63"/>
      <c r="AT92" s="63"/>
      <c r="AV92" s="63"/>
      <c r="AW92" s="63"/>
      <c r="AX92" s="63">
        <f>--ISNUMBER(IFERROR(SEARCH(Tempset!$M$4,AM92,1),""))</f>
        <v>1</v>
      </c>
      <c r="AY92" s="63">
        <f>IF(AX92=1,COUNTIF($AX$3:AX92,1),"")</f>
        <v>90</v>
      </c>
      <c r="AZ92" s="63" t="str">
        <f>IFERROR(INDEX($AM$3:$AM$1165,MATCH(ROWS($AY$3:AY92),$AY$3:$AY$1165,0)),"")</f>
        <v>businessUnitGroupId</v>
      </c>
      <c r="BA92" s="63"/>
    </row>
    <row r="93" spans="34:53" x14ac:dyDescent="0.2">
      <c r="AH93" s="63" t="s">
        <v>574</v>
      </c>
      <c r="AI93" s="63" t="s">
        <v>1031</v>
      </c>
      <c r="AJ93" s="63" t="s">
        <v>1032</v>
      </c>
      <c r="AK93" s="63"/>
      <c r="AL93" s="63"/>
      <c r="AM93" s="63" t="s">
        <v>1033</v>
      </c>
      <c r="AN93" s="63" t="s">
        <v>1034</v>
      </c>
      <c r="AO93" s="63" t="s">
        <v>1035</v>
      </c>
      <c r="AP93" s="63" t="s">
        <v>1036</v>
      </c>
      <c r="AQ93" s="63">
        <v>3</v>
      </c>
      <c r="AR93" s="63"/>
      <c r="AS93" s="63"/>
      <c r="AT93" s="63"/>
      <c r="AV93" s="63"/>
      <c r="AW93" s="63"/>
      <c r="AX93" s="63">
        <f>--ISNUMBER(IFERROR(SEARCH(Tempset!$M$4,AM93,1),""))</f>
        <v>1</v>
      </c>
      <c r="AY93" s="63">
        <f>IF(AX93=1,COUNTIF($AX$3:AX93,1),"")</f>
        <v>91</v>
      </c>
      <c r="AZ93" s="63" t="str">
        <f>IFERROR(INDEX($AM$3:$AM$1165,MATCH(ROWS($AY$3:AY93),$AY$3:$AY$1165,0)),"")</f>
        <v>buySellIndicator</v>
      </c>
      <c r="BA93" s="63"/>
    </row>
    <row r="94" spans="34:53" x14ac:dyDescent="0.2">
      <c r="AH94" s="63" t="s">
        <v>586</v>
      </c>
      <c r="AI94" s="63" t="s">
        <v>1037</v>
      </c>
      <c r="AJ94" s="63" t="s">
        <v>1038</v>
      </c>
      <c r="AK94" s="63"/>
      <c r="AL94" s="63"/>
      <c r="AM94" s="63" t="s">
        <v>1039</v>
      </c>
      <c r="AN94" s="63" t="s">
        <v>1040</v>
      </c>
      <c r="AO94" s="63" t="s">
        <v>1041</v>
      </c>
      <c r="AP94" s="63" t="s">
        <v>558</v>
      </c>
      <c r="AQ94" s="63">
        <v>2</v>
      </c>
      <c r="AR94" s="63"/>
      <c r="AS94" s="63"/>
      <c r="AT94" s="63"/>
      <c r="AV94" s="63"/>
      <c r="AW94" s="63"/>
      <c r="AX94" s="63">
        <f>--ISNUMBER(IFERROR(SEARCH(Tempset!$M$4,AM94,1),""))</f>
        <v>1</v>
      </c>
      <c r="AY94" s="63">
        <f>IF(AX94=1,COUNTIF($AX$3:AX94,1),"")</f>
        <v>92</v>
      </c>
      <c r="AZ94" s="63" t="str">
        <f>IFERROR(INDEX($AM$3:$AM$1165,MATCH(ROWS($AY$3:AY94),$AY$3:$AY$1165,0)),"")</f>
        <v>calculatedAvailableStableFundingValue</v>
      </c>
      <c r="BA94" s="63"/>
    </row>
    <row r="95" spans="34:53" x14ac:dyDescent="0.2">
      <c r="AH95" s="63" t="s">
        <v>595</v>
      </c>
      <c r="AI95" s="63" t="s">
        <v>1042</v>
      </c>
      <c r="AJ95" s="63" t="s">
        <v>1043</v>
      </c>
      <c r="AK95" s="63"/>
      <c r="AL95" s="63"/>
      <c r="AM95" s="63" t="s">
        <v>1044</v>
      </c>
      <c r="AN95" s="63" t="s">
        <v>1045</v>
      </c>
      <c r="AO95" s="63" t="s">
        <v>841</v>
      </c>
      <c r="AP95" s="63" t="s">
        <v>866</v>
      </c>
      <c r="AQ95" s="63">
        <v>3</v>
      </c>
      <c r="AR95" s="63"/>
      <c r="AS95" s="63"/>
      <c r="AT95" s="63"/>
      <c r="AV95" s="63"/>
      <c r="AW95" s="63"/>
      <c r="AX95" s="63">
        <f>--ISNUMBER(IFERROR(SEARCH(Tempset!$M$4,AM95,1),""))</f>
        <v>1</v>
      </c>
      <c r="AY95" s="63">
        <f>IF(AX95=1,COUNTIF($AX$3:AX95,1),"")</f>
        <v>93</v>
      </c>
      <c r="AZ95" s="63" t="str">
        <f>IFERROR(INDEX($AM$3:$AM$1165,MATCH(ROWS($AY$3:AY95),$AY$3:$AY$1165,0)),"")</f>
        <v>calculatedRequiredStableFundingValue</v>
      </c>
      <c r="BA95" s="63"/>
    </row>
    <row r="96" spans="34:53" x14ac:dyDescent="0.2">
      <c r="AH96" s="63" t="s">
        <v>595</v>
      </c>
      <c r="AI96" s="63" t="s">
        <v>1046</v>
      </c>
      <c r="AJ96" s="63" t="s">
        <v>1047</v>
      </c>
      <c r="AK96" s="63"/>
      <c r="AL96" s="63"/>
      <c r="AM96" s="63" t="s">
        <v>1048</v>
      </c>
      <c r="AN96" s="63" t="s">
        <v>1049</v>
      </c>
      <c r="AO96" s="63" t="s">
        <v>1050</v>
      </c>
      <c r="AP96" s="63" t="s">
        <v>569</v>
      </c>
      <c r="AQ96" s="63">
        <v>2</v>
      </c>
      <c r="AR96" s="63"/>
      <c r="AS96" s="63"/>
      <c r="AT96" s="63"/>
      <c r="AV96" s="63"/>
      <c r="AW96" s="63"/>
      <c r="AX96" s="63">
        <f>--ISNUMBER(IFERROR(SEARCH(Tempset!$M$4,AM96,1),""))</f>
        <v>1</v>
      </c>
      <c r="AY96" s="63">
        <f>IF(AX96=1,COUNTIF($AX$3:AX96,1),"")</f>
        <v>94</v>
      </c>
      <c r="AZ96" s="63" t="str">
        <f>IFERROR(INDEX($AM$3:$AM$1165,MATCH(ROWS($AY$3:AY96),$AY$3:$AY$1165,0)),"")</f>
        <v>callableFlag</v>
      </c>
      <c r="BA96" s="63"/>
    </row>
    <row r="97" spans="34:52" x14ac:dyDescent="0.2">
      <c r="AH97" s="63" t="s">
        <v>595</v>
      </c>
      <c r="AI97" s="63" t="s">
        <v>1051</v>
      </c>
      <c r="AJ97" s="63" t="s">
        <v>1052</v>
      </c>
      <c r="AK97" s="63"/>
      <c r="AL97" s="63"/>
      <c r="AM97" s="63" t="s">
        <v>1053</v>
      </c>
      <c r="AN97" s="63" t="s">
        <v>1054</v>
      </c>
      <c r="AO97" s="63" t="s">
        <v>1055</v>
      </c>
      <c r="AP97" s="63" t="s">
        <v>569</v>
      </c>
      <c r="AQ97" s="63">
        <v>2</v>
      </c>
      <c r="AR97" s="63"/>
      <c r="AS97" s="63"/>
      <c r="AT97" s="63"/>
      <c r="AV97" s="63"/>
      <c r="AW97" s="63"/>
      <c r="AX97" s="63">
        <f>--ISNUMBER(IFERROR(SEARCH(Tempset!$M$4,AM97,1),""))</f>
        <v>1</v>
      </c>
      <c r="AY97" s="63">
        <f>IF(AX97=1,COUNTIF($AX$3:AX97,1),"")</f>
        <v>95</v>
      </c>
      <c r="AZ97" s="63" t="str">
        <f>IFERROR(INDEX($AM$3:$AM$1165,MATCH(ROWS($AY$3:AY97),$AY$3:$AY$1165,0)),"")</f>
        <v>callFrequency</v>
      </c>
    </row>
    <row r="98" spans="34:52" x14ac:dyDescent="0.2">
      <c r="AH98" s="63" t="s">
        <v>595</v>
      </c>
      <c r="AI98" s="63" t="s">
        <v>1056</v>
      </c>
      <c r="AJ98" s="63" t="s">
        <v>1057</v>
      </c>
      <c r="AK98" s="63"/>
      <c r="AL98" s="63"/>
      <c r="AM98" s="63" t="s">
        <v>1058</v>
      </c>
      <c r="AN98" s="63" t="s">
        <v>1059</v>
      </c>
      <c r="AO98" s="63" t="s">
        <v>1060</v>
      </c>
      <c r="AP98" s="63" t="s">
        <v>407</v>
      </c>
      <c r="AQ98" s="63">
        <v>1</v>
      </c>
      <c r="AR98" s="63"/>
      <c r="AS98" s="63"/>
      <c r="AT98" s="63"/>
      <c r="AV98" s="63"/>
      <c r="AW98" s="63"/>
      <c r="AX98" s="63">
        <f>--ISNUMBER(IFERROR(SEARCH(Tempset!$M$4,AM98,1),""))</f>
        <v>1</v>
      </c>
      <c r="AY98" s="63">
        <f>IF(AX98=1,COUNTIF($AX$3:AX98,1),"")</f>
        <v>96</v>
      </c>
      <c r="AZ98" s="63" t="str">
        <f>IFERROR(INDEX($AM$3:$AM$1165,MATCH(ROWS($AY$3:AY98),$AY$3:$AY$1165,0)),"")</f>
        <v>callPutIndicator</v>
      </c>
    </row>
    <row r="99" spans="34:52" x14ac:dyDescent="0.2">
      <c r="AH99" s="63" t="s">
        <v>595</v>
      </c>
      <c r="AI99" s="63" t="s">
        <v>1061</v>
      </c>
      <c r="AJ99" s="63" t="s">
        <v>1062</v>
      </c>
      <c r="AK99" s="63"/>
      <c r="AL99" s="63"/>
      <c r="AM99" s="63" t="s">
        <v>1063</v>
      </c>
      <c r="AN99" s="63" t="s">
        <v>1064</v>
      </c>
      <c r="AO99" s="63" t="s">
        <v>1065</v>
      </c>
      <c r="AP99" s="63" t="s">
        <v>370</v>
      </c>
      <c r="AQ99" s="63">
        <v>2</v>
      </c>
      <c r="AR99" s="63"/>
      <c r="AS99" s="63"/>
      <c r="AT99" s="63"/>
      <c r="AV99" s="63"/>
      <c r="AW99" s="63"/>
      <c r="AX99" s="63">
        <f>--ISNUMBER(IFERROR(SEARCH(Tempset!$M$4,AM99,1),""))</f>
        <v>1</v>
      </c>
      <c r="AY99" s="63">
        <f>IF(AX99=1,COUNTIF($AX$3:AX99,1),"")</f>
        <v>97</v>
      </c>
      <c r="AZ99" s="63" t="str">
        <f>IFERROR(INDEX($AM$3:$AM$1165,MATCH(ROWS($AY$3:AY99),$AY$3:$AY$1165,0)),"")</f>
        <v>capFloorIndicator</v>
      </c>
    </row>
    <row r="100" spans="34:52" x14ac:dyDescent="0.2">
      <c r="AH100" s="63" t="s">
        <v>595</v>
      </c>
      <c r="AI100" s="63" t="s">
        <v>1066</v>
      </c>
      <c r="AJ100" s="63" t="s">
        <v>1067</v>
      </c>
      <c r="AK100" s="63"/>
      <c r="AL100" s="63"/>
      <c r="AM100" s="63" t="s">
        <v>1068</v>
      </c>
      <c r="AN100" s="63" t="s">
        <v>1069</v>
      </c>
      <c r="AO100" s="63" t="s">
        <v>1070</v>
      </c>
      <c r="AP100" s="63" t="s">
        <v>383</v>
      </c>
      <c r="AQ100" s="63">
        <v>2</v>
      </c>
      <c r="AR100" s="63"/>
      <c r="AS100" s="63"/>
      <c r="AT100" s="63"/>
      <c r="AV100" s="63"/>
      <c r="AW100" s="63"/>
      <c r="AX100" s="63">
        <f>--ISNUMBER(IFERROR(SEARCH(Tempset!$M$4,AM100,1),""))</f>
        <v>1</v>
      </c>
      <c r="AY100" s="63">
        <f>IF(AX100=1,COUNTIF($AX$3:AX100,1),"")</f>
        <v>98</v>
      </c>
      <c r="AZ100" s="63" t="str">
        <f>IFERROR(INDEX($AM$3:$AM$1165,MATCH(ROWS($AY$3:AY100),$AY$3:$AY$1165,0)),"")</f>
        <v>capitalBase</v>
      </c>
    </row>
    <row r="101" spans="34:52" x14ac:dyDescent="0.2">
      <c r="AH101" s="63"/>
      <c r="AI101" s="63"/>
      <c r="AJ101" s="63"/>
      <c r="AK101" s="63"/>
      <c r="AL101" s="63"/>
      <c r="AM101" s="63" t="s">
        <v>1071</v>
      </c>
      <c r="AN101" s="63" t="s">
        <v>1072</v>
      </c>
      <c r="AO101" s="63" t="s">
        <v>1073</v>
      </c>
      <c r="AP101" s="63" t="s">
        <v>291</v>
      </c>
      <c r="AQ101" s="63">
        <v>2</v>
      </c>
      <c r="AR101" s="63"/>
      <c r="AS101" s="63"/>
      <c r="AT101" s="63"/>
      <c r="AV101" s="63"/>
      <c r="AW101" s="63"/>
      <c r="AX101" s="63">
        <f>--ISNUMBER(IFERROR(SEARCH(Tempset!$M$4,AM101,1),""))</f>
        <v>1</v>
      </c>
      <c r="AY101" s="63">
        <f>IF(AX101=1,COUNTIF($AX$3:AX101,1),"")</f>
        <v>99</v>
      </c>
      <c r="AZ101" s="63" t="str">
        <f>IFERROR(INDEX($AM$3:$AM$1165,MATCH(ROWS($AY$3:AY101),$AY$3:$AY$1165,0)),"")</f>
        <v>capitalChargeWeight</v>
      </c>
    </row>
    <row r="102" spans="34:52" x14ac:dyDescent="0.2">
      <c r="AH102" s="63"/>
      <c r="AI102" s="63"/>
      <c r="AJ102" s="63"/>
      <c r="AK102" s="63"/>
      <c r="AL102" s="63"/>
      <c r="AM102" s="63" t="s">
        <v>1074</v>
      </c>
      <c r="AN102" s="63" t="s">
        <v>1075</v>
      </c>
      <c r="AO102" s="63" t="s">
        <v>1076</v>
      </c>
      <c r="AP102" s="63" t="s">
        <v>558</v>
      </c>
      <c r="AQ102" s="63">
        <v>2</v>
      </c>
      <c r="AR102" s="63"/>
      <c r="AS102" s="63"/>
      <c r="AT102" s="63"/>
      <c r="AV102" s="63"/>
      <c r="AW102" s="63"/>
      <c r="AX102" s="63">
        <f>--ISNUMBER(IFERROR(SEARCH(Tempset!$M$4,AM102,1),""))</f>
        <v>1</v>
      </c>
      <c r="AY102" s="63">
        <f>IF(AX102=1,COUNTIF($AX$3:AX102,1),"")</f>
        <v>100</v>
      </c>
      <c r="AZ102" s="63" t="str">
        <f>IFERROR(INDEX($AM$3:$AM$1165,MATCH(ROWS($AY$3:AY102),$AY$3:$AY$1165,0)),"")</f>
        <v>capitalHorizon</v>
      </c>
    </row>
    <row r="103" spans="34:52" x14ac:dyDescent="0.2">
      <c r="AH103" s="63"/>
      <c r="AI103" s="63"/>
      <c r="AJ103" s="63"/>
      <c r="AK103" s="63"/>
      <c r="AL103" s="63"/>
      <c r="AM103" s="63" t="s">
        <v>1077</v>
      </c>
      <c r="AN103" s="63" t="s">
        <v>1078</v>
      </c>
      <c r="AO103" s="63" t="s">
        <v>1079</v>
      </c>
      <c r="AP103" s="63" t="s">
        <v>760</v>
      </c>
      <c r="AQ103" s="63">
        <v>3</v>
      </c>
      <c r="AR103" s="63"/>
      <c r="AS103" s="63"/>
      <c r="AT103" s="63"/>
      <c r="AV103" s="63"/>
      <c r="AW103" s="63"/>
      <c r="AX103" s="63">
        <f>--ISNUMBER(IFERROR(SEARCH(Tempset!$M$4,AM103,1),""))</f>
        <v>1</v>
      </c>
      <c r="AY103" s="63">
        <f>IF(AX103=1,COUNTIF($AX$3:AX103,1),"")</f>
        <v>101</v>
      </c>
      <c r="AZ103" s="63" t="str">
        <f>IFERROR(INDEX($AM$3:$AM$1165,MATCH(ROWS($AY$3:AY103),$AY$3:$AY$1165,0)),"")</f>
        <v>capitalRelevantFlag</v>
      </c>
    </row>
    <row r="104" spans="34:52" x14ac:dyDescent="0.2">
      <c r="AH104" s="63"/>
      <c r="AI104" s="63"/>
      <c r="AJ104" s="63"/>
      <c r="AK104" s="63"/>
      <c r="AL104" s="63"/>
      <c r="AM104" s="63" t="s">
        <v>1080</v>
      </c>
      <c r="AN104" s="63" t="s">
        <v>1081</v>
      </c>
      <c r="AO104" s="63" t="s">
        <v>1082</v>
      </c>
      <c r="AP104" s="63" t="s">
        <v>538</v>
      </c>
      <c r="AQ104" s="63">
        <v>3</v>
      </c>
      <c r="AR104" s="63"/>
      <c r="AS104" s="63"/>
      <c r="AT104" s="63"/>
      <c r="AV104" s="63"/>
      <c r="AW104" s="63"/>
      <c r="AX104" s="63">
        <f>--ISNUMBER(IFERROR(SEARCH(Tempset!$M$4,AM104,1),""))</f>
        <v>1</v>
      </c>
      <c r="AY104" s="63">
        <f>IF(AX104=1,COUNTIF($AX$3:AX104,1),"")</f>
        <v>102</v>
      </c>
      <c r="AZ104" s="63" t="str">
        <f>IFERROR(INDEX($AM$3:$AM$1165,MATCH(ROWS($AY$3:AY104),$AY$3:$AY$1165,0)),"")</f>
        <v>capitalReserves</v>
      </c>
    </row>
    <row r="105" spans="34:52" x14ac:dyDescent="0.2">
      <c r="AH105" s="63"/>
      <c r="AI105" s="63"/>
      <c r="AJ105" s="63"/>
      <c r="AK105" s="63"/>
      <c r="AL105" s="63"/>
      <c r="AM105" s="63" t="s">
        <v>1083</v>
      </c>
      <c r="AN105" s="63" t="s">
        <v>1084</v>
      </c>
      <c r="AO105" s="63" t="s">
        <v>1085</v>
      </c>
      <c r="AP105" s="63" t="s">
        <v>866</v>
      </c>
      <c r="AQ105" s="63">
        <v>4</v>
      </c>
      <c r="AR105" s="63"/>
      <c r="AS105" s="63"/>
      <c r="AT105" s="63"/>
      <c r="AV105" s="63"/>
      <c r="AW105" s="63"/>
      <c r="AX105" s="63">
        <f>--ISNUMBER(IFERROR(SEARCH(Tempset!$M$4,AM105,1),""))</f>
        <v>1</v>
      </c>
      <c r="AY105" s="63">
        <f>IF(AX105=1,COUNTIF($AX$3:AX105,1),"")</f>
        <v>103</v>
      </c>
      <c r="AZ105" s="63" t="str">
        <f>IFERROR(INDEX($AM$3:$AM$1165,MATCH(ROWS($AY$3:AY105),$AY$3:$AY$1165,0)),"")</f>
        <v>capitalTier</v>
      </c>
    </row>
    <row r="106" spans="34:52" x14ac:dyDescent="0.2">
      <c r="AH106" s="63"/>
      <c r="AI106" s="63"/>
      <c r="AJ106" s="63"/>
      <c r="AK106" s="63"/>
      <c r="AL106" s="63"/>
      <c r="AM106" s="63" t="s">
        <v>1086</v>
      </c>
      <c r="AN106" s="63" t="s">
        <v>1087</v>
      </c>
      <c r="AO106" s="63" t="s">
        <v>809</v>
      </c>
      <c r="AP106" s="63" t="s">
        <v>272</v>
      </c>
      <c r="AQ106" s="63">
        <v>2</v>
      </c>
      <c r="AR106" s="63"/>
      <c r="AS106" s="63"/>
      <c r="AT106" s="63"/>
      <c r="AV106" s="63"/>
      <c r="AW106" s="63"/>
      <c r="AX106" s="63">
        <f>--ISNUMBER(IFERROR(SEARCH(Tempset!$M$4,AM106,1),""))</f>
        <v>1</v>
      </c>
      <c r="AY106" s="63">
        <f>IF(AX106=1,COUNTIF($AX$3:AX106,1),"")</f>
        <v>104</v>
      </c>
      <c r="AZ106" s="63" t="str">
        <f>IFERROR(INDEX($AM$3:$AM$1165,MATCH(ROWS($AY$3:AY106),$AY$3:$AY$1165,0)),"")</f>
        <v>capitalTreatmentIndicator</v>
      </c>
    </row>
    <row r="107" spans="34:52" x14ac:dyDescent="0.2">
      <c r="AH107" s="63"/>
      <c r="AI107" s="63"/>
      <c r="AJ107" s="63"/>
      <c r="AK107" s="63"/>
      <c r="AL107" s="63"/>
      <c r="AM107" s="63" t="s">
        <v>1088</v>
      </c>
      <c r="AN107" s="63" t="s">
        <v>1089</v>
      </c>
      <c r="AO107" s="63" t="s">
        <v>1090</v>
      </c>
      <c r="AP107" s="63" t="s">
        <v>668</v>
      </c>
      <c r="AQ107" s="63">
        <v>2</v>
      </c>
      <c r="AR107" s="63"/>
      <c r="AS107" s="63"/>
      <c r="AT107" s="63"/>
      <c r="AV107" s="63"/>
      <c r="AW107" s="63"/>
      <c r="AX107" s="63">
        <f>--ISNUMBER(IFERROR(SEARCH(Tempset!$M$4,AM107,1),""))</f>
        <v>1</v>
      </c>
      <c r="AY107" s="63">
        <f>IF(AX107=1,COUNTIF($AX$3:AX107,1),"")</f>
        <v>105</v>
      </c>
      <c r="AZ107" s="63" t="str">
        <f>IFERROR(INDEX($AM$3:$AM$1165,MATCH(ROWS($AY$3:AY107),$AY$3:$AY$1165,0)),"")</f>
        <v>cashAccountId</v>
      </c>
    </row>
    <row r="108" spans="34:52" x14ac:dyDescent="0.2">
      <c r="AH108" s="63"/>
      <c r="AI108" s="63"/>
      <c r="AJ108" s="63"/>
      <c r="AK108" s="63"/>
      <c r="AL108" s="63"/>
      <c r="AM108" s="63" t="s">
        <v>1091</v>
      </c>
      <c r="AN108" s="63" t="s">
        <v>1092</v>
      </c>
      <c r="AO108" s="63" t="s">
        <v>1093</v>
      </c>
      <c r="AP108" s="63" t="s">
        <v>272</v>
      </c>
      <c r="AQ108" s="63">
        <v>1</v>
      </c>
      <c r="AR108" s="63"/>
      <c r="AS108" s="63"/>
      <c r="AT108" s="63"/>
      <c r="AV108" s="63"/>
      <c r="AW108" s="63"/>
      <c r="AX108" s="63">
        <f>--ISNUMBER(IFERROR(SEARCH(Tempset!$M$4,AM108,1),""))</f>
        <v>1</v>
      </c>
      <c r="AY108" s="63">
        <f>IF(AX108=1,COUNTIF($AX$3:AX108,1),"")</f>
        <v>106</v>
      </c>
      <c r="AZ108" s="63" t="str">
        <f>IFERROR(INDEX($AM$3:$AM$1165,MATCH(ROWS($AY$3:AY108),$AY$3:$AY$1165,0)),"")</f>
        <v>cashBalanceInAccountCCY</v>
      </c>
    </row>
    <row r="109" spans="34:52" x14ac:dyDescent="0.2">
      <c r="AH109" s="63"/>
      <c r="AI109" s="63"/>
      <c r="AJ109" s="63"/>
      <c r="AK109" s="63"/>
      <c r="AL109" s="63"/>
      <c r="AM109" s="63" t="s">
        <v>1094</v>
      </c>
      <c r="AN109" s="63" t="s">
        <v>1095</v>
      </c>
      <c r="AO109" s="63" t="s">
        <v>1096</v>
      </c>
      <c r="AP109" s="63" t="s">
        <v>422</v>
      </c>
      <c r="AQ109" s="63">
        <v>1</v>
      </c>
      <c r="AR109" s="63"/>
      <c r="AS109" s="63"/>
      <c r="AT109" s="63"/>
      <c r="AV109" s="63"/>
      <c r="AW109" s="63"/>
      <c r="AX109" s="63">
        <f>--ISNUMBER(IFERROR(SEARCH(Tempset!$M$4,AM109,1),""))</f>
        <v>1</v>
      </c>
      <c r="AY109" s="63">
        <f>IF(AX109=1,COUNTIF($AX$3:AX109,1),"")</f>
        <v>107</v>
      </c>
      <c r="AZ109" s="63" t="str">
        <f>IFERROR(INDEX($AM$3:$AM$1165,MATCH(ROWS($AY$3:AY109),$AY$3:$AY$1165,0)),"")</f>
        <v>cashBalanceInFunctionalCCY</v>
      </c>
    </row>
    <row r="110" spans="34:52" x14ac:dyDescent="0.2">
      <c r="AH110" s="63"/>
      <c r="AI110" s="63"/>
      <c r="AJ110" s="63"/>
      <c r="AK110" s="63"/>
      <c r="AL110" s="63"/>
      <c r="AM110" s="63" t="s">
        <v>1097</v>
      </c>
      <c r="AN110" s="63" t="s">
        <v>1098</v>
      </c>
      <c r="AO110" s="63" t="s">
        <v>1099</v>
      </c>
      <c r="AP110" s="63" t="s">
        <v>866</v>
      </c>
      <c r="AQ110" s="63">
        <v>4</v>
      </c>
      <c r="AR110" s="63"/>
      <c r="AS110" s="63"/>
      <c r="AT110" s="63"/>
      <c r="AV110" s="63"/>
      <c r="AW110" s="63"/>
      <c r="AX110" s="63">
        <f>--ISNUMBER(IFERROR(SEARCH(Tempset!$M$4,AM110,1),""))</f>
        <v>1</v>
      </c>
      <c r="AY110" s="63">
        <f>IF(AX110=1,COUNTIF($AX$3:AX110,1),"")</f>
        <v>108</v>
      </c>
      <c r="AZ110" s="63" t="str">
        <f>IFERROR(INDEX($AM$3:$AM$1165,MATCH(ROWS($AY$3:AY110),$AY$3:$AY$1165,0)),"")</f>
        <v>cashDeposit</v>
      </c>
    </row>
    <row r="111" spans="34:52" x14ac:dyDescent="0.2">
      <c r="AH111" s="63"/>
      <c r="AI111" s="63"/>
      <c r="AJ111" s="63"/>
      <c r="AK111" s="63"/>
      <c r="AL111" s="63"/>
      <c r="AM111" s="63" t="s">
        <v>1100</v>
      </c>
      <c r="AN111" s="63" t="s">
        <v>1101</v>
      </c>
      <c r="AO111" s="63" t="s">
        <v>1102</v>
      </c>
      <c r="AP111" s="63" t="s">
        <v>866</v>
      </c>
      <c r="AQ111" s="63">
        <v>3</v>
      </c>
      <c r="AR111" s="63"/>
      <c r="AS111" s="63"/>
      <c r="AT111" s="63"/>
      <c r="AV111" s="63"/>
      <c r="AW111" s="63"/>
      <c r="AX111" s="63">
        <f>--ISNUMBER(IFERROR(SEARCH(Tempset!$M$4,AM111,1),""))</f>
        <v>1</v>
      </c>
      <c r="AY111" s="63">
        <f>IF(AX111=1,COUNTIF($AX$3:AX111,1),"")</f>
        <v>109</v>
      </c>
      <c r="AZ111" s="63" t="str">
        <f>IFERROR(INDEX($AM$3:$AM$1165,MATCH(ROWS($AY$3:AY111),$AY$3:$AY$1165,0)),"")</f>
        <v>cashDerivativesFlag</v>
      </c>
    </row>
    <row r="112" spans="34:52" x14ac:dyDescent="0.2">
      <c r="AH112" s="63"/>
      <c r="AI112" s="63"/>
      <c r="AJ112" s="63"/>
      <c r="AK112" s="63"/>
      <c r="AL112" s="63"/>
      <c r="AM112" s="63" t="s">
        <v>1103</v>
      </c>
      <c r="AN112" s="63" t="s">
        <v>1104</v>
      </c>
      <c r="AO112" s="63" t="s">
        <v>1105</v>
      </c>
      <c r="AP112" s="63" t="s">
        <v>422</v>
      </c>
      <c r="AQ112" s="63">
        <v>3</v>
      </c>
      <c r="AR112" s="63"/>
      <c r="AS112" s="63"/>
      <c r="AT112" s="63"/>
      <c r="AV112" s="63"/>
      <c r="AW112" s="63"/>
      <c r="AX112" s="63">
        <f>--ISNUMBER(IFERROR(SEARCH(Tempset!$M$4,AM112,1),""))</f>
        <v>1</v>
      </c>
      <c r="AY112" s="63">
        <f>IF(AX112=1,COUNTIF($AX$3:AX112,1),"")</f>
        <v>110</v>
      </c>
      <c r="AZ112" s="63" t="str">
        <f>IFERROR(INDEX($AM$3:$AM$1165,MATCH(ROWS($AY$3:AY112),$AY$3:$AY$1165,0)),"")</f>
        <v>cashExposureEquivalencyFactorValue</v>
      </c>
    </row>
    <row r="113" spans="39:52" x14ac:dyDescent="0.2">
      <c r="AM113" s="63" t="s">
        <v>1106</v>
      </c>
      <c r="AN113" s="63" t="s">
        <v>1107</v>
      </c>
      <c r="AO113" s="63" t="s">
        <v>560</v>
      </c>
      <c r="AP113" s="63" t="s">
        <v>291</v>
      </c>
      <c r="AQ113" s="63">
        <v>3</v>
      </c>
      <c r="AR113" s="63"/>
      <c r="AS113" s="63"/>
      <c r="AT113" s="63"/>
      <c r="AV113" s="63"/>
      <c r="AW113" s="63"/>
      <c r="AX113" s="63">
        <f>--ISNUMBER(IFERROR(SEARCH(Tempset!$M$4,AM113,1),""))</f>
        <v>1</v>
      </c>
      <c r="AY113" s="63">
        <f>IF(AX113=1,COUNTIF($AX$3:AX113,1),"")</f>
        <v>111</v>
      </c>
      <c r="AZ113" s="63" t="str">
        <f>IFERROR(INDEX($AM$3:$AM$1165,MATCH(ROWS($AY$3:AY113),$AY$3:$AY$1165,0)),"")</f>
        <v>cashflowAmount</v>
      </c>
    </row>
    <row r="114" spans="39:52" x14ac:dyDescent="0.2">
      <c r="AM114" s="63" t="s">
        <v>1108</v>
      </c>
      <c r="AN114" s="63" t="s">
        <v>1109</v>
      </c>
      <c r="AO114" s="63" t="s">
        <v>1110</v>
      </c>
      <c r="AP114" s="63" t="s">
        <v>370</v>
      </c>
      <c r="AQ114" s="63">
        <v>1</v>
      </c>
      <c r="AR114" s="63"/>
      <c r="AS114" s="63"/>
      <c r="AT114" s="63"/>
      <c r="AV114" s="63"/>
      <c r="AW114" s="63"/>
      <c r="AX114" s="63">
        <f>--ISNUMBER(IFERROR(SEARCH(Tempset!$M$4,AM114,1),""))</f>
        <v>1</v>
      </c>
      <c r="AY114" s="63">
        <f>IF(AX114=1,COUNTIF($AX$3:AX114,1),"")</f>
        <v>112</v>
      </c>
      <c r="AZ114" s="63" t="str">
        <f>IFERROR(INDEX($AM$3:$AM$1165,MATCH(ROWS($AY$3:AY114),$AY$3:$AY$1165,0)),"")</f>
        <v>cashflowType</v>
      </c>
    </row>
    <row r="115" spans="39:52" x14ac:dyDescent="0.2">
      <c r="AM115" s="63" t="s">
        <v>1111</v>
      </c>
      <c r="AN115" s="63" t="s">
        <v>1112</v>
      </c>
      <c r="AO115" s="63" t="s">
        <v>437</v>
      </c>
      <c r="AP115" s="63" t="s">
        <v>760</v>
      </c>
      <c r="AQ115" s="63">
        <v>4</v>
      </c>
      <c r="AR115" s="63"/>
      <c r="AS115" s="63"/>
      <c r="AT115" s="63"/>
      <c r="AV115" s="63"/>
      <c r="AW115" s="63"/>
      <c r="AX115" s="63">
        <f>--ISNUMBER(IFERROR(SEARCH(Tempset!$M$4,AM115,1),""))</f>
        <v>1</v>
      </c>
      <c r="AY115" s="63">
        <f>IF(AX115=1,COUNTIF($AX$3:AX115,1),"")</f>
        <v>113</v>
      </c>
      <c r="AZ115" s="63" t="str">
        <f>IFERROR(INDEX($AM$3:$AM$1165,MATCH(ROWS($AY$3:AY115),$AY$3:$AY$1165,0)),"")</f>
        <v>cashflowValueDate</v>
      </c>
    </row>
    <row r="116" spans="39:52" x14ac:dyDescent="0.2">
      <c r="AM116" s="63" t="s">
        <v>1113</v>
      </c>
      <c r="AN116" s="63" t="s">
        <v>1114</v>
      </c>
      <c r="AO116" s="63" t="s">
        <v>1115</v>
      </c>
      <c r="AP116" s="63" t="s">
        <v>866</v>
      </c>
      <c r="AQ116" s="63">
        <v>3</v>
      </c>
      <c r="AR116" s="63"/>
      <c r="AS116" s="63"/>
      <c r="AT116" s="63"/>
      <c r="AV116" s="63"/>
      <c r="AW116" s="63"/>
      <c r="AX116" s="63">
        <f>--ISNUMBER(IFERROR(SEARCH(Tempset!$M$4,AM116,1),""))</f>
        <v>1</v>
      </c>
      <c r="AY116" s="63">
        <f>IF(AX116=1,COUNTIF($AX$3:AX116,1),"")</f>
        <v>114</v>
      </c>
      <c r="AZ116" s="63" t="str">
        <f>IFERROR(INDEX($AM$3:$AM$1165,MATCH(ROWS($AY$3:AY116),$AY$3:$AY$1165,0)),"")</f>
        <v>cashOrGoldBullion</v>
      </c>
    </row>
    <row r="117" spans="39:52" x14ac:dyDescent="0.2">
      <c r="AM117" s="63" t="s">
        <v>1116</v>
      </c>
      <c r="AN117" s="63" t="s">
        <v>1117</v>
      </c>
      <c r="AO117" s="63" t="s">
        <v>1118</v>
      </c>
      <c r="AP117" s="63" t="s">
        <v>422</v>
      </c>
      <c r="AQ117" s="63">
        <v>2</v>
      </c>
      <c r="AR117" s="63"/>
      <c r="AS117" s="63"/>
      <c r="AT117" s="63"/>
      <c r="AV117" s="63"/>
      <c r="AW117" s="63"/>
      <c r="AX117" s="63">
        <f>--ISNUMBER(IFERROR(SEARCH(Tempset!$M$4,AM117,1),""))</f>
        <v>1</v>
      </c>
      <c r="AY117" s="63">
        <f>IF(AX117=1,COUNTIF($AX$3:AX117,1),"")</f>
        <v>115</v>
      </c>
      <c r="AZ117" s="63" t="str">
        <f>IFERROR(INDEX($AM$3:$AM$1165,MATCH(ROWS($AY$3:AY117),$AY$3:$AY$1165,0)),"")</f>
        <v>cashSecurityFlag</v>
      </c>
    </row>
    <row r="118" spans="39:52" x14ac:dyDescent="0.2">
      <c r="AM118" s="63" t="s">
        <v>1119</v>
      </c>
      <c r="AN118" s="63" t="s">
        <v>1120</v>
      </c>
      <c r="AO118" s="63" t="s">
        <v>1121</v>
      </c>
      <c r="AP118" s="63" t="s">
        <v>1122</v>
      </c>
      <c r="AQ118" s="63">
        <v>2</v>
      </c>
      <c r="AR118" s="63"/>
      <c r="AS118" s="63"/>
      <c r="AT118" s="63"/>
      <c r="AV118" s="63"/>
      <c r="AW118" s="63"/>
      <c r="AX118" s="63">
        <f>--ISNUMBER(IFERROR(SEARCH(Tempset!$M$4,AM118,1),""))</f>
        <v>1</v>
      </c>
      <c r="AY118" s="63">
        <f>IF(AX118=1,COUNTIF($AX$3:AX118,1),"")</f>
        <v>116</v>
      </c>
      <c r="AZ118" s="63" t="str">
        <f>IFERROR(INDEX($AM$3:$AM$1165,MATCH(ROWS($AY$3:AY118),$AY$3:$AY$1165,0)),"")</f>
        <v>categoryType</v>
      </c>
    </row>
    <row r="119" spans="39:52" x14ac:dyDescent="0.2">
      <c r="AM119" s="63" t="s">
        <v>1123</v>
      </c>
      <c r="AN119" s="63" t="s">
        <v>1124</v>
      </c>
      <c r="AO119" s="63" t="s">
        <v>1125</v>
      </c>
      <c r="AP119" s="63" t="s">
        <v>692</v>
      </c>
      <c r="AQ119" s="63">
        <v>2</v>
      </c>
      <c r="AR119" s="63"/>
      <c r="AS119" s="63"/>
      <c r="AT119" s="63"/>
      <c r="AV119" s="63"/>
      <c r="AW119" s="63"/>
      <c r="AX119" s="63">
        <f>--ISNUMBER(IFERROR(SEARCH(Tempset!$M$4,AM119,1),""))</f>
        <v>1</v>
      </c>
      <c r="AY119" s="63">
        <f>IF(AX119=1,COUNTIF($AX$3:AX119,1),"")</f>
        <v>117</v>
      </c>
      <c r="AZ119" s="63" t="str">
        <f>IFERROR(INDEX($AM$3:$AM$1165,MATCH(ROWS($AY$3:AY119),$AY$3:$AY$1165,0)),"")</f>
        <v>CCFAppliedPC</v>
      </c>
    </row>
    <row r="120" spans="39:52" x14ac:dyDescent="0.2">
      <c r="AM120" s="63" t="s">
        <v>1126</v>
      </c>
      <c r="AN120" s="63" t="s">
        <v>1127</v>
      </c>
      <c r="AO120" s="63" t="s">
        <v>1128</v>
      </c>
      <c r="AP120" s="63" t="s">
        <v>1036</v>
      </c>
      <c r="AQ120" s="63">
        <v>3</v>
      </c>
      <c r="AR120" s="63"/>
      <c r="AS120" s="63"/>
      <c r="AT120" s="63"/>
      <c r="AV120" s="63"/>
      <c r="AW120" s="63"/>
      <c r="AX120" s="63">
        <f>--ISNUMBER(IFERROR(SEARCH(Tempset!$M$4,AM120,1),""))</f>
        <v>1</v>
      </c>
      <c r="AY120" s="63">
        <f>IF(AX120=1,COUNTIF($AX$3:AX120,1),"")</f>
        <v>118</v>
      </c>
      <c r="AZ120" s="63" t="str">
        <f>IFERROR(INDEX($AM$3:$AM$1165,MATCH(ROWS($AY$3:AY120),$AY$3:$AY$1165,0)),"")</f>
        <v>CCFSegment</v>
      </c>
    </row>
    <row r="121" spans="39:52" x14ac:dyDescent="0.2">
      <c r="AM121" s="63" t="s">
        <v>1129</v>
      </c>
      <c r="AN121" s="63" t="s">
        <v>1130</v>
      </c>
      <c r="AO121" s="63" t="s">
        <v>1131</v>
      </c>
      <c r="AP121" s="63" t="s">
        <v>538</v>
      </c>
      <c r="AQ121" s="63">
        <v>3</v>
      </c>
      <c r="AR121" s="63"/>
      <c r="AS121" s="63"/>
      <c r="AT121" s="63"/>
      <c r="AV121" s="63"/>
      <c r="AW121" s="63"/>
      <c r="AX121" s="63">
        <f>--ISNUMBER(IFERROR(SEARCH(Tempset!$M$4,AM121,1),""))</f>
        <v>1</v>
      </c>
      <c r="AY121" s="63">
        <f>IF(AX121=1,COUNTIF($AX$3:AX121,1),"")</f>
        <v>119</v>
      </c>
      <c r="AZ121" s="63" t="str">
        <f>IFERROR(INDEX($AM$3:$AM$1165,MATCH(ROWS($AY$3:AY121),$AY$3:$AY$1165,0)),"")</f>
        <v>CCPLegType</v>
      </c>
    </row>
    <row r="122" spans="39:52" x14ac:dyDescent="0.2">
      <c r="AM122" s="63" t="s">
        <v>1132</v>
      </c>
      <c r="AN122" s="63" t="s">
        <v>1133</v>
      </c>
      <c r="AO122" s="63" t="s">
        <v>1134</v>
      </c>
      <c r="AP122" s="63" t="s">
        <v>422</v>
      </c>
      <c r="AQ122" s="63">
        <v>3</v>
      </c>
      <c r="AR122" s="63"/>
      <c r="AS122" s="63"/>
      <c r="AT122" s="63"/>
      <c r="AV122" s="63"/>
      <c r="AW122" s="63"/>
      <c r="AX122" s="63">
        <f>--ISNUMBER(IFERROR(SEARCH(Tempset!$M$4,AM122,1),""))</f>
        <v>1</v>
      </c>
      <c r="AY122" s="63">
        <f>IF(AX122=1,COUNTIF($AX$3:AX122,1),"")</f>
        <v>120</v>
      </c>
      <c r="AZ122" s="63" t="str">
        <f>IFERROR(INDEX($AM$3:$AM$1165,MATCH(ROWS($AY$3:AY122),$AY$3:$AY$1165,0)),"")</f>
        <v>CCYBPercentage</v>
      </c>
    </row>
    <row r="123" spans="39:52" x14ac:dyDescent="0.2">
      <c r="AM123" s="63" t="s">
        <v>1135</v>
      </c>
      <c r="AN123" s="63" t="s">
        <v>1136</v>
      </c>
      <c r="AO123" s="63" t="s">
        <v>1137</v>
      </c>
      <c r="AP123" s="63" t="s">
        <v>1122</v>
      </c>
      <c r="AQ123" s="63">
        <v>2</v>
      </c>
      <c r="AR123" s="63"/>
      <c r="AS123" s="63"/>
      <c r="AT123" s="63"/>
      <c r="AV123" s="63"/>
      <c r="AW123" s="63"/>
      <c r="AX123" s="63">
        <f>--ISNUMBER(IFERROR(SEARCH(Tempset!$M$4,AM123,1),""))</f>
        <v>1</v>
      </c>
      <c r="AY123" s="63">
        <f>IF(AX123=1,COUNTIF($AX$3:AX123,1),"")</f>
        <v>121</v>
      </c>
      <c r="AZ123" s="63" t="str">
        <f>IFERROR(INDEX($AM$3:$AM$1165,MATCH(ROWS($AY$3:AY123),$AY$3:$AY$1165,0)),"")</f>
        <v>CcyOfParticipantCountryOfIncorporation</v>
      </c>
    </row>
    <row r="124" spans="39:52" x14ac:dyDescent="0.2">
      <c r="AM124" s="63" t="s">
        <v>1138</v>
      </c>
      <c r="AN124" s="63" t="s">
        <v>1139</v>
      </c>
      <c r="AO124" s="63" t="s">
        <v>1140</v>
      </c>
      <c r="AP124" s="63" t="s">
        <v>668</v>
      </c>
      <c r="AQ124" s="63">
        <v>1</v>
      </c>
      <c r="AR124" s="63"/>
      <c r="AS124" s="63"/>
      <c r="AT124" s="63"/>
      <c r="AV124" s="63"/>
      <c r="AW124" s="63"/>
      <c r="AX124" s="63">
        <f>--ISNUMBER(IFERROR(SEARCH(Tempset!$M$4,AM124,1),""))</f>
        <v>1</v>
      </c>
      <c r="AY124" s="63">
        <f>IF(AX124=1,COUNTIF($AX$3:AX124,1),"")</f>
        <v>122</v>
      </c>
      <c r="AZ124" s="63" t="str">
        <f>IFERROR(INDEX($AM$3:$AM$1165,MATCH(ROWS($AY$3:AY124),$AY$3:$AY$1165,0)),"")</f>
        <v>CDSCltrlAmtCHF</v>
      </c>
    </row>
    <row r="125" spans="39:52" x14ac:dyDescent="0.2">
      <c r="AM125" s="63" t="s">
        <v>1141</v>
      </c>
      <c r="AN125" s="63" t="s">
        <v>1142</v>
      </c>
      <c r="AO125" s="63" t="s">
        <v>1143</v>
      </c>
      <c r="AP125" s="63" t="s">
        <v>866</v>
      </c>
      <c r="AQ125" s="63">
        <v>3</v>
      </c>
      <c r="AR125" s="63"/>
      <c r="AS125" s="63"/>
      <c r="AT125" s="63"/>
      <c r="AV125" s="63"/>
      <c r="AW125" s="63"/>
      <c r="AX125" s="63">
        <f>--ISNUMBER(IFERROR(SEARCH(Tempset!$M$4,AM125,1),""))</f>
        <v>1</v>
      </c>
      <c r="AY125" s="63">
        <f>IF(AX125=1,COUNTIF($AX$3:AX125,1),"")</f>
        <v>123</v>
      </c>
      <c r="AZ125" s="63" t="str">
        <f>IFERROR(INDEX($AM$3:$AM$1165,MATCH(ROWS($AY$3:AY125),$AY$3:$AY$1165,0)),"")</f>
        <v>CDSIndicator</v>
      </c>
    </row>
    <row r="126" spans="39:52" x14ac:dyDescent="0.2">
      <c r="AM126" s="63" t="s">
        <v>1144</v>
      </c>
      <c r="AN126" s="63" t="s">
        <v>1145</v>
      </c>
      <c r="AO126" s="63" t="s">
        <v>1146</v>
      </c>
      <c r="AP126" s="63" t="s">
        <v>422</v>
      </c>
      <c r="AQ126" s="63">
        <v>2</v>
      </c>
      <c r="AR126" s="63"/>
      <c r="AS126" s="63"/>
      <c r="AT126" s="63"/>
      <c r="AV126" s="63"/>
      <c r="AW126" s="63"/>
      <c r="AX126" s="63">
        <f>--ISNUMBER(IFERROR(SEARCH(Tempset!$M$4,AM126,1),""))</f>
        <v>1</v>
      </c>
      <c r="AY126" s="63">
        <f>IF(AX126=1,COUNTIF($AX$3:AX126,1),"")</f>
        <v>124</v>
      </c>
      <c r="AZ126" s="63" t="str">
        <f>IFERROR(INDEX($AM$3:$AM$1165,MATCH(ROWS($AY$3:AY126),$AY$3:$AY$1165,0)),"")</f>
        <v>CDSMtmAmtCHF</v>
      </c>
    </row>
    <row r="127" spans="39:52" x14ac:dyDescent="0.2">
      <c r="AM127" s="63" t="s">
        <v>1147</v>
      </c>
      <c r="AN127" s="63" t="s">
        <v>1148</v>
      </c>
      <c r="AO127" s="63" t="s">
        <v>1149</v>
      </c>
      <c r="AP127" s="63" t="s">
        <v>627</v>
      </c>
      <c r="AQ127" s="63">
        <v>2</v>
      </c>
      <c r="AR127" s="63"/>
      <c r="AS127" s="63"/>
      <c r="AT127" s="63"/>
      <c r="AV127" s="63"/>
      <c r="AW127" s="63"/>
      <c r="AX127" s="63">
        <f>--ISNUMBER(IFERROR(SEARCH(Tempset!$M$4,AM127,1),""))</f>
        <v>1</v>
      </c>
      <c r="AY127" s="63">
        <f>IF(AX127=1,COUNTIF($AX$3:AX127,1),"")</f>
        <v>125</v>
      </c>
      <c r="AZ127" s="63" t="str">
        <f>IFERROR(INDEX($AM$3:$AM$1165,MATCH(ROWS($AY$3:AY127),$AY$3:$AY$1165,0)),"")</f>
        <v>CDSNtnlAmtCHF</v>
      </c>
    </row>
    <row r="128" spans="39:52" x14ac:dyDescent="0.2">
      <c r="AM128" s="63" t="s">
        <v>1150</v>
      </c>
      <c r="AN128" s="63" t="s">
        <v>1151</v>
      </c>
      <c r="AO128" s="63" t="s">
        <v>1152</v>
      </c>
      <c r="AP128" s="63" t="s">
        <v>569</v>
      </c>
      <c r="AQ128" s="63">
        <v>2</v>
      </c>
      <c r="AR128" s="63"/>
      <c r="AS128" s="63"/>
      <c r="AT128" s="63"/>
      <c r="AV128" s="63"/>
      <c r="AW128" s="63"/>
      <c r="AX128" s="63">
        <f>--ISNUMBER(IFERROR(SEARCH(Tempset!$M$4,AM128,1),""))</f>
        <v>1</v>
      </c>
      <c r="AY128" s="63">
        <f>IF(AX128=1,COUNTIF($AX$3:AX128,1),"")</f>
        <v>126</v>
      </c>
      <c r="AZ128" s="63" t="str">
        <f>IFERROR(INDEX($AM$3:$AM$1165,MATCH(ROWS($AY$3:AY128),$AY$3:$AY$1165,0)),"")</f>
        <v>CDSOrigExposureID</v>
      </c>
    </row>
    <row r="129" spans="39:52" x14ac:dyDescent="0.2">
      <c r="AM129" s="63" t="s">
        <v>1153</v>
      </c>
      <c r="AN129" s="63" t="s">
        <v>1154</v>
      </c>
      <c r="AO129" s="63" t="s">
        <v>1155</v>
      </c>
      <c r="AP129" s="63" t="s">
        <v>309</v>
      </c>
      <c r="AQ129" s="63">
        <v>1</v>
      </c>
      <c r="AR129" s="63"/>
      <c r="AS129" s="63"/>
      <c r="AT129" s="63"/>
      <c r="AV129" s="63"/>
      <c r="AW129" s="63"/>
      <c r="AX129" s="63">
        <f>--ISNUMBER(IFERROR(SEARCH(Tempset!$M$4,AM129,1),""))</f>
        <v>1</v>
      </c>
      <c r="AY129" s="63">
        <f>IF(AX129=1,COUNTIF($AX$3:AX129,1),"")</f>
        <v>127</v>
      </c>
      <c r="AZ129" s="63" t="str">
        <f>IFERROR(INDEX($AM$3:$AM$1165,MATCH(ROWS($AY$3:AY129),$AY$3:$AY$1165,0)),"")</f>
        <v>CDSpremium</v>
      </c>
    </row>
    <row r="130" spans="39:52" x14ac:dyDescent="0.2">
      <c r="AM130" s="63" t="s">
        <v>1156</v>
      </c>
      <c r="AN130" s="63" t="s">
        <v>1157</v>
      </c>
      <c r="AO130" s="63" t="s">
        <v>1158</v>
      </c>
      <c r="AP130" s="63" t="s">
        <v>467</v>
      </c>
      <c r="AQ130" s="63">
        <v>4</v>
      </c>
      <c r="AR130" s="63"/>
      <c r="AS130" s="63"/>
      <c r="AT130" s="63"/>
      <c r="AV130" s="63"/>
      <c r="AW130" s="63"/>
      <c r="AX130" s="63">
        <f>--ISNUMBER(IFERROR(SEARCH(Tempset!$M$4,AM130,1),""))</f>
        <v>1</v>
      </c>
      <c r="AY130" s="63">
        <f>IF(AX130=1,COUNTIF($AX$3:AX130,1),"")</f>
        <v>128</v>
      </c>
      <c r="AZ130" s="63" t="str">
        <f>IFERROR(INDEX($AM$3:$AM$1165,MATCH(ROWS($AY$3:AY130),$AY$3:$AY$1165,0)),"")</f>
        <v>CDSSpreadStandardDeviation</v>
      </c>
    </row>
    <row r="131" spans="39:52" x14ac:dyDescent="0.2">
      <c r="AM131" s="63" t="s">
        <v>1159</v>
      </c>
      <c r="AN131" s="63" t="s">
        <v>1160</v>
      </c>
      <c r="AO131" s="63" t="s">
        <v>1161</v>
      </c>
      <c r="AP131" s="63" t="s">
        <v>866</v>
      </c>
      <c r="AQ131" s="63">
        <v>3</v>
      </c>
      <c r="AR131" s="63"/>
      <c r="AS131" s="63"/>
      <c r="AT131" s="63"/>
      <c r="AV131" s="63"/>
      <c r="AW131" s="63"/>
      <c r="AX131" s="63">
        <f>--ISNUMBER(IFERROR(SEARCH(Tempset!$M$4,AM131,1),""))</f>
        <v>1</v>
      </c>
      <c r="AY131" s="63">
        <f>IF(AX131=1,COUNTIF($AX$3:AX131,1),"")</f>
        <v>129</v>
      </c>
      <c r="AZ131" s="63" t="str">
        <f>IFERROR(INDEX($AM$3:$AM$1165,MATCH(ROWS($AY$3:AY131),$AY$3:$AY$1165,0)),"")</f>
        <v>CECLimpactBeyondLPALosses</v>
      </c>
    </row>
    <row r="132" spans="39:52" x14ac:dyDescent="0.2">
      <c r="AM132" s="63" t="s">
        <v>1162</v>
      </c>
      <c r="AN132" s="63" t="s">
        <v>1163</v>
      </c>
      <c r="AO132" s="63" t="s">
        <v>529</v>
      </c>
      <c r="AP132" s="63" t="s">
        <v>467</v>
      </c>
      <c r="AQ132" s="63">
        <v>4</v>
      </c>
      <c r="AR132" s="63"/>
      <c r="AS132" s="63"/>
      <c r="AT132" s="63"/>
      <c r="AV132" s="63"/>
      <c r="AW132" s="63"/>
      <c r="AX132" s="63">
        <f>--ISNUMBER(IFERROR(SEARCH(Tempset!$M$4,AM132,1),""))</f>
        <v>1</v>
      </c>
      <c r="AY132" s="63">
        <f>IF(AX132=1,COUNTIF($AX$3:AX132,1),"")</f>
        <v>130</v>
      </c>
      <c r="AZ132" s="63" t="str">
        <f>IFERROR(INDEX($AM$3:$AM$1165,MATCH(ROWS($AY$3:AY132),$AY$3:$AY$1165,0)),"")</f>
        <v>centralCounterpartyType</v>
      </c>
    </row>
    <row r="133" spans="39:52" x14ac:dyDescent="0.2">
      <c r="AM133" s="63" t="s">
        <v>1164</v>
      </c>
      <c r="AN133" s="63" t="s">
        <v>1165</v>
      </c>
      <c r="AO133" s="63" t="s">
        <v>1166</v>
      </c>
      <c r="AP133" s="63" t="s">
        <v>760</v>
      </c>
      <c r="AQ133" s="63">
        <v>2</v>
      </c>
      <c r="AR133" s="63"/>
      <c r="AS133" s="63"/>
      <c r="AT133" s="63"/>
      <c r="AV133" s="63"/>
      <c r="AW133" s="63"/>
      <c r="AX133" s="63">
        <f>--ISNUMBER(IFERROR(SEARCH(Tempset!$M$4,AM133,1),""))</f>
        <v>1</v>
      </c>
      <c r="AY133" s="63">
        <f>IF(AX133=1,COUNTIF($AX$3:AX133,1),"")</f>
        <v>131</v>
      </c>
      <c r="AZ133" s="63" t="str">
        <f>IFERROR(INDEX($AM$3:$AM$1165,MATCH(ROWS($AY$3:AY133),$AY$3:$AY$1165,0)),"")</f>
        <v>CESmethod</v>
      </c>
    </row>
    <row r="134" spans="39:52" x14ac:dyDescent="0.2">
      <c r="AM134" s="63" t="s">
        <v>1167</v>
      </c>
      <c r="AN134" s="63" t="s">
        <v>1168</v>
      </c>
      <c r="AO134" s="63" t="s">
        <v>1169</v>
      </c>
      <c r="AP134" s="63" t="s">
        <v>291</v>
      </c>
      <c r="AQ134" s="63">
        <v>3</v>
      </c>
      <c r="AR134" s="63"/>
      <c r="AS134" s="63"/>
      <c r="AT134" s="63"/>
      <c r="AV134" s="63"/>
      <c r="AW134" s="63"/>
      <c r="AX134" s="63">
        <f>--ISNUMBER(IFERROR(SEARCH(Tempset!$M$4,AM134,1),""))</f>
        <v>1</v>
      </c>
      <c r="AY134" s="63">
        <f>IF(AX134=1,COUNTIF($AX$3:AX134,1),"")</f>
        <v>132</v>
      </c>
      <c r="AZ134" s="63" t="str">
        <f>IFERROR(INDEX($AM$3:$AM$1165,MATCH(ROWS($AY$3:AY134),$AY$3:$AY$1165,0)),"")</f>
        <v>CFactor</v>
      </c>
    </row>
    <row r="135" spans="39:52" x14ac:dyDescent="0.2">
      <c r="AM135" s="63" t="s">
        <v>1170</v>
      </c>
      <c r="AN135" s="63" t="s">
        <v>1171</v>
      </c>
      <c r="AO135" s="63" t="s">
        <v>1172</v>
      </c>
      <c r="AP135" s="63" t="s">
        <v>692</v>
      </c>
      <c r="AQ135" s="63">
        <v>2</v>
      </c>
      <c r="AR135" s="63"/>
      <c r="AS135" s="63"/>
      <c r="AT135" s="63"/>
      <c r="AV135" s="63"/>
      <c r="AW135" s="63"/>
      <c r="AX135" s="63">
        <f>--ISNUMBER(IFERROR(SEARCH(Tempset!$M$4,AM135,1),""))</f>
        <v>1</v>
      </c>
      <c r="AY135" s="63">
        <f>IF(AX135=1,COUNTIF($AX$3:AX135,1),"")</f>
        <v>133</v>
      </c>
      <c r="AZ135" s="63" t="str">
        <f>IFERROR(INDEX($AM$3:$AM$1165,MATCH(ROWS($AY$3:AY135),$AY$3:$AY$1165,0)),"")</f>
        <v>childFundId</v>
      </c>
    </row>
    <row r="136" spans="39:52" x14ac:dyDescent="0.2">
      <c r="AM136" s="63" t="s">
        <v>1173</v>
      </c>
      <c r="AN136" s="63" t="s">
        <v>1174</v>
      </c>
      <c r="AO136" s="63" t="s">
        <v>1175</v>
      </c>
      <c r="AP136" s="63" t="s">
        <v>692</v>
      </c>
      <c r="AQ136" s="63">
        <v>2</v>
      </c>
      <c r="AR136" s="63"/>
      <c r="AS136" s="63"/>
      <c r="AT136" s="63"/>
      <c r="AV136" s="63"/>
      <c r="AW136" s="63"/>
      <c r="AX136" s="63">
        <f>--ISNUMBER(IFERROR(SEARCH(Tempset!$M$4,AM136,1),""))</f>
        <v>1</v>
      </c>
      <c r="AY136" s="63">
        <f>IF(AX136=1,COUNTIF($AX$3:AX136,1),"")</f>
        <v>134</v>
      </c>
      <c r="AZ136" s="63" t="str">
        <f>IFERROR(INDEX($AM$3:$AM$1165,MATCH(ROWS($AY$3:AY136),$AY$3:$AY$1165,0)),"")</f>
        <v>cleanedTotalExpenses</v>
      </c>
    </row>
    <row r="137" spans="39:52" x14ac:dyDescent="0.2">
      <c r="AM137" s="63" t="s">
        <v>1176</v>
      </c>
      <c r="AN137" s="63" t="s">
        <v>1177</v>
      </c>
      <c r="AO137" s="63" t="s">
        <v>1178</v>
      </c>
      <c r="AP137" s="63" t="s">
        <v>668</v>
      </c>
      <c r="AQ137" s="63">
        <v>3</v>
      </c>
      <c r="AR137" s="63"/>
      <c r="AS137" s="63"/>
      <c r="AT137" s="63"/>
      <c r="AV137" s="63"/>
      <c r="AW137" s="63"/>
      <c r="AX137" s="63">
        <f>--ISNUMBER(IFERROR(SEARCH(Tempset!$M$4,AM137,1),""))</f>
        <v>1</v>
      </c>
      <c r="AY137" s="63">
        <f>IF(AX137=1,COUNTIF($AX$3:AX137,1),"")</f>
        <v>135</v>
      </c>
      <c r="AZ137" s="63" t="str">
        <f>IFERROR(INDEX($AM$3:$AM$1165,MATCH(ROWS($AY$3:AY137),$AY$3:$AY$1165,0)),"")</f>
        <v>clearingHouse</v>
      </c>
    </row>
    <row r="138" spans="39:52" x14ac:dyDescent="0.2">
      <c r="AM138" s="63" t="s">
        <v>1179</v>
      </c>
      <c r="AN138" s="63" t="s">
        <v>1180</v>
      </c>
      <c r="AO138" s="63" t="s">
        <v>1181</v>
      </c>
      <c r="AP138" s="63" t="s">
        <v>272</v>
      </c>
      <c r="AQ138" s="63">
        <v>2</v>
      </c>
      <c r="AR138" s="63"/>
      <c r="AS138" s="63"/>
      <c r="AT138" s="63"/>
      <c r="AV138" s="63"/>
      <c r="AW138" s="63"/>
      <c r="AX138" s="63">
        <f>--ISNUMBER(IFERROR(SEARCH(Tempset!$M$4,AM138,1),""))</f>
        <v>1</v>
      </c>
      <c r="AY138" s="63">
        <f>IF(AX138=1,COUNTIF($AX$3:AX138,1),"")</f>
        <v>136</v>
      </c>
      <c r="AZ138" s="63" t="str">
        <f>IFERROR(INDEX($AM$3:$AM$1165,MATCH(ROWS($AY$3:AY138),$AY$3:$AY$1165,0)),"")</f>
        <v>clientCurrentAssets</v>
      </c>
    </row>
    <row r="139" spans="39:52" x14ac:dyDescent="0.2">
      <c r="AM139" s="63" t="s">
        <v>1182</v>
      </c>
      <c r="AN139" s="63" t="s">
        <v>1183</v>
      </c>
      <c r="AO139" s="63" t="s">
        <v>1184</v>
      </c>
      <c r="AP139" s="63" t="s">
        <v>569</v>
      </c>
      <c r="AQ139" s="63">
        <v>2</v>
      </c>
      <c r="AR139" s="63"/>
      <c r="AS139" s="63"/>
      <c r="AT139" s="63"/>
      <c r="AV139" s="63"/>
      <c r="AW139" s="63"/>
      <c r="AX139" s="63">
        <f>--ISNUMBER(IFERROR(SEARCH(Tempset!$M$4,AM139,1),""))</f>
        <v>1</v>
      </c>
      <c r="AY139" s="63">
        <f>IF(AX139=1,COUNTIF($AX$3:AX139,1),"")</f>
        <v>137</v>
      </c>
      <c r="AZ139" s="63" t="str">
        <f>IFERROR(INDEX($AM$3:$AM$1165,MATCH(ROWS($AY$3:AY139),$AY$3:$AY$1165,0)),"")</f>
        <v>clientRelationshipCode</v>
      </c>
    </row>
    <row r="140" spans="39:52" x14ac:dyDescent="0.2">
      <c r="AM140" s="63" t="s">
        <v>1185</v>
      </c>
      <c r="AN140" s="63" t="s">
        <v>1186</v>
      </c>
      <c r="AO140" s="63" t="s">
        <v>1187</v>
      </c>
      <c r="AP140" s="63" t="s">
        <v>291</v>
      </c>
      <c r="AQ140" s="63">
        <v>3</v>
      </c>
      <c r="AR140" s="63"/>
      <c r="AS140" s="63"/>
      <c r="AT140" s="63"/>
      <c r="AV140" s="63"/>
      <c r="AW140" s="63"/>
      <c r="AX140" s="63">
        <f>--ISNUMBER(IFERROR(SEARCH(Tempset!$M$4,AM140,1),""))</f>
        <v>1</v>
      </c>
      <c r="AY140" s="63">
        <f>IF(AX140=1,COUNTIF($AX$3:AX140,1),"")</f>
        <v>138</v>
      </c>
      <c r="AZ140" s="63" t="str">
        <f>IFERROR(INDEX($AM$3:$AM$1165,MATCH(ROWS($AY$3:AY140),$AY$3:$AY$1165,0)),"")</f>
        <v>clientRevenueHaircut</v>
      </c>
    </row>
    <row r="141" spans="39:52" x14ac:dyDescent="0.2">
      <c r="AM141" s="63" t="s">
        <v>1188</v>
      </c>
      <c r="AN141" s="63" t="s">
        <v>1189</v>
      </c>
      <c r="AO141" s="63" t="s">
        <v>1190</v>
      </c>
      <c r="AP141" s="63" t="s">
        <v>1036</v>
      </c>
      <c r="AQ141" s="63">
        <v>3</v>
      </c>
      <c r="AR141" s="63"/>
      <c r="AS141" s="63"/>
      <c r="AT141" s="63"/>
      <c r="AV141" s="63"/>
      <c r="AW141" s="63"/>
      <c r="AX141" s="63">
        <f>--ISNUMBER(IFERROR(SEARCH(Tempset!$M$4,AM141,1),""))</f>
        <v>1</v>
      </c>
      <c r="AY141" s="63">
        <f>IF(AX141=1,COUNTIF($AX$3:AX141,1),"")</f>
        <v>139</v>
      </c>
      <c r="AZ141" s="63" t="str">
        <f>IFERROR(INDEX($AM$3:$AM$1165,MATCH(ROWS($AY$3:AY141),$AY$3:$AY$1165,0)),"")</f>
        <v>clientSalesRevenuePercentage</v>
      </c>
    </row>
    <row r="142" spans="39:52" x14ac:dyDescent="0.2">
      <c r="AM142" s="63" t="s">
        <v>1191</v>
      </c>
      <c r="AN142" s="63" t="s">
        <v>1192</v>
      </c>
      <c r="AO142" s="63" t="s">
        <v>1193</v>
      </c>
      <c r="AP142" s="63" t="s">
        <v>370</v>
      </c>
      <c r="AQ142" s="63">
        <v>3</v>
      </c>
      <c r="AR142" s="63"/>
      <c r="AS142" s="63"/>
      <c r="AT142" s="63"/>
      <c r="AV142" s="63"/>
      <c r="AW142" s="63"/>
      <c r="AX142" s="63">
        <f>--ISNUMBER(IFERROR(SEARCH(Tempset!$M$4,AM142,1),""))</f>
        <v>1</v>
      </c>
      <c r="AY142" s="63">
        <f>IF(AX142=1,COUNTIF($AX$3:AX142,1),"")</f>
        <v>140</v>
      </c>
      <c r="AZ142" s="63" t="str">
        <f>IFERROR(INDEX($AM$3:$AM$1165,MATCH(ROWS($AY$3:AY142),$AY$3:$AY$1165,0)),"")</f>
        <v>clientType</v>
      </c>
    </row>
    <row r="143" spans="39:52" x14ac:dyDescent="0.2">
      <c r="AM143" s="63" t="s">
        <v>1194</v>
      </c>
      <c r="AN143" s="63" t="s">
        <v>1195</v>
      </c>
      <c r="AO143" s="63" t="s">
        <v>1196</v>
      </c>
      <c r="AP143" s="63" t="s">
        <v>569</v>
      </c>
      <c r="AQ143" s="63">
        <v>2</v>
      </c>
      <c r="AR143" s="63"/>
      <c r="AS143" s="63"/>
      <c r="AT143" s="63"/>
      <c r="AV143" s="63"/>
      <c r="AW143" s="63"/>
      <c r="AX143" s="63">
        <f>--ISNUMBER(IFERROR(SEARCH(Tempset!$M$4,AM143,1),""))</f>
        <v>1</v>
      </c>
      <c r="AY143" s="63">
        <f>IF(AX143=1,COUNTIF($AX$3:AX143,1),"")</f>
        <v>141</v>
      </c>
      <c r="AZ143" s="63" t="str">
        <f>IFERROR(INDEX($AM$3:$AM$1165,MATCH(ROWS($AY$3:AY143),$AY$3:$AY$1165,0)),"")</f>
        <v>clientTypeCode</v>
      </c>
    </row>
    <row r="144" spans="39:52" x14ac:dyDescent="0.2">
      <c r="AM144" s="63" t="s">
        <v>1197</v>
      </c>
      <c r="AN144" s="63" t="s">
        <v>1198</v>
      </c>
      <c r="AO144" s="63" t="s">
        <v>1199</v>
      </c>
      <c r="AP144" s="63" t="s">
        <v>692</v>
      </c>
      <c r="AQ144" s="63">
        <v>1</v>
      </c>
      <c r="AR144" s="63"/>
      <c r="AS144" s="63"/>
      <c r="AT144" s="63"/>
      <c r="AV144" s="63"/>
      <c r="AW144" s="63"/>
      <c r="AX144" s="63">
        <f>--ISNUMBER(IFERROR(SEARCH(Tempset!$M$4,AM144,1),""))</f>
        <v>1</v>
      </c>
      <c r="AY144" s="63">
        <f>IF(AX144=1,COUNTIF($AX$3:AX144,1),"")</f>
        <v>142</v>
      </c>
      <c r="AZ144" s="63" t="str">
        <f>IFERROR(INDEX($AM$3:$AM$1165,MATCH(ROWS($AY$3:AY144),$AY$3:$AY$1165,0)),"")</f>
        <v>clientUltimateParentId</v>
      </c>
    </row>
    <row r="145" spans="39:52" x14ac:dyDescent="0.2">
      <c r="AM145" s="63" t="s">
        <v>1200</v>
      </c>
      <c r="AN145" s="63" t="s">
        <v>1201</v>
      </c>
      <c r="AO145" s="63" t="s">
        <v>1202</v>
      </c>
      <c r="AP145" s="63" t="s">
        <v>692</v>
      </c>
      <c r="AQ145" s="63">
        <v>2</v>
      </c>
      <c r="AR145" s="63"/>
      <c r="AS145" s="63"/>
      <c r="AT145" s="63"/>
      <c r="AV145" s="63"/>
      <c r="AW145" s="63"/>
      <c r="AX145" s="63">
        <f>--ISNUMBER(IFERROR(SEARCH(Tempset!$M$4,AM145,1),""))</f>
        <v>1</v>
      </c>
      <c r="AY145" s="63">
        <f>IF(AX145=1,COUNTIF($AX$3:AX145,1),"")</f>
        <v>143</v>
      </c>
      <c r="AZ145" s="63" t="str">
        <f>IFERROR(INDEX($AM$3:$AM$1165,MATCH(ROWS($AY$3:AY145),$AY$3:$AY$1165,0)),"")</f>
        <v>CLOWarehouseERCValue</v>
      </c>
    </row>
    <row r="146" spans="39:52" x14ac:dyDescent="0.2">
      <c r="AM146" s="63" t="s">
        <v>1203</v>
      </c>
      <c r="AN146" s="63" t="s">
        <v>1204</v>
      </c>
      <c r="AO146" s="63" t="s">
        <v>582</v>
      </c>
      <c r="AP146" s="63" t="s">
        <v>558</v>
      </c>
      <c r="AQ146" s="63">
        <v>2</v>
      </c>
      <c r="AR146" s="63"/>
      <c r="AS146" s="63"/>
      <c r="AT146" s="63"/>
      <c r="AV146" s="63"/>
      <c r="AW146" s="63"/>
      <c r="AX146" s="63">
        <f>--ISNUMBER(IFERROR(SEARCH(Tempset!$M$4,AM146,1),""))</f>
        <v>1</v>
      </c>
      <c r="AY146" s="63">
        <f>IF(AX146=1,COUNTIF($AX$3:AX146,1),"")</f>
        <v>144</v>
      </c>
      <c r="AZ146" s="63" t="str">
        <f>IFERROR(INDEX($AM$3:$AM$1165,MATCH(ROWS($AY$3:AY146),$AY$3:$AY$1165,0)),"")</f>
        <v>CMDFCValue</v>
      </c>
    </row>
    <row r="147" spans="39:52" x14ac:dyDescent="0.2">
      <c r="AM147" s="63" t="s">
        <v>1205</v>
      </c>
      <c r="AN147" s="63" t="s">
        <v>1206</v>
      </c>
      <c r="AO147" s="63" t="s">
        <v>1207</v>
      </c>
      <c r="AP147" s="63" t="s">
        <v>1036</v>
      </c>
      <c r="AQ147" s="63">
        <v>3</v>
      </c>
      <c r="AR147" s="63"/>
      <c r="AS147" s="63"/>
      <c r="AT147" s="63"/>
      <c r="AV147" s="63"/>
      <c r="AW147" s="63"/>
      <c r="AX147" s="63">
        <f>--ISNUMBER(IFERROR(SEARCH(Tempset!$M$4,AM147,1),""))</f>
        <v>1</v>
      </c>
      <c r="AY147" s="63">
        <f>IF(AX147=1,COUNTIF($AX$3:AX147,1),"")</f>
        <v>145</v>
      </c>
      <c r="AZ147" s="63" t="str">
        <f>IFERROR(INDEX($AM$3:$AM$1165,MATCH(ROWS($AY$3:AY147),$AY$3:$AY$1165,0)),"")</f>
        <v>CNCOMCharge</v>
      </c>
    </row>
    <row r="148" spans="39:52" x14ac:dyDescent="0.2">
      <c r="AM148" s="63" t="s">
        <v>1208</v>
      </c>
      <c r="AN148" s="63" t="s">
        <v>1209</v>
      </c>
      <c r="AO148" s="63" t="s">
        <v>1210</v>
      </c>
      <c r="AP148" s="63" t="s">
        <v>467</v>
      </c>
      <c r="AQ148" s="63">
        <v>3</v>
      </c>
      <c r="AR148" s="63"/>
      <c r="AS148" s="63"/>
      <c r="AT148" s="63"/>
      <c r="AV148" s="63"/>
      <c r="AW148" s="63"/>
      <c r="AX148" s="63">
        <f>--ISNUMBER(IFERROR(SEARCH(Tempset!$M$4,AM148,1),""))</f>
        <v>1</v>
      </c>
      <c r="AY148" s="63">
        <f>IF(AX148=1,COUNTIF($AX$3:AX148,1),"")</f>
        <v>146</v>
      </c>
      <c r="AZ148" s="63" t="str">
        <f>IFERROR(INDEX($AM$3:$AM$1165,MATCH(ROWS($AY$3:AY148),$AY$3:$AY$1165,0)),"")</f>
        <v>COBDate</v>
      </c>
    </row>
    <row r="149" spans="39:52" x14ac:dyDescent="0.2">
      <c r="AM149" s="63" t="s">
        <v>1211</v>
      </c>
      <c r="AN149" s="63" t="s">
        <v>1212</v>
      </c>
      <c r="AO149" s="63" t="s">
        <v>1213</v>
      </c>
      <c r="AP149" s="63" t="s">
        <v>760</v>
      </c>
      <c r="AQ149" s="63">
        <v>1</v>
      </c>
      <c r="AR149" s="63"/>
      <c r="AS149" s="63"/>
      <c r="AT149" s="63"/>
      <c r="AV149" s="63"/>
      <c r="AW149" s="63"/>
      <c r="AX149" s="63">
        <f>--ISNUMBER(IFERROR(SEARCH(Tempset!$M$4,AM149,1),""))</f>
        <v>1</v>
      </c>
      <c r="AY149" s="63">
        <f>IF(AX149=1,COUNTIF($AX$3:AX149,1),"")</f>
        <v>147</v>
      </c>
      <c r="AZ149" s="63" t="str">
        <f>IFERROR(INDEX($AM$3:$AM$1165,MATCH(ROWS($AY$3:AY149),$AY$3:$AY$1165,0)),"")</f>
        <v>collateralAgreementId</v>
      </c>
    </row>
    <row r="150" spans="39:52" x14ac:dyDescent="0.2">
      <c r="AM150" s="63" t="s">
        <v>1214</v>
      </c>
      <c r="AN150" s="63" t="s">
        <v>1215</v>
      </c>
      <c r="AO150" s="63" t="s">
        <v>1216</v>
      </c>
      <c r="AP150" s="63" t="s">
        <v>291</v>
      </c>
      <c r="AQ150" s="63">
        <v>3</v>
      </c>
      <c r="AR150" s="63"/>
      <c r="AS150" s="63"/>
      <c r="AT150" s="63"/>
      <c r="AV150" s="63"/>
      <c r="AW150" s="63"/>
      <c r="AX150" s="63">
        <f>--ISNUMBER(IFERROR(SEARCH(Tempset!$M$4,AM150,1),""))</f>
        <v>1</v>
      </c>
      <c r="AY150" s="63">
        <f>IF(AX150=1,COUNTIF($AX$3:AX150,1),"")</f>
        <v>148</v>
      </c>
      <c r="AZ150" s="63" t="str">
        <f>IFERROR(INDEX($AM$3:$AM$1165,MATCH(ROWS($AY$3:AY150),$AY$3:$AY$1165,0)),"")</f>
        <v>collateralAnnexLLK</v>
      </c>
    </row>
    <row r="151" spans="39:52" x14ac:dyDescent="0.2">
      <c r="AM151" s="63" t="s">
        <v>1217</v>
      </c>
      <c r="AN151" s="63" t="s">
        <v>1218</v>
      </c>
      <c r="AO151" s="63" t="s">
        <v>1219</v>
      </c>
      <c r="AP151" s="63" t="s">
        <v>370</v>
      </c>
      <c r="AQ151" s="63">
        <v>3</v>
      </c>
      <c r="AR151" s="63"/>
      <c r="AS151" s="63"/>
      <c r="AT151" s="63"/>
      <c r="AV151" s="63"/>
      <c r="AW151" s="63"/>
      <c r="AX151" s="63">
        <f>--ISNUMBER(IFERROR(SEARCH(Tempset!$M$4,AM151,1),""))</f>
        <v>1</v>
      </c>
      <c r="AY151" s="63">
        <f>IF(AX151=1,COUNTIF($AX$3:AX151,1),"")</f>
        <v>149</v>
      </c>
      <c r="AZ151" s="63" t="str">
        <f>IFERROR(INDEX($AM$3:$AM$1165,MATCH(ROWS($AY$3:AY151),$AY$3:$AY$1165,0)),"")</f>
        <v>collateralCarrierLimitValue</v>
      </c>
    </row>
    <row r="152" spans="39:52" x14ac:dyDescent="0.2">
      <c r="AM152" s="63" t="s">
        <v>1220</v>
      </c>
      <c r="AN152" s="63" t="s">
        <v>1221</v>
      </c>
      <c r="AO152" s="63" t="s">
        <v>1222</v>
      </c>
      <c r="AP152" s="63" t="s">
        <v>309</v>
      </c>
      <c r="AQ152" s="63">
        <v>2</v>
      </c>
      <c r="AR152" s="63"/>
      <c r="AS152" s="63"/>
      <c r="AT152" s="63"/>
      <c r="AV152" s="63"/>
      <c r="AW152" s="63"/>
      <c r="AX152" s="63">
        <f>--ISNUMBER(IFERROR(SEARCH(Tempset!$M$4,AM152,1),""))</f>
        <v>1</v>
      </c>
      <c r="AY152" s="63">
        <f>IF(AX152=1,COUNTIF($AX$3:AX152,1),"")</f>
        <v>150</v>
      </c>
      <c r="AZ152" s="63" t="str">
        <f>IFERROR(INDEX($AM$3:$AM$1165,MATCH(ROWS($AY$3:AY152),$AY$3:$AY$1165,0)),"")</f>
        <v>collateralCouponAmount</v>
      </c>
    </row>
    <row r="153" spans="39:52" x14ac:dyDescent="0.2">
      <c r="AM153" s="63" t="s">
        <v>1223</v>
      </c>
      <c r="AN153" s="63" t="s">
        <v>1224</v>
      </c>
      <c r="AO153" s="63" t="s">
        <v>1225</v>
      </c>
      <c r="AP153" s="63" t="s">
        <v>692</v>
      </c>
      <c r="AQ153" s="63">
        <v>2</v>
      </c>
      <c r="AR153" s="63"/>
      <c r="AS153" s="63"/>
      <c r="AT153" s="63"/>
      <c r="AV153" s="63"/>
      <c r="AW153" s="63"/>
      <c r="AX153" s="63">
        <f>--ISNUMBER(IFERROR(SEARCH(Tempset!$M$4,AM153,1),""))</f>
        <v>1</v>
      </c>
      <c r="AY153" s="63">
        <f>IF(AX153=1,COUNTIF($AX$3:AX153,1),"")</f>
        <v>151</v>
      </c>
      <c r="AZ153" s="63" t="str">
        <f>IFERROR(INDEX($AM$3:$AM$1165,MATCH(ROWS($AY$3:AY153),$AY$3:$AY$1165,0)),"")</f>
        <v>collateralCurrency</v>
      </c>
    </row>
    <row r="154" spans="39:52" x14ac:dyDescent="0.2">
      <c r="AM154" s="63" t="s">
        <v>1226</v>
      </c>
      <c r="AN154" s="63" t="s">
        <v>1227</v>
      </c>
      <c r="AO154" s="63" t="s">
        <v>1228</v>
      </c>
      <c r="AP154" s="63" t="s">
        <v>668</v>
      </c>
      <c r="AQ154" s="63">
        <v>1</v>
      </c>
      <c r="AR154" s="63"/>
      <c r="AS154" s="63"/>
      <c r="AT154" s="63"/>
      <c r="AV154" s="63"/>
      <c r="AW154" s="63"/>
      <c r="AX154" s="63">
        <f>--ISNUMBER(IFERROR(SEARCH(Tempset!$M$4,AM154,1),""))</f>
        <v>1</v>
      </c>
      <c r="AY154" s="63">
        <f>IF(AX154=1,COUNTIF($AX$3:AX154,1),"")</f>
        <v>152</v>
      </c>
      <c r="AZ154" s="63" t="str">
        <f>IFERROR(INDEX($AM$3:$AM$1165,MATCH(ROWS($AY$3:AY154),$AY$3:$AY$1165,0)),"")</f>
        <v>collateralDate</v>
      </c>
    </row>
    <row r="155" spans="39:52" x14ac:dyDescent="0.2">
      <c r="AM155" s="63" t="s">
        <v>1229</v>
      </c>
      <c r="AN155" s="63" t="s">
        <v>1230</v>
      </c>
      <c r="AO155" s="63" t="s">
        <v>1231</v>
      </c>
      <c r="AP155" s="63" t="s">
        <v>627</v>
      </c>
      <c r="AQ155" s="63">
        <v>3</v>
      </c>
      <c r="AR155" s="63"/>
      <c r="AS155" s="63"/>
      <c r="AT155" s="63"/>
      <c r="AV155" s="63"/>
      <c r="AW155" s="63"/>
      <c r="AX155" s="63">
        <f>--ISNUMBER(IFERROR(SEARCH(Tempset!$M$4,AM155,1),""))</f>
        <v>1</v>
      </c>
      <c r="AY155" s="63">
        <f>IF(AX155=1,COUNTIF($AX$3:AX155,1),"")</f>
        <v>153</v>
      </c>
      <c r="AZ155" s="63" t="str">
        <f>IFERROR(INDEX($AM$3:$AM$1165,MATCH(ROWS($AY$3:AY155),$AY$3:$AY$1165,0)),"")</f>
        <v>collateralEligibilityFlag</v>
      </c>
    </row>
    <row r="156" spans="39:52" x14ac:dyDescent="0.2">
      <c r="AM156" s="63" t="s">
        <v>1232</v>
      </c>
      <c r="AN156" s="63" t="s">
        <v>1233</v>
      </c>
      <c r="AO156" s="63" t="s">
        <v>1234</v>
      </c>
      <c r="AP156" s="63" t="s">
        <v>1036</v>
      </c>
      <c r="AQ156" s="63">
        <v>3</v>
      </c>
      <c r="AR156" s="63"/>
      <c r="AS156" s="63"/>
      <c r="AT156" s="63"/>
      <c r="AV156" s="63"/>
      <c r="AW156" s="63"/>
      <c r="AX156" s="63">
        <f>--ISNUMBER(IFERROR(SEARCH(Tempset!$M$4,AM156,1),""))</f>
        <v>1</v>
      </c>
      <c r="AY156" s="63">
        <f>IF(AX156=1,COUNTIF($AX$3:AX156,1),"")</f>
        <v>154</v>
      </c>
      <c r="AZ156" s="63" t="str">
        <f>IFERROR(INDEX($AM$3:$AM$1165,MATCH(ROWS($AY$3:AY156),$AY$3:$AY$1165,0)),"")</f>
        <v>collateralEnforceableProducts</v>
      </c>
    </row>
    <row r="157" spans="39:52" x14ac:dyDescent="0.2">
      <c r="AM157" s="63" t="s">
        <v>1235</v>
      </c>
      <c r="AN157" s="63" t="s">
        <v>1236</v>
      </c>
      <c r="AO157" s="63" t="s">
        <v>1237</v>
      </c>
      <c r="AP157" s="63" t="s">
        <v>272</v>
      </c>
      <c r="AQ157" s="63">
        <v>2</v>
      </c>
      <c r="AR157" s="63"/>
      <c r="AS157" s="63"/>
      <c r="AT157" s="63"/>
      <c r="AV157" s="63"/>
      <c r="AW157" s="63"/>
      <c r="AX157" s="63">
        <f>--ISNUMBER(IFERROR(SEARCH(Tempset!$M$4,AM157,1),""))</f>
        <v>1</v>
      </c>
      <c r="AY157" s="63">
        <f>IF(AX157=1,COUNTIF($AX$3:AX157,1),"")</f>
        <v>155</v>
      </c>
      <c r="AZ157" s="63" t="str">
        <f>IFERROR(INDEX($AM$3:$AM$1165,MATCH(ROWS($AY$3:AY157),$AY$3:$AY$1165,0)),"")</f>
        <v>collateralId</v>
      </c>
    </row>
    <row r="158" spans="39:52" x14ac:dyDescent="0.2">
      <c r="AM158" s="63" t="s">
        <v>1238</v>
      </c>
      <c r="AN158" s="63" t="s">
        <v>1239</v>
      </c>
      <c r="AO158" s="63" t="s">
        <v>1240</v>
      </c>
      <c r="AP158" s="63" t="s">
        <v>467</v>
      </c>
      <c r="AQ158" s="63">
        <v>4</v>
      </c>
      <c r="AR158" s="63"/>
      <c r="AS158" s="63"/>
      <c r="AT158" s="63"/>
      <c r="AV158" s="63"/>
      <c r="AW158" s="63"/>
      <c r="AX158" s="63">
        <f>--ISNUMBER(IFERROR(SEARCH(Tempset!$M$4,AM158,1),""))</f>
        <v>1</v>
      </c>
      <c r="AY158" s="63">
        <f>IF(AX158=1,COUNTIF($AX$3:AX158,1),"")</f>
        <v>156</v>
      </c>
      <c r="AZ158" s="63" t="str">
        <f>IFERROR(INDEX($AM$3:$AM$1165,MATCH(ROWS($AY$3:AY158),$AY$3:$AY$1165,0)),"")</f>
        <v>collateralizationMultiplier</v>
      </c>
    </row>
    <row r="159" spans="39:52" x14ac:dyDescent="0.2">
      <c r="AM159" s="63" t="s">
        <v>1241</v>
      </c>
      <c r="AN159" s="63" t="s">
        <v>1242</v>
      </c>
      <c r="AO159" s="63" t="s">
        <v>1243</v>
      </c>
      <c r="AP159" s="63" t="s">
        <v>370</v>
      </c>
      <c r="AQ159" s="63">
        <v>3</v>
      </c>
      <c r="AR159" s="63"/>
      <c r="AS159" s="63"/>
      <c r="AT159" s="63"/>
      <c r="AV159" s="63"/>
      <c r="AW159" s="63"/>
      <c r="AX159" s="63">
        <f>--ISNUMBER(IFERROR(SEARCH(Tempset!$M$4,AM159,1),""))</f>
        <v>1</v>
      </c>
      <c r="AY159" s="63">
        <f>IF(AX159=1,COUNTIF($AX$3:AX159,1),"")</f>
        <v>157</v>
      </c>
      <c r="AZ159" s="63" t="str">
        <f>IFERROR(INDEX($AM$3:$AM$1165,MATCH(ROWS($AY$3:AY159),$AY$3:$AY$1165,0)),"")</f>
        <v>collateralizedLoanObligationERCvalue</v>
      </c>
    </row>
    <row r="160" spans="39:52" x14ac:dyDescent="0.2">
      <c r="AM160" s="63" t="s">
        <v>1244</v>
      </c>
      <c r="AN160" s="63" t="s">
        <v>1245</v>
      </c>
      <c r="AO160" s="63" t="s">
        <v>1246</v>
      </c>
      <c r="AP160" s="63" t="s">
        <v>941</v>
      </c>
      <c r="AQ160" s="63">
        <v>3</v>
      </c>
      <c r="AR160" s="63"/>
      <c r="AS160" s="63"/>
      <c r="AT160" s="63"/>
      <c r="AV160" s="63"/>
      <c r="AW160" s="63"/>
      <c r="AX160" s="63">
        <f>--ISNUMBER(IFERROR(SEARCH(Tempset!$M$4,AM160,1),""))</f>
        <v>1</v>
      </c>
      <c r="AY160" s="63">
        <f>IF(AX160=1,COUNTIF($AX$3:AX160,1),"")</f>
        <v>158</v>
      </c>
      <c r="AZ160" s="63" t="str">
        <f>IFERROR(INDEX($AM$3:$AM$1165,MATCH(ROWS($AY$3:AY160),$AY$3:$AY$1165,0)),"")</f>
        <v>collateralMaturityDate</v>
      </c>
    </row>
    <row r="161" spans="39:52" x14ac:dyDescent="0.2">
      <c r="AM161" s="63" t="s">
        <v>1247</v>
      </c>
      <c r="AN161" s="63" t="s">
        <v>1248</v>
      </c>
      <c r="AO161" s="63" t="s">
        <v>943</v>
      </c>
      <c r="AP161" s="63" t="s">
        <v>450</v>
      </c>
      <c r="AQ161" s="63">
        <v>4</v>
      </c>
      <c r="AR161" s="63"/>
      <c r="AS161" s="63"/>
      <c r="AT161" s="63"/>
      <c r="AV161" s="63"/>
      <c r="AW161" s="63"/>
      <c r="AX161" s="63">
        <f>--ISNUMBER(IFERROR(SEARCH(Tempset!$M$4,AM161,1),""))</f>
        <v>1</v>
      </c>
      <c r="AY161" s="63">
        <f>IF(AX161=1,COUNTIF($AX$3:AX161,1),"")</f>
        <v>159</v>
      </c>
      <c r="AZ161" s="63" t="str">
        <f>IFERROR(INDEX($AM$3:$AM$1165,MATCH(ROWS($AY$3:AY161),$AY$3:$AY$1165,0)),"")</f>
        <v>collateralPostingEligibilityFlag</v>
      </c>
    </row>
    <row r="162" spans="39:52" x14ac:dyDescent="0.2">
      <c r="AM162" s="63" t="s">
        <v>1249</v>
      </c>
      <c r="AN162" s="63" t="s">
        <v>1250</v>
      </c>
      <c r="AO162" s="63" t="s">
        <v>1251</v>
      </c>
      <c r="AP162" s="63" t="s">
        <v>580</v>
      </c>
      <c r="AQ162" s="63">
        <v>1</v>
      </c>
      <c r="AR162" s="63"/>
      <c r="AS162" s="63"/>
      <c r="AT162" s="63"/>
      <c r="AV162" s="63"/>
      <c r="AW162" s="63"/>
      <c r="AX162" s="63">
        <f>--ISNUMBER(IFERROR(SEARCH(Tempset!$M$4,AM162,1),""))</f>
        <v>1</v>
      </c>
      <c r="AY162" s="63">
        <f>IF(AX162=1,COUNTIF($AX$3:AX162,1),"")</f>
        <v>160</v>
      </c>
      <c r="AZ162" s="63" t="str">
        <f>IFERROR(INDEX($AM$3:$AM$1165,MATCH(ROWS($AY$3:AY162),$AY$3:$AY$1165,0)),"")</f>
        <v>collateralPrice</v>
      </c>
    </row>
    <row r="163" spans="39:52" x14ac:dyDescent="0.2">
      <c r="AM163" s="63" t="s">
        <v>1252</v>
      </c>
      <c r="AN163" s="63" t="s">
        <v>1253</v>
      </c>
      <c r="AO163" s="63" t="s">
        <v>1254</v>
      </c>
      <c r="AP163" s="63" t="s">
        <v>569</v>
      </c>
      <c r="AQ163" s="63">
        <v>2</v>
      </c>
      <c r="AR163" s="63"/>
      <c r="AS163" s="63"/>
      <c r="AT163" s="63"/>
      <c r="AV163" s="63"/>
      <c r="AW163" s="63"/>
      <c r="AX163" s="63">
        <f>--ISNUMBER(IFERROR(SEARCH(Tempset!$M$4,AM163,1),""))</f>
        <v>1</v>
      </c>
      <c r="AY163" s="63">
        <f>IF(AX163=1,COUNTIF($AX$3:AX163,1),"")</f>
        <v>161</v>
      </c>
      <c r="AZ163" s="63" t="str">
        <f>IFERROR(INDEX($AM$3:$AM$1165,MATCH(ROWS($AY$3:AY163),$AY$3:$AY$1165,0)),"")</f>
        <v>collateralQuantity</v>
      </c>
    </row>
    <row r="164" spans="39:52" x14ac:dyDescent="0.2">
      <c r="AM164" s="63" t="s">
        <v>1255</v>
      </c>
      <c r="AN164" s="63" t="s">
        <v>1256</v>
      </c>
      <c r="AO164" s="63" t="s">
        <v>1257</v>
      </c>
      <c r="AP164" s="63" t="s">
        <v>569</v>
      </c>
      <c r="AQ164" s="63">
        <v>2</v>
      </c>
      <c r="AR164" s="63"/>
      <c r="AS164" s="63"/>
      <c r="AT164" s="63"/>
      <c r="AV164" s="63"/>
      <c r="AW164" s="63"/>
      <c r="AX164" s="63">
        <f>--ISNUMBER(IFERROR(SEARCH(Tempset!$M$4,AM164,1),""))</f>
        <v>1</v>
      </c>
      <c r="AY164" s="63">
        <f>IF(AX164=1,COUNTIF($AX$3:AX164,1),"")</f>
        <v>162</v>
      </c>
      <c r="AZ164" s="63" t="str">
        <f>IFERROR(INDEX($AM$3:$AM$1165,MATCH(ROWS($AY$3:AY164),$AY$3:$AY$1165,0)),"")</f>
        <v>collateralRecordIndicator</v>
      </c>
    </row>
    <row r="165" spans="39:52" x14ac:dyDescent="0.2">
      <c r="AM165" s="63" t="s">
        <v>1258</v>
      </c>
      <c r="AN165" s="63" t="s">
        <v>1259</v>
      </c>
      <c r="AO165" s="63" t="s">
        <v>1260</v>
      </c>
      <c r="AP165" s="63" t="s">
        <v>324</v>
      </c>
      <c r="AQ165" s="63">
        <v>4</v>
      </c>
      <c r="AR165" s="63"/>
      <c r="AS165" s="63"/>
      <c r="AT165" s="63"/>
      <c r="AV165" s="63"/>
      <c r="AW165" s="63"/>
      <c r="AX165" s="63">
        <f>--ISNUMBER(IFERROR(SEARCH(Tempset!$M$4,AM165,1),""))</f>
        <v>1</v>
      </c>
      <c r="AY165" s="63">
        <f>IF(AX165=1,COUNTIF($AX$3:AX165,1),"")</f>
        <v>163</v>
      </c>
      <c r="AZ165" s="63" t="str">
        <f>IFERROR(INDEX($AM$3:$AM$1165,MATCH(ROWS($AY$3:AY165),$AY$3:$AY$1165,0)),"")</f>
        <v>collateralSubType</v>
      </c>
    </row>
    <row r="166" spans="39:52" x14ac:dyDescent="0.2">
      <c r="AM166" s="63" t="s">
        <v>1261</v>
      </c>
      <c r="AN166" s="63" t="s">
        <v>1262</v>
      </c>
      <c r="AO166" s="63" t="s">
        <v>1263</v>
      </c>
      <c r="AP166" s="63" t="s">
        <v>450</v>
      </c>
      <c r="AQ166" s="63">
        <v>2</v>
      </c>
      <c r="AR166" s="63"/>
      <c r="AS166" s="63"/>
      <c r="AT166" s="63"/>
      <c r="AV166" s="63"/>
      <c r="AW166" s="63"/>
      <c r="AX166" s="63">
        <f>--ISNUMBER(IFERROR(SEARCH(Tempset!$M$4,AM166,1),""))</f>
        <v>1</v>
      </c>
      <c r="AY166" s="63">
        <f>IF(AX166=1,COUNTIF($AX$3:AX166,1),"")</f>
        <v>164</v>
      </c>
      <c r="AZ166" s="63" t="str">
        <f>IFERROR(INDEX($AM$3:$AM$1165,MATCH(ROWS($AY$3:AY166),$AY$3:$AY$1165,0)),"")</f>
        <v>collateralType</v>
      </c>
    </row>
    <row r="167" spans="39:52" x14ac:dyDescent="0.2">
      <c r="AM167" s="63" t="s">
        <v>1264</v>
      </c>
      <c r="AN167" s="63" t="s">
        <v>1265</v>
      </c>
      <c r="AO167" s="63" t="s">
        <v>1266</v>
      </c>
      <c r="AP167" s="63" t="s">
        <v>1036</v>
      </c>
      <c r="AQ167" s="63">
        <v>3</v>
      </c>
      <c r="AR167" s="63"/>
      <c r="AS167" s="63"/>
      <c r="AT167" s="63"/>
      <c r="AV167" s="63"/>
      <c r="AW167" s="63"/>
      <c r="AX167" s="63">
        <f>--ISNUMBER(IFERROR(SEARCH(Tempset!$M$4,AM167,1),""))</f>
        <v>1</v>
      </c>
      <c r="AY167" s="63">
        <f>IF(AX167=1,COUNTIF($AX$3:AX167,1),"")</f>
        <v>165</v>
      </c>
      <c r="AZ167" s="63" t="str">
        <f>IFERROR(INDEX($AM$3:$AM$1165,MATCH(ROWS($AY$3:AY167),$AY$3:$AY$1165,0)),"")</f>
        <v>collateralValue</v>
      </c>
    </row>
    <row r="168" spans="39:52" x14ac:dyDescent="0.2">
      <c r="AM168" s="63" t="s">
        <v>1267</v>
      </c>
      <c r="AN168" s="63" t="s">
        <v>1268</v>
      </c>
      <c r="AO168" s="63" t="s">
        <v>1269</v>
      </c>
      <c r="AP168" s="63" t="s">
        <v>866</v>
      </c>
      <c r="AQ168" s="63">
        <v>4</v>
      </c>
      <c r="AR168" s="63"/>
      <c r="AS168" s="63"/>
      <c r="AT168" s="63"/>
      <c r="AV168" s="63"/>
      <c r="AW168" s="63"/>
      <c r="AX168" s="63">
        <f>--ISNUMBER(IFERROR(SEARCH(Tempset!$M$4,AM168,1),""))</f>
        <v>1</v>
      </c>
      <c r="AY168" s="63">
        <f>IF(AX168=1,COUNTIF($AX$3:AX168,1),"")</f>
        <v>166</v>
      </c>
      <c r="AZ168" s="63" t="str">
        <f>IFERROR(INDEX($AM$3:$AM$1165,MATCH(ROWS($AY$3:AY168),$AY$3:$AY$1165,0)),"")</f>
        <v>commercialLoanERCvalue</v>
      </c>
    </row>
    <row r="169" spans="39:52" x14ac:dyDescent="0.2">
      <c r="AM169" s="63" t="s">
        <v>1270</v>
      </c>
      <c r="AN169" s="63" t="s">
        <v>1271</v>
      </c>
      <c r="AO169" s="63" t="s">
        <v>1272</v>
      </c>
      <c r="AP169" s="63" t="s">
        <v>422</v>
      </c>
      <c r="AQ169" s="63">
        <v>2</v>
      </c>
      <c r="AR169" s="63"/>
      <c r="AS169" s="63"/>
      <c r="AT169" s="63"/>
      <c r="AV169" s="63"/>
      <c r="AW169" s="63"/>
      <c r="AX169" s="63">
        <f>--ISNUMBER(IFERROR(SEARCH(Tempset!$M$4,AM169,1),""))</f>
        <v>1</v>
      </c>
      <c r="AY169" s="63">
        <f>IF(AX169=1,COUNTIF($AX$3:AX169,1),"")</f>
        <v>167</v>
      </c>
      <c r="AZ169" s="63" t="str">
        <f>IFERROR(INDEX($AM$3:$AM$1165,MATCH(ROWS($AY$3:AY169),$AY$3:$AY$1165,0)),"")</f>
        <v>commissionExpenseSavingsValue</v>
      </c>
    </row>
    <row r="170" spans="39:52" x14ac:dyDescent="0.2">
      <c r="AM170" s="63" t="s">
        <v>1273</v>
      </c>
      <c r="AN170" s="63" t="s">
        <v>1274</v>
      </c>
      <c r="AO170" s="63" t="s">
        <v>1275</v>
      </c>
      <c r="AP170" s="63" t="s">
        <v>422</v>
      </c>
      <c r="AQ170" s="63">
        <v>2</v>
      </c>
      <c r="AR170" s="63"/>
      <c r="AS170" s="63"/>
      <c r="AT170" s="63"/>
      <c r="AV170" s="63"/>
      <c r="AW170" s="63"/>
      <c r="AX170" s="63">
        <f>--ISNUMBER(IFERROR(SEARCH(Tempset!$M$4,AM170,1),""))</f>
        <v>1</v>
      </c>
      <c r="AY170" s="63">
        <f>IF(AX170=1,COUNTIF($AX$3:AX170,1),"")</f>
        <v>168</v>
      </c>
      <c r="AZ170" s="63" t="str">
        <f>IFERROR(INDEX($AM$3:$AM$1165,MATCH(ROWS($AY$3:AY170),$AY$3:$AY$1165,0)),"")</f>
        <v>commitmentType</v>
      </c>
    </row>
    <row r="171" spans="39:52" x14ac:dyDescent="0.2">
      <c r="AM171" s="63" t="s">
        <v>1276</v>
      </c>
      <c r="AN171" s="63" t="s">
        <v>1277</v>
      </c>
      <c r="AO171" s="63" t="s">
        <v>1278</v>
      </c>
      <c r="AP171" s="63" t="s">
        <v>272</v>
      </c>
      <c r="AQ171" s="63">
        <v>1</v>
      </c>
      <c r="AR171" s="63"/>
      <c r="AS171" s="63"/>
      <c r="AT171" s="63"/>
      <c r="AV171" s="63"/>
      <c r="AW171" s="63"/>
      <c r="AX171" s="63">
        <f>--ISNUMBER(IFERROR(SEARCH(Tempset!$M$4,AM171,1),""))</f>
        <v>1</v>
      </c>
      <c r="AY171" s="63">
        <f>IF(AX171=1,COUNTIF($AX$3:AX171,1),"")</f>
        <v>169</v>
      </c>
      <c r="AZ171" s="63" t="str">
        <f>IFERROR(INDEX($AM$3:$AM$1165,MATCH(ROWS($AY$3:AY171),$AY$3:$AY$1165,0)),"")</f>
        <v>committedOrUncommittedFacility</v>
      </c>
    </row>
    <row r="172" spans="39:52" x14ac:dyDescent="0.2">
      <c r="AM172" s="63" t="s">
        <v>1279</v>
      </c>
      <c r="AN172" s="63" t="s">
        <v>1280</v>
      </c>
      <c r="AO172" s="63" t="s">
        <v>1281</v>
      </c>
      <c r="AP172" s="63" t="s">
        <v>1036</v>
      </c>
      <c r="AQ172" s="63">
        <v>3</v>
      </c>
      <c r="AR172" s="63"/>
      <c r="AS172" s="63"/>
      <c r="AT172" s="63"/>
      <c r="AV172" s="63"/>
      <c r="AW172" s="63"/>
      <c r="AX172" s="63">
        <f>--ISNUMBER(IFERROR(SEARCH(Tempset!$M$4,AM172,1),""))</f>
        <v>1</v>
      </c>
      <c r="AY172" s="63">
        <f>IF(AX172=1,COUNTIF($AX$3:AX172,1),"")</f>
        <v>170</v>
      </c>
      <c r="AZ172" s="63" t="str">
        <f>IFERROR(INDEX($AM$3:$AM$1165,MATCH(ROWS($AY$3:AY172),$AY$3:$AY$1165,0)),"")</f>
        <v>CommodityClass</v>
      </c>
    </row>
    <row r="173" spans="39:52" x14ac:dyDescent="0.2">
      <c r="AM173" s="63" t="s">
        <v>1282</v>
      </c>
      <c r="AN173" s="63" t="s">
        <v>1283</v>
      </c>
      <c r="AO173" s="63" t="s">
        <v>1284</v>
      </c>
      <c r="AP173" s="63" t="s">
        <v>558</v>
      </c>
      <c r="AQ173" s="63">
        <v>1</v>
      </c>
      <c r="AR173" s="63"/>
      <c r="AS173" s="63"/>
      <c r="AT173" s="63"/>
      <c r="AV173" s="63"/>
      <c r="AW173" s="63"/>
      <c r="AX173" s="63">
        <f>--ISNUMBER(IFERROR(SEARCH(Tempset!$M$4,AM173,1),""))</f>
        <v>1</v>
      </c>
      <c r="AY173" s="63">
        <f>IF(AX173=1,COUNTIF($AX$3:AX173,1),"")</f>
        <v>171</v>
      </c>
      <c r="AZ173" s="63" t="str">
        <f>IFERROR(INDEX($AM$3:$AM$1165,MATCH(ROWS($AY$3:AY173),$AY$3:$AY$1165,0)),"")</f>
        <v>commodityCurveId</v>
      </c>
    </row>
    <row r="174" spans="39:52" x14ac:dyDescent="0.2">
      <c r="AM174" s="63" t="s">
        <v>1285</v>
      </c>
      <c r="AN174" s="63" t="s">
        <v>1286</v>
      </c>
      <c r="AO174" s="63" t="s">
        <v>1287</v>
      </c>
      <c r="AP174" s="63" t="s">
        <v>941</v>
      </c>
      <c r="AQ174" s="63">
        <v>2</v>
      </c>
      <c r="AR174" s="63"/>
      <c r="AS174" s="63"/>
      <c r="AT174" s="63"/>
      <c r="AV174" s="63"/>
      <c r="AW174" s="63"/>
      <c r="AX174" s="63">
        <f>--ISNUMBER(IFERROR(SEARCH(Tempset!$M$4,AM174,1),""))</f>
        <v>1</v>
      </c>
      <c r="AY174" s="63">
        <f>IF(AX174=1,COUNTIF($AX$3:AX174,1),"")</f>
        <v>172</v>
      </c>
      <c r="AZ174" s="63" t="str">
        <f>IFERROR(INDEX($AM$3:$AM$1165,MATCH(ROWS($AY$3:AY174),$AY$3:$AY$1165,0)),"")</f>
        <v>commodityId</v>
      </c>
    </row>
    <row r="175" spans="39:52" x14ac:dyDescent="0.2">
      <c r="AM175" s="63" t="s">
        <v>1288</v>
      </c>
      <c r="AN175" s="63" t="s">
        <v>1289</v>
      </c>
      <c r="AO175" s="63" t="s">
        <v>1290</v>
      </c>
      <c r="AP175" s="63" t="s">
        <v>407</v>
      </c>
      <c r="AQ175" s="63">
        <v>2</v>
      </c>
      <c r="AR175" s="63"/>
      <c r="AS175" s="63"/>
      <c r="AT175" s="63"/>
      <c r="AV175" s="63"/>
      <c r="AW175" s="63"/>
      <c r="AX175" s="63">
        <f>--ISNUMBER(IFERROR(SEARCH(Tempset!$M$4,AM175,1),""))</f>
        <v>1</v>
      </c>
      <c r="AY175" s="63">
        <f>IF(AX175=1,COUNTIF($AX$3:AX175,1),"")</f>
        <v>173</v>
      </c>
      <c r="AZ175" s="63" t="str">
        <f>IFERROR(INDEX($AM$3:$AM$1165,MATCH(ROWS($AY$3:AY175),$AY$3:$AY$1165,0)),"")</f>
        <v>commoditySubClass</v>
      </c>
    </row>
    <row r="176" spans="39:52" x14ac:dyDescent="0.2">
      <c r="AM176" s="63" t="s">
        <v>1291</v>
      </c>
      <c r="AN176" s="63" t="s">
        <v>1292</v>
      </c>
      <c r="AO176" s="63" t="s">
        <v>1293</v>
      </c>
      <c r="AP176" s="63" t="s">
        <v>407</v>
      </c>
      <c r="AQ176" s="63">
        <v>2</v>
      </c>
      <c r="AR176" s="63"/>
      <c r="AS176" s="63"/>
      <c r="AT176" s="63"/>
      <c r="AV176" s="63"/>
      <c r="AW176" s="63"/>
      <c r="AX176" s="63">
        <f>--ISNUMBER(IFERROR(SEARCH(Tempset!$M$4,AM176,1),""))</f>
        <v>1</v>
      </c>
      <c r="AY176" s="63">
        <f>IF(AX176=1,COUNTIF($AX$3:AX176,1),"")</f>
        <v>174</v>
      </c>
      <c r="AZ176" s="63" t="str">
        <f>IFERROR(INDEX($AM$3:$AM$1165,MATCH(ROWS($AY$3:AY176),$AY$3:$AY$1165,0)),"")</f>
        <v>componentId</v>
      </c>
    </row>
    <row r="177" spans="39:52" x14ac:dyDescent="0.2">
      <c r="AM177" s="63" t="s">
        <v>1294</v>
      </c>
      <c r="AN177" s="63" t="s">
        <v>1295</v>
      </c>
      <c r="AO177" s="63" t="s">
        <v>1296</v>
      </c>
      <c r="AP177" s="63" t="s">
        <v>668</v>
      </c>
      <c r="AQ177" s="63">
        <v>2</v>
      </c>
      <c r="AR177" s="63"/>
      <c r="AS177" s="63"/>
      <c r="AT177" s="63"/>
      <c r="AV177" s="63"/>
      <c r="AW177" s="63"/>
      <c r="AX177" s="63">
        <f>--ISNUMBER(IFERROR(SEARCH(Tempset!$M$4,AM177,1),""))</f>
        <v>1</v>
      </c>
      <c r="AY177" s="63">
        <f>IF(AX177=1,COUNTIF($AX$3:AX177,1),"")</f>
        <v>175</v>
      </c>
      <c r="AZ177" s="63" t="str">
        <f>IFERROR(INDEX($AM$3:$AM$1165,MATCH(ROWS($AY$3:AY177),$AY$3:$AY$1165,0)),"")</f>
        <v>conditionalIndicator</v>
      </c>
    </row>
    <row r="178" spans="39:52" x14ac:dyDescent="0.2">
      <c r="AM178" s="63" t="s">
        <v>1297</v>
      </c>
      <c r="AN178" s="63" t="s">
        <v>1298</v>
      </c>
      <c r="AO178" s="63" t="s">
        <v>1299</v>
      </c>
      <c r="AP178" s="63" t="s">
        <v>324</v>
      </c>
      <c r="AQ178" s="63">
        <v>2</v>
      </c>
      <c r="AR178" s="63"/>
      <c r="AS178" s="63"/>
      <c r="AT178" s="63"/>
      <c r="AV178" s="63"/>
      <c r="AW178" s="63"/>
      <c r="AX178" s="63">
        <f>--ISNUMBER(IFERROR(SEARCH(Tempset!$M$4,AM178,1),""))</f>
        <v>1</v>
      </c>
      <c r="AY178" s="63">
        <f>IF(AX178=1,COUNTIF($AX$3:AX178,1),"")</f>
        <v>176</v>
      </c>
      <c r="AZ178" s="63" t="str">
        <f>IFERROR(INDEX($AM$3:$AM$1165,MATCH(ROWS($AY$3:AY178),$AY$3:$AY$1165,0)),"")</f>
        <v>confidenceLevel</v>
      </c>
    </row>
    <row r="179" spans="39:52" x14ac:dyDescent="0.2">
      <c r="AM179" s="63" t="s">
        <v>1300</v>
      </c>
      <c r="AN179" s="63" t="s">
        <v>1301</v>
      </c>
      <c r="AO179" s="63" t="s">
        <v>907</v>
      </c>
      <c r="AP179" s="63" t="s">
        <v>538</v>
      </c>
      <c r="AQ179" s="63">
        <v>3</v>
      </c>
      <c r="AR179" s="63"/>
      <c r="AS179" s="63"/>
      <c r="AT179" s="63"/>
      <c r="AV179" s="63"/>
      <c r="AW179" s="63"/>
      <c r="AX179" s="63">
        <f>--ISNUMBER(IFERROR(SEARCH(Tempset!$M$4,AM179,1),""))</f>
        <v>1</v>
      </c>
      <c r="AY179" s="63">
        <f>IF(AX179=1,COUNTIF($AX$3:AX179,1),"")</f>
        <v>177</v>
      </c>
      <c r="AZ179" s="63" t="str">
        <f>IFERROR(INDEX($AM$3:$AM$1165,MATCH(ROWS($AY$3:AY179),$AY$3:$AY$1165,0)),"")</f>
        <v>constituentWeight</v>
      </c>
    </row>
    <row r="180" spans="39:52" x14ac:dyDescent="0.2">
      <c r="AM180" s="63" t="s">
        <v>1302</v>
      </c>
      <c r="AN180" s="63" t="s">
        <v>1303</v>
      </c>
      <c r="AO180" s="63" t="s">
        <v>1304</v>
      </c>
      <c r="AP180" s="63" t="s">
        <v>291</v>
      </c>
      <c r="AQ180" s="63">
        <v>4</v>
      </c>
      <c r="AR180" s="63"/>
      <c r="AS180" s="63"/>
      <c r="AT180" s="63"/>
      <c r="AV180" s="63"/>
      <c r="AW180" s="63"/>
      <c r="AX180" s="63">
        <f>--ISNUMBER(IFERROR(SEARCH(Tempset!$M$4,AM180,1),""))</f>
        <v>1</v>
      </c>
      <c r="AY180" s="63">
        <f>IF(AX180=1,COUNTIF($AX$3:AX180,1),"")</f>
        <v>178</v>
      </c>
      <c r="AZ180" s="63" t="str">
        <f>IFERROR(INDEX($AM$3:$AM$1165,MATCH(ROWS($AY$3:AY180),$AY$3:$AY$1165,0)),"")</f>
        <v>contingentDealDropDeadDate</v>
      </c>
    </row>
    <row r="181" spans="39:52" x14ac:dyDescent="0.2">
      <c r="AM181" s="63" t="s">
        <v>1305</v>
      </c>
      <c r="AN181" s="63" t="s">
        <v>1306</v>
      </c>
      <c r="AO181" s="63" t="s">
        <v>1307</v>
      </c>
      <c r="AP181" s="63" t="s">
        <v>370</v>
      </c>
      <c r="AQ181" s="63">
        <v>3</v>
      </c>
      <c r="AR181" s="63"/>
      <c r="AS181" s="63"/>
      <c r="AT181" s="63"/>
      <c r="AV181" s="63"/>
      <c r="AW181" s="63"/>
      <c r="AX181" s="63">
        <f>--ISNUMBER(IFERROR(SEARCH(Tempset!$M$4,AM181,1),""))</f>
        <v>1</v>
      </c>
      <c r="AY181" s="63">
        <f>IF(AX181=1,COUNTIF($AX$3:AX181,1),"")</f>
        <v>179</v>
      </c>
      <c r="AZ181" s="63" t="str">
        <f>IFERROR(INDEX($AM$3:$AM$1165,MATCH(ROWS($AY$3:AY181),$AY$3:$AY$1165,0)),"")</f>
        <v>contingentDealHedgeId</v>
      </c>
    </row>
    <row r="182" spans="39:52" x14ac:dyDescent="0.2">
      <c r="AM182" s="63" t="s">
        <v>1308</v>
      </c>
      <c r="AN182" s="63" t="s">
        <v>1309</v>
      </c>
      <c r="AO182" s="63" t="s">
        <v>548</v>
      </c>
      <c r="AP182" s="63" t="s">
        <v>422</v>
      </c>
      <c r="AQ182" s="63">
        <v>3</v>
      </c>
      <c r="AR182" s="63"/>
      <c r="AS182" s="63"/>
      <c r="AT182" s="63"/>
      <c r="AV182" s="63"/>
      <c r="AW182" s="63"/>
      <c r="AX182" s="63">
        <f>--ISNUMBER(IFERROR(SEARCH(Tempset!$M$4,AM182,1),""))</f>
        <v>1</v>
      </c>
      <c r="AY182" s="63">
        <f>IF(AX182=1,COUNTIF($AX$3:AX182,1),"")</f>
        <v>180</v>
      </c>
      <c r="AZ182" s="63" t="str">
        <f>IFERROR(INDEX($AM$3:$AM$1165,MATCH(ROWS($AY$3:AY182),$AY$3:$AY$1165,0)),"")</f>
        <v>contingentDealHedgeIndicator</v>
      </c>
    </row>
    <row r="183" spans="39:52" x14ac:dyDescent="0.2">
      <c r="AM183" s="63" t="s">
        <v>1310</v>
      </c>
      <c r="AN183" s="63" t="s">
        <v>1311</v>
      </c>
      <c r="AO183" s="63" t="s">
        <v>1312</v>
      </c>
      <c r="AP183" s="63" t="s">
        <v>760</v>
      </c>
      <c r="AQ183" s="63">
        <v>3</v>
      </c>
      <c r="AR183" s="63"/>
      <c r="AS183" s="63"/>
      <c r="AT183" s="63"/>
      <c r="AV183" s="63"/>
      <c r="AW183" s="63"/>
      <c r="AX183" s="63">
        <f>--ISNUMBER(IFERROR(SEARCH(Tempset!$M$4,AM183,1),""))</f>
        <v>1</v>
      </c>
      <c r="AY183" s="63">
        <f>IF(AX183=1,COUNTIF($AX$3:AX183,1),"")</f>
        <v>181</v>
      </c>
      <c r="AZ183" s="63" t="str">
        <f>IFERROR(INDEX($AM$3:$AM$1165,MATCH(ROWS($AY$3:AY183),$AY$3:$AY$1165,0)),"")</f>
        <v>contingentDealId</v>
      </c>
    </row>
    <row r="184" spans="39:52" x14ac:dyDescent="0.2">
      <c r="AM184" s="63" t="s">
        <v>1313</v>
      </c>
      <c r="AN184" s="63" t="s">
        <v>1314</v>
      </c>
      <c r="AO184" s="63" t="s">
        <v>1315</v>
      </c>
      <c r="AP184" s="63" t="s">
        <v>538</v>
      </c>
      <c r="AQ184" s="63">
        <v>2</v>
      </c>
      <c r="AR184" s="63"/>
      <c r="AS184" s="63"/>
      <c r="AT184" s="63"/>
      <c r="AV184" s="63"/>
      <c r="AW184" s="63"/>
      <c r="AX184" s="63">
        <f>--ISNUMBER(IFERROR(SEARCH(Tempset!$M$4,AM184,1),""))</f>
        <v>1</v>
      </c>
      <c r="AY184" s="63">
        <f>IF(AX184=1,COUNTIF($AX$3:AX184,1),"")</f>
        <v>182</v>
      </c>
      <c r="AZ184" s="63" t="str">
        <f>IFERROR(INDEX($AM$3:$AM$1165,MATCH(ROWS($AY$3:AY184),$AY$3:$AY$1165,0)),"")</f>
        <v>contingentDealStartDate</v>
      </c>
    </row>
    <row r="185" spans="39:52" x14ac:dyDescent="0.2">
      <c r="AM185" s="63" t="s">
        <v>1316</v>
      </c>
      <c r="AN185" s="63" t="s">
        <v>1317</v>
      </c>
      <c r="AO185" s="63" t="s">
        <v>1318</v>
      </c>
      <c r="AP185" s="63" t="s">
        <v>692</v>
      </c>
      <c r="AQ185" s="63">
        <v>3</v>
      </c>
      <c r="AR185" s="63"/>
      <c r="AS185" s="63"/>
      <c r="AT185" s="63"/>
      <c r="AV185" s="63"/>
      <c r="AW185" s="63"/>
      <c r="AX185" s="63">
        <f>--ISNUMBER(IFERROR(SEARCH(Tempset!$M$4,AM185,1),""))</f>
        <v>1</v>
      </c>
      <c r="AY185" s="63">
        <f>IF(AX185=1,COUNTIF($AX$3:AX185,1),"")</f>
        <v>183</v>
      </c>
      <c r="AZ185" s="63" t="str">
        <f>IFERROR(INDEX($AM$3:$AM$1165,MATCH(ROWS($AY$3:AY185),$AY$3:$AY$1165,0)),"")</f>
        <v>contractAmt</v>
      </c>
    </row>
    <row r="186" spans="39:52" x14ac:dyDescent="0.2">
      <c r="AM186" s="63" t="s">
        <v>1319</v>
      </c>
      <c r="AN186" s="63" t="s">
        <v>1320</v>
      </c>
      <c r="AO186" s="63" t="s">
        <v>1321</v>
      </c>
      <c r="AP186" s="63" t="s">
        <v>538</v>
      </c>
      <c r="AQ186" s="63">
        <v>3</v>
      </c>
      <c r="AR186" s="63"/>
      <c r="AS186" s="63"/>
      <c r="AT186" s="63"/>
      <c r="AV186" s="63"/>
      <c r="AW186" s="63"/>
      <c r="AX186" s="63">
        <f>--ISNUMBER(IFERROR(SEARCH(Tempset!$M$4,AM186,1),""))</f>
        <v>1</v>
      </c>
      <c r="AY186" s="63">
        <f>IF(AX186=1,COUNTIF($AX$3:AX186,1),"")</f>
        <v>184</v>
      </c>
      <c r="AZ186" s="63" t="str">
        <f>IFERROR(INDEX($AM$3:$AM$1165,MATCH(ROWS($AY$3:AY186),$AY$3:$AY$1165,0)),"")</f>
        <v>contractEndDate</v>
      </c>
    </row>
    <row r="187" spans="39:52" x14ac:dyDescent="0.2">
      <c r="AM187" s="63" t="s">
        <v>1322</v>
      </c>
      <c r="AN187" s="63" t="s">
        <v>1323</v>
      </c>
      <c r="AO187" s="63" t="s">
        <v>326</v>
      </c>
      <c r="AP187" s="63" t="s">
        <v>538</v>
      </c>
      <c r="AQ187" s="63">
        <v>2</v>
      </c>
      <c r="AR187" s="63"/>
      <c r="AS187" s="63"/>
      <c r="AT187" s="63"/>
      <c r="AV187" s="63"/>
      <c r="AW187" s="63"/>
      <c r="AX187" s="63">
        <f>--ISNUMBER(IFERROR(SEARCH(Tempset!$M$4,AM187,1),""))</f>
        <v>1</v>
      </c>
      <c r="AY187" s="63">
        <f>IF(AX187=1,COUNTIF($AX$3:AX187,1),"")</f>
        <v>185</v>
      </c>
      <c r="AZ187" s="63" t="str">
        <f>IFERROR(INDEX($AM$3:$AM$1165,MATCH(ROWS($AY$3:AY187),$AY$3:$AY$1165,0)),"")</f>
        <v>contractId</v>
      </c>
    </row>
    <row r="188" spans="39:52" x14ac:dyDescent="0.2">
      <c r="AM188" s="63" t="s">
        <v>1324</v>
      </c>
      <c r="AN188" s="63" t="s">
        <v>1325</v>
      </c>
      <c r="AO188" s="63" t="s">
        <v>1326</v>
      </c>
      <c r="AP188" s="63" t="s">
        <v>692</v>
      </c>
      <c r="AQ188" s="63">
        <v>2</v>
      </c>
      <c r="AR188" s="63"/>
      <c r="AS188" s="63"/>
      <c r="AT188" s="63"/>
      <c r="AV188" s="63"/>
      <c r="AW188" s="63"/>
      <c r="AX188" s="63">
        <f>--ISNUMBER(IFERROR(SEARCH(Tempset!$M$4,AM188,1),""))</f>
        <v>1</v>
      </c>
      <c r="AY188" s="63">
        <f>IF(AX188=1,COUNTIF($AX$3:AX188,1),"")</f>
        <v>186</v>
      </c>
      <c r="AZ188" s="63" t="str">
        <f>IFERROR(INDEX($AM$3:$AM$1165,MATCH(ROWS($AY$3:AY188),$AY$3:$AY$1165,0)),"")</f>
        <v>contractLimitAmount</v>
      </c>
    </row>
    <row r="189" spans="39:52" x14ac:dyDescent="0.2">
      <c r="AM189" s="63" t="s">
        <v>1327</v>
      </c>
      <c r="AN189" s="63" t="s">
        <v>1328</v>
      </c>
      <c r="AO189" s="63" t="s">
        <v>1329</v>
      </c>
      <c r="AP189" s="63" t="s">
        <v>370</v>
      </c>
      <c r="AQ189" s="63">
        <v>2</v>
      </c>
      <c r="AR189" s="63"/>
      <c r="AS189" s="63"/>
      <c r="AT189" s="63"/>
      <c r="AV189" s="63"/>
      <c r="AW189" s="63"/>
      <c r="AX189" s="63">
        <f>--ISNUMBER(IFERROR(SEARCH(Tempset!$M$4,AM189,1),""))</f>
        <v>1</v>
      </c>
      <c r="AY189" s="63">
        <f>IF(AX189=1,COUNTIF($AX$3:AX189,1),"")</f>
        <v>187</v>
      </c>
      <c r="AZ189" s="63" t="str">
        <f>IFERROR(INDEX($AM$3:$AM$1165,MATCH(ROWS($AY$3:AY189),$AY$3:$AY$1165,0)),"")</f>
        <v>contractSize</v>
      </c>
    </row>
    <row r="190" spans="39:52" x14ac:dyDescent="0.2">
      <c r="AM190" s="63" t="s">
        <v>1330</v>
      </c>
      <c r="AN190" s="63" t="s">
        <v>1331</v>
      </c>
      <c r="AO190" s="63" t="s">
        <v>1332</v>
      </c>
      <c r="AP190" s="63" t="s">
        <v>569</v>
      </c>
      <c r="AQ190" s="63">
        <v>2</v>
      </c>
      <c r="AR190" s="63"/>
      <c r="AS190" s="63"/>
      <c r="AT190" s="63"/>
      <c r="AV190" s="63"/>
      <c r="AW190" s="63"/>
      <c r="AX190" s="63">
        <f>--ISNUMBER(IFERROR(SEARCH(Tempset!$M$4,AM190,1),""))</f>
        <v>1</v>
      </c>
      <c r="AY190" s="63">
        <f>IF(AX190=1,COUNTIF($AX$3:AX190,1),"")</f>
        <v>188</v>
      </c>
      <c r="AZ190" s="63" t="str">
        <f>IFERROR(INDEX($AM$3:$AM$1165,MATCH(ROWS($AY$3:AY190),$AY$3:$AY$1165,0)),"")</f>
        <v>contractStartDate</v>
      </c>
    </row>
    <row r="191" spans="39:52" x14ac:dyDescent="0.2">
      <c r="AM191" s="63" t="s">
        <v>1333</v>
      </c>
      <c r="AN191" s="63" t="s">
        <v>1334</v>
      </c>
      <c r="AO191" s="63" t="s">
        <v>1335</v>
      </c>
      <c r="AP191" s="63" t="s">
        <v>370</v>
      </c>
      <c r="AQ191" s="63">
        <v>3</v>
      </c>
      <c r="AR191" s="63"/>
      <c r="AS191" s="63"/>
      <c r="AT191" s="63"/>
      <c r="AV191" s="63"/>
      <c r="AW191" s="63"/>
      <c r="AX191" s="63">
        <f>--ISNUMBER(IFERROR(SEARCH(Tempset!$M$4,AM191,1),""))</f>
        <v>1</v>
      </c>
      <c r="AY191" s="63">
        <f>IF(AX191=1,COUNTIF($AX$3:AX191,1),"")</f>
        <v>189</v>
      </c>
      <c r="AZ191" s="63" t="str">
        <f>IFERROR(INDEX($AM$3:$AM$1165,MATCH(ROWS($AY$3:AY191),$AY$3:$AY$1165,0)),"")</f>
        <v>contractualRecoveryRate</v>
      </c>
    </row>
    <row r="192" spans="39:52" x14ac:dyDescent="0.2">
      <c r="AM192" s="63" t="s">
        <v>1336</v>
      </c>
      <c r="AN192" s="63" t="s">
        <v>1337</v>
      </c>
      <c r="AO192" s="63" t="s">
        <v>1338</v>
      </c>
      <c r="AP192" s="63" t="s">
        <v>370</v>
      </c>
      <c r="AQ192" s="63">
        <v>3</v>
      </c>
      <c r="AR192" s="63"/>
      <c r="AS192" s="63"/>
      <c r="AT192" s="63"/>
      <c r="AV192" s="63"/>
      <c r="AW192" s="63"/>
      <c r="AX192" s="63">
        <f>--ISNUMBER(IFERROR(SEARCH(Tempset!$M$4,AM192,1),""))</f>
        <v>1</v>
      </c>
      <c r="AY192" s="63">
        <f>IF(AX192=1,COUNTIF($AX$3:AX192,1),"")</f>
        <v>190</v>
      </c>
      <c r="AZ192" s="63" t="str">
        <f>IFERROR(INDEX($AM$3:$AM$1165,MATCH(ROWS($AY$3:AY192),$AY$3:$AY$1165,0)),"")</f>
        <v>conversionRatio</v>
      </c>
    </row>
    <row r="193" spans="39:52" x14ac:dyDescent="0.2">
      <c r="AM193" s="63" t="s">
        <v>1339</v>
      </c>
      <c r="AN193" s="63" t="s">
        <v>1340</v>
      </c>
      <c r="AO193" s="63" t="s">
        <v>1341</v>
      </c>
      <c r="AP193" s="63" t="s">
        <v>370</v>
      </c>
      <c r="AQ193" s="63">
        <v>2</v>
      </c>
      <c r="AR193" s="63"/>
      <c r="AS193" s="63"/>
      <c r="AT193" s="63"/>
      <c r="AV193" s="63"/>
      <c r="AW193" s="63"/>
      <c r="AX193" s="63">
        <f>--ISNUMBER(IFERROR(SEARCH(Tempset!$M$4,AM193,1),""))</f>
        <v>1</v>
      </c>
      <c r="AY193" s="63">
        <f>IF(AX193=1,COUNTIF($AX$3:AX193,1),"")</f>
        <v>191</v>
      </c>
      <c r="AZ193" s="63" t="str">
        <f>IFERROR(INDEX($AM$3:$AM$1165,MATCH(ROWS($AY$3:AY193),$AY$3:$AY$1165,0)),"")</f>
        <v>corporateRetailCode</v>
      </c>
    </row>
    <row r="194" spans="39:52" x14ac:dyDescent="0.2">
      <c r="AM194" s="63" t="s">
        <v>1342</v>
      </c>
      <c r="AN194" s="63" t="s">
        <v>1343</v>
      </c>
      <c r="AO194" s="63" t="s">
        <v>1344</v>
      </c>
      <c r="AP194" s="63" t="s">
        <v>580</v>
      </c>
      <c r="AQ194" s="63">
        <v>2</v>
      </c>
      <c r="AR194" s="63"/>
      <c r="AS194" s="63"/>
      <c r="AT194" s="63"/>
      <c r="AV194" s="63"/>
      <c r="AW194" s="63"/>
      <c r="AX194" s="63">
        <f>--ISNUMBER(IFERROR(SEARCH(Tempset!$M$4,AM194,1),""))</f>
        <v>1</v>
      </c>
      <c r="AY194" s="63">
        <f>IF(AX194=1,COUNTIF($AX$3:AX194,1),"")</f>
        <v>192</v>
      </c>
      <c r="AZ194" s="63" t="str">
        <f>IFERROR(INDEX($AM$3:$AM$1165,MATCH(ROWS($AY$3:AY194),$AY$3:$AY$1165,0)),"")</f>
        <v>correlationCoefficient</v>
      </c>
    </row>
    <row r="195" spans="39:52" x14ac:dyDescent="0.2">
      <c r="AM195" s="63" t="s">
        <v>1345</v>
      </c>
      <c r="AN195" s="63" t="s">
        <v>1346</v>
      </c>
      <c r="AO195" s="63" t="s">
        <v>1347</v>
      </c>
      <c r="AP195" s="63" t="s">
        <v>370</v>
      </c>
      <c r="AQ195" s="63">
        <v>3</v>
      </c>
      <c r="AR195" s="63"/>
      <c r="AS195" s="63"/>
      <c r="AT195" s="63"/>
      <c r="AV195" s="63"/>
      <c r="AW195" s="63"/>
      <c r="AX195" s="63">
        <f>--ISNUMBER(IFERROR(SEARCH(Tempset!$M$4,AM195,1),""))</f>
        <v>1</v>
      </c>
      <c r="AY195" s="63">
        <f>IF(AX195=1,COUNTIF($AX$3:AX195,1),"")</f>
        <v>193</v>
      </c>
      <c r="AZ195" s="63" t="str">
        <f>IFERROR(INDEX($AM$3:$AM$1165,MATCH(ROWS($AY$3:AY195),$AY$3:$AY$1165,0)),"")</f>
        <v>correlationTradingIndicator</v>
      </c>
    </row>
    <row r="196" spans="39:52" x14ac:dyDescent="0.2">
      <c r="AM196" s="63" t="s">
        <v>1348</v>
      </c>
      <c r="AN196" s="63" t="s">
        <v>1349</v>
      </c>
      <c r="AO196" s="63" t="s">
        <v>1350</v>
      </c>
      <c r="AP196" s="63" t="s">
        <v>324</v>
      </c>
      <c r="AQ196" s="63">
        <v>3</v>
      </c>
      <c r="AR196" s="63"/>
      <c r="AS196" s="63"/>
      <c r="AT196" s="63"/>
      <c r="AV196" s="63"/>
      <c r="AW196" s="63"/>
      <c r="AX196" s="63">
        <f>--ISNUMBER(IFERROR(SEARCH(Tempset!$M$4,AM196,1),""))</f>
        <v>1</v>
      </c>
      <c r="AY196" s="63">
        <f>IF(AX196=1,COUNTIF($AX$3:AX196,1),"")</f>
        <v>194</v>
      </c>
      <c r="AZ196" s="63" t="str">
        <f>IFERROR(INDEX($AM$3:$AM$1165,MATCH(ROWS($AY$3:AY196),$AY$3:$AY$1165,0)),"")</f>
        <v>correlationVariable</v>
      </c>
    </row>
    <row r="197" spans="39:52" x14ac:dyDescent="0.2">
      <c r="AM197" s="63" t="s">
        <v>1351</v>
      </c>
      <c r="AN197" s="63" t="s">
        <v>1352</v>
      </c>
      <c r="AO197" s="63" t="s">
        <v>1353</v>
      </c>
      <c r="AP197" s="63" t="s">
        <v>291</v>
      </c>
      <c r="AQ197" s="63">
        <v>3</v>
      </c>
      <c r="AR197" s="63"/>
      <c r="AS197" s="63"/>
      <c r="AT197" s="63"/>
      <c r="AV197" s="63"/>
      <c r="AW197" s="63"/>
      <c r="AX197" s="63">
        <f>--ISNUMBER(IFERROR(SEARCH(Tempset!$M$4,AM197,1),""))</f>
        <v>1</v>
      </c>
      <c r="AY197" s="63">
        <f>IF(AX197=1,COUNTIF($AX$3:AX197,1),"")</f>
        <v>195</v>
      </c>
      <c r="AZ197" s="63" t="str">
        <f>IFERROR(INDEX($AM$3:$AM$1165,MATCH(ROWS($AY$3:AY197),$AY$3:$AY$1165,0)),"")</f>
        <v>counterpartyDefaultLossValue</v>
      </c>
    </row>
    <row r="198" spans="39:52" x14ac:dyDescent="0.2">
      <c r="AM198" s="63" t="s">
        <v>1354</v>
      </c>
      <c r="AN198" s="63" t="s">
        <v>1355</v>
      </c>
      <c r="AO198" s="63" t="s">
        <v>1356</v>
      </c>
      <c r="AP198" s="63" t="s">
        <v>355</v>
      </c>
      <c r="AQ198" s="63">
        <v>2</v>
      </c>
      <c r="AR198" s="63"/>
      <c r="AS198" s="63"/>
      <c r="AT198" s="63"/>
      <c r="AV198" s="63"/>
      <c r="AW198" s="63"/>
      <c r="AX198" s="63">
        <f>--ISNUMBER(IFERROR(SEARCH(Tempset!$M$4,AM198,1),""))</f>
        <v>1</v>
      </c>
      <c r="AY198" s="63">
        <f>IF(AX198=1,COUNTIF($AX$3:AX198,1),"")</f>
        <v>196</v>
      </c>
      <c r="AZ198" s="63" t="str">
        <f>IFERROR(INDEX($AM$3:$AM$1165,MATCH(ROWS($AY$3:AY198),$AY$3:$AY$1165,0)),"")</f>
        <v>counterpartyId</v>
      </c>
    </row>
    <row r="199" spans="39:52" x14ac:dyDescent="0.2">
      <c r="AM199" s="63" t="s">
        <v>1357</v>
      </c>
      <c r="AN199" s="63" t="s">
        <v>1358</v>
      </c>
      <c r="AO199" s="63" t="s">
        <v>593</v>
      </c>
      <c r="AP199" s="63" t="s">
        <v>422</v>
      </c>
      <c r="AQ199" s="63">
        <v>2</v>
      </c>
      <c r="AR199" s="63"/>
      <c r="AS199" s="63"/>
      <c r="AT199" s="63"/>
      <c r="AV199" s="63"/>
      <c r="AW199" s="63"/>
      <c r="AX199" s="63">
        <f>--ISNUMBER(IFERROR(SEARCH(Tempset!$M$4,AM199,1),""))</f>
        <v>1</v>
      </c>
      <c r="AY199" s="63">
        <f>IF(AX199=1,COUNTIF($AX$3:AX199,1),"")</f>
        <v>197</v>
      </c>
      <c r="AZ199" s="63" t="str">
        <f>IFERROR(INDEX($AM$3:$AM$1165,MATCH(ROWS($AY$3:AY199),$AY$3:$AY$1165,0)),"")</f>
        <v>counterpartyLongName</v>
      </c>
    </row>
    <row r="200" spans="39:52" x14ac:dyDescent="0.2">
      <c r="AM200" s="63" t="s">
        <v>1359</v>
      </c>
      <c r="AN200" s="63" t="s">
        <v>1360</v>
      </c>
      <c r="AO200" s="63" t="s">
        <v>1361</v>
      </c>
      <c r="AP200" s="63" t="s">
        <v>569</v>
      </c>
      <c r="AQ200" s="63">
        <v>2</v>
      </c>
      <c r="AR200" s="63"/>
      <c r="AS200" s="63"/>
      <c r="AT200" s="63"/>
      <c r="AV200" s="63"/>
      <c r="AW200" s="63"/>
      <c r="AX200" s="63">
        <f>--ISNUMBER(IFERROR(SEARCH(Tempset!$M$4,AM200,1),""))</f>
        <v>1</v>
      </c>
      <c r="AY200" s="63">
        <f>IF(AX200=1,COUNTIF($AX$3:AX200,1),"")</f>
        <v>198</v>
      </c>
      <c r="AZ200" s="63" t="str">
        <f>IFERROR(INDEX($AM$3:$AM$1165,MATCH(ROWS($AY$3:AY200),$AY$3:$AY$1165,0)),"")</f>
        <v>counterpartyParentId</v>
      </c>
    </row>
    <row r="201" spans="39:52" x14ac:dyDescent="0.2">
      <c r="AM201" s="63" t="s">
        <v>1362</v>
      </c>
      <c r="AN201" s="63" t="s">
        <v>1363</v>
      </c>
      <c r="AO201" s="63" t="s">
        <v>1364</v>
      </c>
      <c r="AP201" s="63" t="s">
        <v>291</v>
      </c>
      <c r="AQ201" s="63">
        <v>2</v>
      </c>
      <c r="AR201" s="63"/>
      <c r="AS201" s="63"/>
      <c r="AT201" s="63"/>
      <c r="AV201" s="63"/>
      <c r="AW201" s="63"/>
      <c r="AX201" s="63">
        <f>--ISNUMBER(IFERROR(SEARCH(Tempset!$M$4,AM201,1),""))</f>
        <v>1</v>
      </c>
      <c r="AY201" s="63">
        <f>IF(AX201=1,COUNTIF($AX$3:AX201,1),"")</f>
        <v>199</v>
      </c>
      <c r="AZ201" s="63" t="str">
        <f>IFERROR(INDEX($AM$3:$AM$1165,MATCH(ROWS($AY$3:AY201),$AY$3:$AY$1165,0)),"")</f>
        <v>counterpartyThresholdAmount</v>
      </c>
    </row>
    <row r="202" spans="39:52" x14ac:dyDescent="0.2">
      <c r="AM202" s="63" t="s">
        <v>1365</v>
      </c>
      <c r="AN202" s="63" t="s">
        <v>1366</v>
      </c>
      <c r="AO202" s="63" t="s">
        <v>1367</v>
      </c>
      <c r="AP202" s="63" t="s">
        <v>291</v>
      </c>
      <c r="AQ202" s="63">
        <v>2</v>
      </c>
      <c r="AR202" s="63"/>
      <c r="AS202" s="63"/>
      <c r="AT202" s="63"/>
      <c r="AV202" s="63"/>
      <c r="AW202" s="63"/>
      <c r="AX202" s="63">
        <f>--ISNUMBER(IFERROR(SEARCH(Tempset!$M$4,AM202,1),""))</f>
        <v>1</v>
      </c>
      <c r="AY202" s="63">
        <f>IF(AX202=1,COUNTIF($AX$3:AX202,1),"")</f>
        <v>200</v>
      </c>
      <c r="AZ202" s="63" t="str">
        <f>IFERROR(INDEX($AM$3:$AM$1165,MATCH(ROWS($AY$3:AY202),$AY$3:$AY$1165,0)),"")</f>
        <v>counterpartyUltimateParentId</v>
      </c>
    </row>
    <row r="203" spans="39:52" x14ac:dyDescent="0.2">
      <c r="AM203" s="63" t="s">
        <v>1368</v>
      </c>
      <c r="AN203" s="63" t="s">
        <v>1369</v>
      </c>
      <c r="AO203" s="63" t="s">
        <v>1370</v>
      </c>
      <c r="AP203" s="63" t="s">
        <v>692</v>
      </c>
      <c r="AQ203" s="63">
        <v>3</v>
      </c>
      <c r="AR203" s="63"/>
      <c r="AS203" s="63"/>
      <c r="AT203" s="63"/>
      <c r="AV203" s="63"/>
      <c r="AW203" s="63"/>
      <c r="AX203" s="63">
        <f>--ISNUMBER(IFERROR(SEARCH(Tempset!$M$4,AM203,1),""))</f>
        <v>1</v>
      </c>
      <c r="AY203" s="63">
        <f>IF(AX203=1,COUNTIF($AX$3:AX203,1),"")</f>
        <v>201</v>
      </c>
      <c r="AZ203" s="63" t="str">
        <f>IFERROR(INDEX($AM$3:$AM$1165,MATCH(ROWS($AY$3:AY203),$AY$3:$AY$1165,0)),"")</f>
        <v>countryISOCode</v>
      </c>
    </row>
    <row r="204" spans="39:52" x14ac:dyDescent="0.2">
      <c r="AM204" s="63" t="s">
        <v>1371</v>
      </c>
      <c r="AN204" s="63" t="s">
        <v>1372</v>
      </c>
      <c r="AO204" s="63" t="s">
        <v>1373</v>
      </c>
      <c r="AP204" s="63" t="s">
        <v>569</v>
      </c>
      <c r="AQ204" s="63">
        <v>2</v>
      </c>
      <c r="AR204" s="63"/>
      <c r="AS204" s="63"/>
      <c r="AT204" s="63"/>
      <c r="AV204" s="63"/>
      <c r="AW204" s="63"/>
      <c r="AX204" s="63">
        <f>--ISNUMBER(IFERROR(SEARCH(Tempset!$M$4,AM204,1),""))</f>
        <v>1</v>
      </c>
      <c r="AY204" s="63">
        <f>IF(AX204=1,COUNTIF($AX$3:AX204,1),"")</f>
        <v>202</v>
      </c>
      <c r="AZ204" s="63" t="str">
        <f>IFERROR(INDEX($AM$3:$AM$1165,MATCH(ROWS($AY$3:AY204),$AY$3:$AY$1165,0)),"")</f>
        <v>countryOfDomicile</v>
      </c>
    </row>
    <row r="205" spans="39:52" x14ac:dyDescent="0.2">
      <c r="AM205" s="63" t="s">
        <v>1374</v>
      </c>
      <c r="AN205" s="63" t="s">
        <v>1375</v>
      </c>
      <c r="AO205" s="63" t="s">
        <v>469</v>
      </c>
      <c r="AP205" s="63" t="s">
        <v>668</v>
      </c>
      <c r="AQ205" s="63">
        <v>4</v>
      </c>
      <c r="AR205" s="63"/>
      <c r="AS205" s="63"/>
      <c r="AT205" s="63"/>
      <c r="AV205" s="63"/>
      <c r="AW205" s="63"/>
      <c r="AX205" s="63">
        <f>--ISNUMBER(IFERROR(SEARCH(Tempset!$M$4,AM205,1),""))</f>
        <v>1</v>
      </c>
      <c r="AY205" s="63">
        <f>IF(AX205=1,COUNTIF($AX$3:AX205,1),"")</f>
        <v>203</v>
      </c>
      <c r="AZ205" s="63" t="str">
        <f>IFERROR(INDEX($AM$3:$AM$1165,MATCH(ROWS($AY$3:AY205),$AY$3:$AY$1165,0)),"")</f>
        <v>countryOfIncorporation</v>
      </c>
    </row>
    <row r="206" spans="39:52" x14ac:dyDescent="0.2">
      <c r="AM206" s="63" t="s">
        <v>1376</v>
      </c>
      <c r="AN206" s="63" t="s">
        <v>1377</v>
      </c>
      <c r="AO206" s="63" t="s">
        <v>1378</v>
      </c>
      <c r="AP206" s="63" t="s">
        <v>370</v>
      </c>
      <c r="AQ206" s="63">
        <v>3</v>
      </c>
      <c r="AR206" s="63"/>
      <c r="AS206" s="63"/>
      <c r="AT206" s="63"/>
      <c r="AV206" s="63"/>
      <c r="AW206" s="63"/>
      <c r="AX206" s="63">
        <f>--ISNUMBER(IFERROR(SEARCH(Tempset!$M$4,AM206,1),""))</f>
        <v>1</v>
      </c>
      <c r="AY206" s="63">
        <f>IF(AX206=1,COUNTIF($AX$3:AX206,1),"")</f>
        <v>204</v>
      </c>
      <c r="AZ206" s="63" t="str">
        <f>IFERROR(INDEX($AM$3:$AM$1165,MATCH(ROWS($AY$3:AY206),$AY$3:$AY$1165,0)),"")</f>
        <v>countryOfListing</v>
      </c>
    </row>
    <row r="207" spans="39:52" x14ac:dyDescent="0.2">
      <c r="AM207" s="63" t="s">
        <v>1379</v>
      </c>
      <c r="AN207" s="63" t="s">
        <v>1380</v>
      </c>
      <c r="AO207" s="63" t="s">
        <v>1381</v>
      </c>
      <c r="AP207" s="63" t="s">
        <v>538</v>
      </c>
      <c r="AQ207" s="63">
        <v>3</v>
      </c>
      <c r="AR207" s="63"/>
      <c r="AS207" s="63"/>
      <c r="AT207" s="63"/>
      <c r="AV207" s="63"/>
      <c r="AW207" s="63"/>
      <c r="AX207" s="63">
        <f>--ISNUMBER(IFERROR(SEARCH(Tempset!$M$4,AM207,1),""))</f>
        <v>1</v>
      </c>
      <c r="AY207" s="63">
        <f>IF(AX207=1,COUNTIF($AX$3:AX207,1),"")</f>
        <v>205</v>
      </c>
      <c r="AZ207" s="63" t="str">
        <f>IFERROR(INDEX($AM$3:$AM$1165,MATCH(ROWS($AY$3:AY207),$AY$3:$AY$1165,0)),"")</f>
        <v>countryOfResidence</v>
      </c>
    </row>
    <row r="208" spans="39:52" x14ac:dyDescent="0.2">
      <c r="AM208" s="63" t="s">
        <v>1382</v>
      </c>
      <c r="AN208" s="63" t="s">
        <v>1383</v>
      </c>
      <c r="AO208" s="63" t="s">
        <v>1384</v>
      </c>
      <c r="AP208" s="63" t="s">
        <v>291</v>
      </c>
      <c r="AQ208" s="63">
        <v>4</v>
      </c>
      <c r="AR208" s="63"/>
      <c r="AS208" s="63"/>
      <c r="AT208" s="63"/>
      <c r="AV208" s="63"/>
      <c r="AW208" s="63"/>
      <c r="AX208" s="63">
        <f>--ISNUMBER(IFERROR(SEARCH(Tempset!$M$4,AM208,1),""))</f>
        <v>1</v>
      </c>
      <c r="AY208" s="63">
        <f>IF(AX208=1,COUNTIF($AX$3:AX208,1),"")</f>
        <v>206</v>
      </c>
      <c r="AZ208" s="63" t="str">
        <f>IFERROR(INDEX($AM$3:$AM$1165,MATCH(ROWS($AY$3:AY208),$AY$3:$AY$1165,0)),"")</f>
        <v>countryOfRisk</v>
      </c>
    </row>
    <row r="209" spans="39:52" x14ac:dyDescent="0.2">
      <c r="AM209" s="63" t="s">
        <v>1385</v>
      </c>
      <c r="AN209" s="63" t="s">
        <v>1386</v>
      </c>
      <c r="AO209" s="63" t="s">
        <v>1387</v>
      </c>
      <c r="AP209" s="63" t="s">
        <v>941</v>
      </c>
      <c r="AQ209" s="63">
        <v>2</v>
      </c>
      <c r="AR209" s="63"/>
      <c r="AS209" s="63"/>
      <c r="AT209" s="63"/>
      <c r="AV209" s="63"/>
      <c r="AW209" s="63"/>
      <c r="AX209" s="63">
        <f>--ISNUMBER(IFERROR(SEARCH(Tempset!$M$4,AM209,1),""))</f>
        <v>1</v>
      </c>
      <c r="AY209" s="63">
        <f>IF(AX209=1,COUNTIF($AX$3:AX209,1),"")</f>
        <v>207</v>
      </c>
      <c r="AZ209" s="63" t="str">
        <f>IFERROR(INDEX($AM$3:$AM$1165,MATCH(ROWS($AY$3:AY209),$AY$3:$AY$1165,0)),"")</f>
        <v>countryRiskClassification</v>
      </c>
    </row>
    <row r="210" spans="39:52" x14ac:dyDescent="0.2">
      <c r="AM210" s="63" t="s">
        <v>1388</v>
      </c>
      <c r="AN210" s="63" t="s">
        <v>1389</v>
      </c>
      <c r="AO210" s="63" t="s">
        <v>1390</v>
      </c>
      <c r="AP210" s="63" t="s">
        <v>692</v>
      </c>
      <c r="AQ210" s="63">
        <v>1</v>
      </c>
      <c r="AR210" s="63"/>
      <c r="AS210" s="63"/>
      <c r="AT210" s="63"/>
      <c r="AV210" s="63"/>
      <c r="AW210" s="63"/>
      <c r="AX210" s="63">
        <f>--ISNUMBER(IFERROR(SEARCH(Tempset!$M$4,AM210,1),""))</f>
        <v>1</v>
      </c>
      <c r="AY210" s="63">
        <f>IF(AX210=1,COUNTIF($AX$3:AX210,1),"")</f>
        <v>208</v>
      </c>
      <c r="AZ210" s="63" t="str">
        <f>IFERROR(INDEX($AM$3:$AM$1165,MATCH(ROWS($AY$3:AY210),$AY$3:$AY$1165,0)),"")</f>
        <v>creditClass</v>
      </c>
    </row>
    <row r="211" spans="39:52" x14ac:dyDescent="0.2">
      <c r="AM211" s="63" t="s">
        <v>1391</v>
      </c>
      <c r="AN211" s="63" t="s">
        <v>1392</v>
      </c>
      <c r="AO211" s="63" t="s">
        <v>1393</v>
      </c>
      <c r="AP211" s="63" t="s">
        <v>627</v>
      </c>
      <c r="AQ211" s="63">
        <v>3</v>
      </c>
      <c r="AR211" s="63"/>
      <c r="AS211" s="63"/>
      <c r="AT211" s="63"/>
      <c r="AV211" s="63"/>
      <c r="AW211" s="63"/>
      <c r="AX211" s="63">
        <f>--ISNUMBER(IFERROR(SEARCH(Tempset!$M$4,AM211,1),""))</f>
        <v>1</v>
      </c>
      <c r="AY211" s="63">
        <f>IF(AX211=1,COUNTIF($AX$3:AX211,1),"")</f>
        <v>209</v>
      </c>
      <c r="AZ211" s="63" t="str">
        <f>IFERROR(INDEX($AM$3:$AM$1165,MATCH(ROWS($AY$3:AY211),$AY$3:$AY$1165,0)),"")</f>
        <v>creditCurveId</v>
      </c>
    </row>
    <row r="212" spans="39:52" x14ac:dyDescent="0.2">
      <c r="AM212" s="63" t="s">
        <v>1394</v>
      </c>
      <c r="AN212" s="63" t="s">
        <v>1395</v>
      </c>
      <c r="AO212" s="63" t="s">
        <v>1396</v>
      </c>
      <c r="AP212" s="63" t="s">
        <v>383</v>
      </c>
      <c r="AQ212" s="63">
        <v>2</v>
      </c>
      <c r="AR212" s="63"/>
      <c r="AS212" s="63"/>
      <c r="AT212" s="63"/>
      <c r="AV212" s="63"/>
      <c r="AW212" s="63"/>
      <c r="AX212" s="63">
        <f>--ISNUMBER(IFERROR(SEARCH(Tempset!$M$4,AM212,1),""))</f>
        <v>1</v>
      </c>
      <c r="AY212" s="63">
        <f>IF(AX212=1,COUNTIF($AX$3:AX212,1),"")</f>
        <v>210</v>
      </c>
      <c r="AZ212" s="63" t="str">
        <f>IFERROR(INDEX($AM$3:$AM$1165,MATCH(ROWS($AY$3:AY212),$AY$3:$AY$1165,0)),"")</f>
        <v>creditERCValue</v>
      </c>
    </row>
    <row r="213" spans="39:52" x14ac:dyDescent="0.2">
      <c r="AM213" s="63" t="s">
        <v>1397</v>
      </c>
      <c r="AN213" s="63" t="s">
        <v>1398</v>
      </c>
      <c r="AO213" s="63" t="s">
        <v>1399</v>
      </c>
      <c r="AP213" s="63" t="s">
        <v>692</v>
      </c>
      <c r="AQ213" s="63">
        <v>1</v>
      </c>
      <c r="AR213" s="63"/>
      <c r="AS213" s="63"/>
      <c r="AT213" s="63"/>
      <c r="AV213" s="63"/>
      <c r="AW213" s="63"/>
      <c r="AX213" s="63">
        <f>--ISNUMBER(IFERROR(SEARCH(Tempset!$M$4,AM213,1),""))</f>
        <v>1</v>
      </c>
      <c r="AY213" s="63">
        <f>IF(AX213=1,COUNTIF($AX$3:AX213,1),"")</f>
        <v>211</v>
      </c>
      <c r="AZ213" s="63" t="str">
        <f>IFERROR(INDEX($AM$3:$AM$1165,MATCH(ROWS($AY$3:AY213),$AY$3:$AY$1165,0)),"")</f>
        <v>creditEvent</v>
      </c>
    </row>
    <row r="214" spans="39:52" x14ac:dyDescent="0.2">
      <c r="AM214" s="63" t="s">
        <v>1400</v>
      </c>
      <c r="AN214" s="63" t="s">
        <v>1401</v>
      </c>
      <c r="AO214" s="63" t="s">
        <v>357</v>
      </c>
      <c r="AP214" s="63" t="s">
        <v>291</v>
      </c>
      <c r="AQ214" s="63">
        <v>3</v>
      </c>
      <c r="AR214" s="63"/>
      <c r="AS214" s="63"/>
      <c r="AT214" s="63"/>
      <c r="AV214" s="63"/>
      <c r="AW214" s="63"/>
      <c r="AX214" s="63">
        <f>--ISNUMBER(IFERROR(SEARCH(Tempset!$M$4,AM214,1),""))</f>
        <v>1</v>
      </c>
      <c r="AY214" s="63">
        <f>IF(AX214=1,COUNTIF($AX$3:AX214,1),"")</f>
        <v>212</v>
      </c>
      <c r="AZ214" s="63" t="str">
        <f>IFERROR(INDEX($AM$3:$AM$1165,MATCH(ROWS($AY$3:AY214),$AY$3:$AY$1165,0)),"")</f>
        <v>creditGroupCode</v>
      </c>
    </row>
    <row r="215" spans="39:52" x14ac:dyDescent="0.2">
      <c r="AM215" s="63" t="s">
        <v>1402</v>
      </c>
      <c r="AN215" s="63" t="s">
        <v>1403</v>
      </c>
      <c r="AO215" s="63" t="s">
        <v>1404</v>
      </c>
      <c r="AP215" s="63" t="s">
        <v>272</v>
      </c>
      <c r="AQ215" s="63">
        <v>1</v>
      </c>
      <c r="AR215" s="63"/>
      <c r="AS215" s="63"/>
      <c r="AT215" s="63"/>
      <c r="AV215" s="63"/>
      <c r="AW215" s="63"/>
      <c r="AX215" s="63">
        <f>--ISNUMBER(IFERROR(SEARCH(Tempset!$M$4,AM215,1),""))</f>
        <v>1</v>
      </c>
      <c r="AY215" s="63">
        <f>IF(AX215=1,COUNTIF($AX$3:AX215,1),"")</f>
        <v>213</v>
      </c>
      <c r="AZ215" s="63" t="str">
        <f>IFERROR(INDEX($AM$3:$AM$1165,MATCH(ROWS($AY$3:AY215),$AY$3:$AY$1165,0)),"")</f>
        <v>creditHierarchyLevel</v>
      </c>
    </row>
    <row r="216" spans="39:52" x14ac:dyDescent="0.2">
      <c r="AM216" s="63" t="s">
        <v>1405</v>
      </c>
      <c r="AN216" s="63" t="s">
        <v>1406</v>
      </c>
      <c r="AO216" s="63" t="s">
        <v>1407</v>
      </c>
      <c r="AP216" s="63" t="s">
        <v>309</v>
      </c>
      <c r="AQ216" s="63">
        <v>1</v>
      </c>
      <c r="AR216" s="63"/>
      <c r="AS216" s="63"/>
      <c r="AT216" s="63"/>
      <c r="AV216" s="63"/>
      <c r="AW216" s="63"/>
      <c r="AX216" s="63">
        <f>--ISNUMBER(IFERROR(SEARCH(Tempset!$M$4,AM216,1),""))</f>
        <v>1</v>
      </c>
      <c r="AY216" s="63">
        <f>IF(AX216=1,COUNTIF($AX$3:AX216,1),"")</f>
        <v>214</v>
      </c>
      <c r="AZ216" s="63" t="str">
        <f>IFERROR(INDEX($AM$3:$AM$1165,MATCH(ROWS($AY$3:AY216),$AY$3:$AY$1165,0)),"")</f>
        <v>creditLimitAmount</v>
      </c>
    </row>
    <row r="217" spans="39:52" x14ac:dyDescent="0.2">
      <c r="AM217" s="63" t="s">
        <v>1408</v>
      </c>
      <c r="AN217" s="63" t="s">
        <v>1409</v>
      </c>
      <c r="AO217" s="63" t="s">
        <v>1410</v>
      </c>
      <c r="AP217" s="63" t="s">
        <v>407</v>
      </c>
      <c r="AQ217" s="63">
        <v>2</v>
      </c>
      <c r="AR217" s="63"/>
      <c r="AS217" s="63"/>
      <c r="AT217" s="63"/>
      <c r="AV217" s="63"/>
      <c r="AW217" s="63"/>
      <c r="AX217" s="63">
        <f>--ISNUMBER(IFERROR(SEARCH(Tempset!$M$4,AM217,1),""))</f>
        <v>1</v>
      </c>
      <c r="AY217" s="63">
        <f>IF(AX217=1,COUNTIF($AX$3:AX217,1),"")</f>
        <v>215</v>
      </c>
      <c r="AZ217" s="63" t="str">
        <f>IFERROR(INDEX($AM$3:$AM$1165,MATCH(ROWS($AY$3:AY217),$AY$3:$AY$1165,0)),"")</f>
        <v>creditLineTypeId</v>
      </c>
    </row>
    <row r="218" spans="39:52" x14ac:dyDescent="0.2">
      <c r="AM218" s="63" t="s">
        <v>1411</v>
      </c>
      <c r="AN218" s="63" t="s">
        <v>1412</v>
      </c>
      <c r="AO218" s="63" t="s">
        <v>1413</v>
      </c>
      <c r="AP218" s="63" t="s">
        <v>866</v>
      </c>
      <c r="AQ218" s="63">
        <v>3</v>
      </c>
      <c r="AR218" s="63"/>
      <c r="AS218" s="63"/>
      <c r="AT218" s="63"/>
      <c r="AV218" s="63"/>
      <c r="AW218" s="63"/>
      <c r="AX218" s="63">
        <f>--ISNUMBER(IFERROR(SEARCH(Tempset!$M$4,AM218,1),""))</f>
        <v>1</v>
      </c>
      <c r="AY218" s="63">
        <f>IF(AX218=1,COUNTIF($AX$3:AX218,1),"")</f>
        <v>216</v>
      </c>
      <c r="AZ218" s="63" t="str">
        <f>IFERROR(INDEX($AM$3:$AM$1165,MATCH(ROWS($AY$3:AY218),$AY$3:$AY$1165,0)),"")</f>
        <v>creditMarkCd</v>
      </c>
    </row>
    <row r="219" spans="39:52" x14ac:dyDescent="0.2">
      <c r="AM219" s="63" t="s">
        <v>1414</v>
      </c>
      <c r="AN219" s="63" t="s">
        <v>1415</v>
      </c>
      <c r="AO219" s="63" t="s">
        <v>1416</v>
      </c>
      <c r="AP219" s="63" t="s">
        <v>627</v>
      </c>
      <c r="AQ219" s="63">
        <v>2</v>
      </c>
      <c r="AR219" s="63"/>
      <c r="AS219" s="63"/>
      <c r="AT219" s="63"/>
      <c r="AV219" s="63"/>
      <c r="AW219" s="63"/>
      <c r="AX219" s="63">
        <f>--ISNUMBER(IFERROR(SEARCH(Tempset!$M$4,AM219,1),""))</f>
        <v>1</v>
      </c>
      <c r="AY219" s="63">
        <f>IF(AX219=1,COUNTIF($AX$3:AX219,1),"")</f>
        <v>217</v>
      </c>
      <c r="AZ219" s="63" t="str">
        <f>IFERROR(INDEX($AM$3:$AM$1165,MATCH(ROWS($AY$3:AY219),$AY$3:$AY$1165,0)),"")</f>
        <v>creditProductSubTypeCode</v>
      </c>
    </row>
    <row r="220" spans="39:52" x14ac:dyDescent="0.2">
      <c r="AM220" s="63" t="s">
        <v>1417</v>
      </c>
      <c r="AN220" s="63" t="s">
        <v>1418</v>
      </c>
      <c r="AO220" s="63" t="s">
        <v>1419</v>
      </c>
      <c r="AP220" s="63" t="s">
        <v>866</v>
      </c>
      <c r="AQ220" s="63">
        <v>4</v>
      </c>
      <c r="AR220" s="63"/>
      <c r="AS220" s="63"/>
      <c r="AT220" s="63"/>
      <c r="AV220" s="63"/>
      <c r="AW220" s="63"/>
      <c r="AX220" s="63">
        <f>--ISNUMBER(IFERROR(SEARCH(Tempset!$M$4,AM220,1),""))</f>
        <v>1</v>
      </c>
      <c r="AY220" s="63">
        <f>IF(AX220=1,COUNTIF($AX$3:AX220,1),"")</f>
        <v>218</v>
      </c>
      <c r="AZ220" s="63" t="str">
        <f>IFERROR(INDEX($AM$3:$AM$1165,MATCH(ROWS($AY$3:AY220),$AY$3:$AY$1165,0)),"")</f>
        <v>creditProductTypeCode</v>
      </c>
    </row>
    <row r="221" spans="39:52" x14ac:dyDescent="0.2">
      <c r="AM221" s="63" t="s">
        <v>1420</v>
      </c>
      <c r="AN221" s="63" t="s">
        <v>1421</v>
      </c>
      <c r="AO221" s="63" t="s">
        <v>484</v>
      </c>
      <c r="AP221" s="63" t="s">
        <v>467</v>
      </c>
      <c r="AQ221" s="63">
        <v>4</v>
      </c>
      <c r="AR221" s="63"/>
      <c r="AS221" s="63"/>
      <c r="AT221" s="63"/>
      <c r="AV221" s="63"/>
      <c r="AW221" s="63"/>
      <c r="AX221" s="63">
        <f>--ISNUMBER(IFERROR(SEARCH(Tempset!$M$4,AM221,1),""))</f>
        <v>1</v>
      </c>
      <c r="AY221" s="63">
        <f>IF(AX221=1,COUNTIF($AX$3:AX221,1),"")</f>
        <v>219</v>
      </c>
      <c r="AZ221" s="63" t="str">
        <f>IFERROR(INDEX($AM$3:$AM$1165,MATCH(ROWS($AY$3:AY221),$AY$3:$AY$1165,0)),"")</f>
        <v>creditProvisionValue</v>
      </c>
    </row>
    <row r="222" spans="39:52" x14ac:dyDescent="0.2">
      <c r="AM222" s="63" t="s">
        <v>1422</v>
      </c>
      <c r="AN222" s="63" t="s">
        <v>1423</v>
      </c>
      <c r="AO222" s="63" t="s">
        <v>1424</v>
      </c>
      <c r="AP222" s="63" t="s">
        <v>422</v>
      </c>
      <c r="AQ222" s="63">
        <v>1</v>
      </c>
      <c r="AR222" s="63"/>
      <c r="AS222" s="63"/>
      <c r="AT222" s="63"/>
      <c r="AV222" s="63"/>
      <c r="AW222" s="63"/>
      <c r="AX222" s="63">
        <f>--ISNUMBER(IFERROR(SEARCH(Tempset!$M$4,AM222,1),""))</f>
        <v>1</v>
      </c>
      <c r="AY222" s="63">
        <f>IF(AX222=1,COUNTIF($AX$3:AX222,1),"")</f>
        <v>220</v>
      </c>
      <c r="AZ222" s="63" t="str">
        <f>IFERROR(INDEX($AM$3:$AM$1165,MATCH(ROWS($AY$3:AY222),$AY$3:$AY$1165,0)),"")</f>
        <v>creditPurposeCode</v>
      </c>
    </row>
    <row r="223" spans="39:52" x14ac:dyDescent="0.2">
      <c r="AM223" s="63" t="s">
        <v>1425</v>
      </c>
      <c r="AN223" s="63" t="s">
        <v>1426</v>
      </c>
      <c r="AO223" s="63" t="s">
        <v>801</v>
      </c>
      <c r="AP223" s="63" t="s">
        <v>760</v>
      </c>
      <c r="AQ223" s="63">
        <v>3</v>
      </c>
      <c r="AR223" s="63"/>
      <c r="AS223" s="63"/>
      <c r="AT223" s="63"/>
      <c r="AV223" s="63"/>
      <c r="AW223" s="63"/>
      <c r="AX223" s="63">
        <f>--ISNUMBER(IFERROR(SEARCH(Tempset!$M$4,AM223,1),""))</f>
        <v>1</v>
      </c>
      <c r="AY223" s="63">
        <f>IF(AX223=1,COUNTIF($AX$3:AX223,1),"")</f>
        <v>221</v>
      </c>
      <c r="AZ223" s="63" t="str">
        <f>IFERROR(INDEX($AM$3:$AM$1165,MATCH(ROWS($AY$3:AY223),$AY$3:$AY$1165,0)),"")</f>
        <v>creditQualityStep</v>
      </c>
    </row>
    <row r="224" spans="39:52" x14ac:dyDescent="0.2">
      <c r="AM224" s="63" t="s">
        <v>1427</v>
      </c>
      <c r="AN224" s="63" t="s">
        <v>1428</v>
      </c>
      <c r="AO224" s="63" t="s">
        <v>1429</v>
      </c>
      <c r="AP224" s="63" t="s">
        <v>1122</v>
      </c>
      <c r="AQ224" s="63">
        <v>2</v>
      </c>
      <c r="AR224" s="63"/>
      <c r="AS224" s="63"/>
      <c r="AT224" s="63"/>
      <c r="AV224" s="63"/>
      <c r="AW224" s="63"/>
      <c r="AX224" s="63">
        <f>--ISNUMBER(IFERROR(SEARCH(Tempset!$M$4,AM224,1),""))</f>
        <v>1</v>
      </c>
      <c r="AY224" s="63">
        <f>IF(AX224=1,COUNTIF($AX$3:AX224,1),"")</f>
        <v>222</v>
      </c>
      <c r="AZ224" s="63" t="str">
        <f>IFERROR(INDEX($AM$3:$AM$1165,MATCH(ROWS($AY$3:AY224),$AY$3:$AY$1165,0)),"")</f>
        <v>creditRating</v>
      </c>
    </row>
    <row r="225" spans="39:52" x14ac:dyDescent="0.2">
      <c r="AM225" s="63" t="s">
        <v>1430</v>
      </c>
      <c r="AN225" s="63" t="s">
        <v>1431</v>
      </c>
      <c r="AO225" s="63" t="s">
        <v>1432</v>
      </c>
      <c r="AP225" s="63" t="s">
        <v>692</v>
      </c>
      <c r="AQ225" s="63">
        <v>2</v>
      </c>
      <c r="AR225" s="63"/>
      <c r="AS225" s="63"/>
      <c r="AT225" s="63"/>
      <c r="AV225" s="63"/>
      <c r="AW225" s="63"/>
      <c r="AX225" s="63">
        <f>--ISNUMBER(IFERROR(SEARCH(Tempset!$M$4,AM225,1),""))</f>
        <v>1</v>
      </c>
      <c r="AY225" s="63">
        <f>IF(AX225=1,COUNTIF($AX$3:AX225,1),"")</f>
        <v>223</v>
      </c>
      <c r="AZ225" s="63" t="str">
        <f>IFERROR(INDEX($AM$3:$AM$1165,MATCH(ROWS($AY$3:AY225),$AY$3:$AY$1165,0)),"")</f>
        <v>creditRatingAgency</v>
      </c>
    </row>
    <row r="226" spans="39:52" x14ac:dyDescent="0.2">
      <c r="AM226" s="63" t="s">
        <v>1433</v>
      </c>
      <c r="AN226" s="63" t="s">
        <v>1434</v>
      </c>
      <c r="AO226" s="63" t="s">
        <v>1435</v>
      </c>
      <c r="AP226" s="63" t="s">
        <v>668</v>
      </c>
      <c r="AQ226" s="63">
        <v>2</v>
      </c>
      <c r="AR226" s="63"/>
      <c r="AS226" s="63"/>
      <c r="AT226" s="63"/>
      <c r="AV226" s="63"/>
      <c r="AW226" s="63"/>
      <c r="AX226" s="63">
        <f>--ISNUMBER(IFERROR(SEARCH(Tempset!$M$4,AM226,1),""))</f>
        <v>1</v>
      </c>
      <c r="AY226" s="63">
        <f>IF(AX226=1,COUNTIF($AX$3:AX226,1),"")</f>
        <v>224</v>
      </c>
      <c r="AZ226" s="63" t="str">
        <f>IFERROR(INDEX($AM$3:$AM$1165,MATCH(ROWS($AY$3:AY226),$AY$3:$AY$1165,0)),"")</f>
        <v>creditRatingDate</v>
      </c>
    </row>
    <row r="227" spans="39:52" x14ac:dyDescent="0.2">
      <c r="AM227" s="63" t="s">
        <v>1436</v>
      </c>
      <c r="AN227" s="63" t="s">
        <v>1437</v>
      </c>
      <c r="AO227" s="63" t="s">
        <v>1438</v>
      </c>
      <c r="AP227" s="63" t="s">
        <v>668</v>
      </c>
      <c r="AQ227" s="63">
        <v>2</v>
      </c>
      <c r="AR227" s="63"/>
      <c r="AS227" s="63"/>
      <c r="AT227" s="63"/>
      <c r="AV227" s="63"/>
      <c r="AW227" s="63"/>
      <c r="AX227" s="63">
        <f>--ISNUMBER(IFERROR(SEARCH(Tempset!$M$4,AM227,1),""))</f>
        <v>1</v>
      </c>
      <c r="AY227" s="63">
        <f>IF(AX227=1,COUNTIF($AX$3:AX227,1),"")</f>
        <v>225</v>
      </c>
      <c r="AZ227" s="63" t="str">
        <f>IFERROR(INDEX($AM$3:$AM$1165,MATCH(ROWS($AY$3:AY227),$AY$3:$AY$1165,0)),"")</f>
        <v>creditRatingType</v>
      </c>
    </row>
    <row r="228" spans="39:52" x14ac:dyDescent="0.2">
      <c r="AM228" s="63" t="s">
        <v>1439</v>
      </c>
      <c r="AN228" s="63" t="s">
        <v>1440</v>
      </c>
      <c r="AO228" s="63" t="s">
        <v>1441</v>
      </c>
      <c r="AP228" s="63" t="s">
        <v>569</v>
      </c>
      <c r="AQ228" s="63">
        <v>2</v>
      </c>
      <c r="AR228" s="63"/>
      <c r="AS228" s="63"/>
      <c r="AT228" s="63"/>
      <c r="AV228" s="63"/>
      <c r="AW228" s="63"/>
      <c r="AX228" s="63">
        <f>--ISNUMBER(IFERROR(SEARCH(Tempset!$M$4,AM228,1),""))</f>
        <v>1</v>
      </c>
      <c r="AY228" s="63">
        <f>IF(AX228=1,COUNTIF($AX$3:AX228,1),"")</f>
        <v>226</v>
      </c>
      <c r="AZ228" s="63" t="str">
        <f>IFERROR(INDEX($AM$3:$AM$1165,MATCH(ROWS($AY$3:AY228),$AY$3:$AY$1165,0)),"")</f>
        <v>creditRelationshipCode</v>
      </c>
    </row>
    <row r="229" spans="39:52" x14ac:dyDescent="0.2">
      <c r="AM229" s="63" t="s">
        <v>1442</v>
      </c>
      <c r="AN229" s="63" t="s">
        <v>1443</v>
      </c>
      <c r="AO229" s="63" t="s">
        <v>1444</v>
      </c>
      <c r="AP229" s="63" t="s">
        <v>324</v>
      </c>
      <c r="AQ229" s="63">
        <v>2</v>
      </c>
      <c r="AR229" s="63"/>
      <c r="AS229" s="63"/>
      <c r="AT229" s="63"/>
      <c r="AV229" s="63"/>
      <c r="AW229" s="63"/>
      <c r="AX229" s="63">
        <f>--ISNUMBER(IFERROR(SEARCH(Tempset!$M$4,AM229,1),""))</f>
        <v>1</v>
      </c>
      <c r="AY229" s="63">
        <f>IF(AX229=1,COUNTIF($AX$3:AX229,1),"")</f>
        <v>227</v>
      </c>
      <c r="AZ229" s="63" t="str">
        <f>IFERROR(INDEX($AM$3:$AM$1165,MATCH(ROWS($AY$3:AY229),$AY$3:$AY$1165,0)),"")</f>
        <v>creditRiskFlag</v>
      </c>
    </row>
    <row r="230" spans="39:52" x14ac:dyDescent="0.2">
      <c r="AM230" s="63" t="s">
        <v>1445</v>
      </c>
      <c r="AN230" s="63" t="s">
        <v>1446</v>
      </c>
      <c r="AO230" s="63" t="s">
        <v>1447</v>
      </c>
      <c r="AP230" s="63" t="s">
        <v>324</v>
      </c>
      <c r="AQ230" s="63">
        <v>3</v>
      </c>
      <c r="AR230" s="63"/>
      <c r="AS230" s="63"/>
      <c r="AT230" s="63"/>
      <c r="AV230" s="63"/>
      <c r="AW230" s="63"/>
      <c r="AX230" s="63">
        <f>--ISNUMBER(IFERROR(SEARCH(Tempset!$M$4,AM230,1),""))</f>
        <v>1</v>
      </c>
      <c r="AY230" s="63">
        <f>IF(AX230=1,COUNTIF($AX$3:AX230,1),"")</f>
        <v>228</v>
      </c>
      <c r="AZ230" s="63" t="str">
        <f>IFERROR(INDEX($AM$3:$AM$1165,MATCH(ROWS($AY$3:AY230),$AY$3:$AY$1165,0)),"")</f>
        <v>creditRiskRWAValue</v>
      </c>
    </row>
    <row r="231" spans="39:52" x14ac:dyDescent="0.2">
      <c r="AM231" s="63" t="s">
        <v>1448</v>
      </c>
      <c r="AN231" s="63" t="s">
        <v>1449</v>
      </c>
      <c r="AO231" s="63" t="s">
        <v>1450</v>
      </c>
      <c r="AP231" s="63" t="s">
        <v>370</v>
      </c>
      <c r="AQ231" s="63">
        <v>1</v>
      </c>
      <c r="AR231" s="63"/>
      <c r="AS231" s="63"/>
      <c r="AT231" s="63"/>
      <c r="AV231" s="63"/>
      <c r="AW231" s="63"/>
      <c r="AX231" s="63">
        <f>--ISNUMBER(IFERROR(SEARCH(Tempset!$M$4,AM231,1),""))</f>
        <v>1</v>
      </c>
      <c r="AY231" s="63">
        <f>IF(AX231=1,COUNTIF($AX$3:AX231,1),"")</f>
        <v>229</v>
      </c>
      <c r="AZ231" s="63" t="str">
        <f>IFERROR(INDEX($AM$3:$AM$1165,MATCH(ROWS($AY$3:AY231),$AY$3:$AY$1165,0)),"")</f>
        <v>creditRiskStressRWAValue</v>
      </c>
    </row>
    <row r="232" spans="39:52" x14ac:dyDescent="0.2">
      <c r="AM232" s="63" t="s">
        <v>1451</v>
      </c>
      <c r="AN232" s="63" t="s">
        <v>1452</v>
      </c>
      <c r="AO232" s="63" t="s">
        <v>1453</v>
      </c>
      <c r="AP232" s="63" t="s">
        <v>309</v>
      </c>
      <c r="AQ232" s="63">
        <v>1</v>
      </c>
      <c r="AR232" s="63"/>
      <c r="AS232" s="63"/>
      <c r="AT232" s="63"/>
      <c r="AV232" s="63"/>
      <c r="AW232" s="63"/>
      <c r="AX232" s="63">
        <f>--ISNUMBER(IFERROR(SEARCH(Tempset!$M$4,AM232,1),""))</f>
        <v>1</v>
      </c>
      <c r="AY232" s="63">
        <f>IF(AX232=1,COUNTIF($AX$3:AX232,1),"")</f>
        <v>230</v>
      </c>
      <c r="AZ232" s="63" t="str">
        <f>IFERROR(INDEX($AM$3:$AM$1165,MATCH(ROWS($AY$3:AY232),$AY$3:$AY$1165,0)),"")</f>
        <v>creditSpreadParameters</v>
      </c>
    </row>
    <row r="233" spans="39:52" x14ac:dyDescent="0.2">
      <c r="AM233" s="63" t="s">
        <v>1454</v>
      </c>
      <c r="AN233" s="63" t="s">
        <v>1455</v>
      </c>
      <c r="AO233" s="63" t="s">
        <v>1456</v>
      </c>
      <c r="AP233" s="63" t="s">
        <v>422</v>
      </c>
      <c r="AQ233" s="63">
        <v>2</v>
      </c>
      <c r="AR233" s="63"/>
      <c r="AS233" s="63"/>
      <c r="AT233" s="63"/>
      <c r="AV233" s="63"/>
      <c r="AW233" s="63"/>
      <c r="AX233" s="63">
        <f>--ISNUMBER(IFERROR(SEARCH(Tempset!$M$4,AM233,1),""))</f>
        <v>1</v>
      </c>
      <c r="AY233" s="63">
        <f>IF(AX233=1,COUNTIF($AX$3:AX233,1),"")</f>
        <v>231</v>
      </c>
      <c r="AZ233" s="63" t="str">
        <f>IFERROR(INDEX($AM$3:$AM$1165,MATCH(ROWS($AY$3:AY233),$AY$3:$AY$1165,0)),"")</f>
        <v>creditUseCode</v>
      </c>
    </row>
    <row r="234" spans="39:52" x14ac:dyDescent="0.2">
      <c r="AM234" s="63" t="s">
        <v>1457</v>
      </c>
      <c r="AN234" s="63" t="s">
        <v>1458</v>
      </c>
      <c r="AO234" s="63" t="s">
        <v>1459</v>
      </c>
      <c r="AP234" s="63" t="s">
        <v>1122</v>
      </c>
      <c r="AQ234" s="63">
        <v>2</v>
      </c>
      <c r="AR234" s="63"/>
      <c r="AS234" s="63"/>
      <c r="AT234" s="63"/>
      <c r="AV234" s="63"/>
      <c r="AW234" s="63"/>
      <c r="AX234" s="63">
        <f>--ISNUMBER(IFERROR(SEARCH(Tempset!$M$4,AM234,1),""))</f>
        <v>1</v>
      </c>
      <c r="AY234" s="63">
        <f>IF(AX234=1,COUNTIF($AX$3:AX234,1),"")</f>
        <v>232</v>
      </c>
      <c r="AZ234" s="63" t="str">
        <f>IFERROR(INDEX($AM$3:$AM$1165,MATCH(ROWS($AY$3:AY234),$AY$3:$AY$1165,0)),"")</f>
        <v>CSAdditionalCollateralPosted</v>
      </c>
    </row>
    <row r="235" spans="39:52" x14ac:dyDescent="0.2">
      <c r="AM235" s="63" t="s">
        <v>1460</v>
      </c>
      <c r="AN235" s="63" t="s">
        <v>1461</v>
      </c>
      <c r="AO235" s="63" t="s">
        <v>1462</v>
      </c>
      <c r="AP235" s="63" t="s">
        <v>370</v>
      </c>
      <c r="AQ235" s="63">
        <v>3</v>
      </c>
      <c r="AR235" s="63"/>
      <c r="AS235" s="63"/>
      <c r="AT235" s="63"/>
      <c r="AV235" s="63"/>
      <c r="AW235" s="63"/>
      <c r="AX235" s="63">
        <f>--ISNUMBER(IFERROR(SEARCH(Tempset!$M$4,AM235,1),""))</f>
        <v>1</v>
      </c>
      <c r="AY235" s="63">
        <f>IF(AX235=1,COUNTIF($AX$3:AX235,1),"")</f>
        <v>233</v>
      </c>
      <c r="AZ235" s="63" t="str">
        <f>IFERROR(INDEX($AM$3:$AM$1165,MATCH(ROWS($AY$3:AY235),$AY$3:$AY$1165,0)),"")</f>
        <v>CSAEnforcementFlag</v>
      </c>
    </row>
    <row r="236" spans="39:52" x14ac:dyDescent="0.2">
      <c r="AM236" s="63" t="s">
        <v>1463</v>
      </c>
      <c r="AN236" s="63" t="s">
        <v>1464</v>
      </c>
      <c r="AO236" s="63" t="s">
        <v>1465</v>
      </c>
      <c r="AP236" s="63" t="s">
        <v>324</v>
      </c>
      <c r="AQ236" s="63">
        <v>3</v>
      </c>
      <c r="AR236" s="63"/>
      <c r="AS236" s="63"/>
      <c r="AT236" s="63"/>
      <c r="AV236" s="63"/>
      <c r="AW236" s="63"/>
      <c r="AX236" s="63">
        <f>--ISNUMBER(IFERROR(SEARCH(Tempset!$M$4,AM236,1),""))</f>
        <v>1</v>
      </c>
      <c r="AY236" s="63">
        <f>IF(AX236=1,COUNTIF($AX$3:AX236,1),"")</f>
        <v>234</v>
      </c>
      <c r="AZ236" s="63" t="str">
        <f>IFERROR(INDEX($AM$3:$AM$1165,MATCH(ROWS($AY$3:AY236),$AY$3:$AY$1165,0)),"")</f>
        <v>CSARegulationIndicator</v>
      </c>
    </row>
    <row r="237" spans="39:52" x14ac:dyDescent="0.2">
      <c r="AM237" s="63" t="s">
        <v>1466</v>
      </c>
      <c r="AN237" s="63" t="s">
        <v>1467</v>
      </c>
      <c r="AO237" s="63" t="s">
        <v>1468</v>
      </c>
      <c r="AP237" s="63" t="s">
        <v>692</v>
      </c>
      <c r="AQ237" s="63">
        <v>1</v>
      </c>
      <c r="AR237" s="63"/>
      <c r="AS237" s="63"/>
      <c r="AT237" s="63"/>
      <c r="AV237" s="63"/>
      <c r="AW237" s="63"/>
      <c r="AX237" s="63">
        <f>--ISNUMBER(IFERROR(SEARCH(Tempset!$M$4,AM237,1),""))</f>
        <v>1</v>
      </c>
      <c r="AY237" s="63">
        <f>IF(AX237=1,COUNTIF($AX$3:AX237,1),"")</f>
        <v>235</v>
      </c>
      <c r="AZ237" s="63" t="str">
        <f>IFERROR(INDEX($AM$3:$AM$1165,MATCH(ROWS($AY$3:AY237),$AY$3:$AY$1165,0)),"")</f>
        <v>CSID</v>
      </c>
    </row>
    <row r="238" spans="39:52" x14ac:dyDescent="0.2">
      <c r="AM238" s="63" t="s">
        <v>1469</v>
      </c>
      <c r="AN238" s="63" t="s">
        <v>1470</v>
      </c>
      <c r="AO238" s="63" t="s">
        <v>1471</v>
      </c>
      <c r="AP238" s="63" t="s">
        <v>538</v>
      </c>
      <c r="AQ238" s="63">
        <v>2</v>
      </c>
      <c r="AR238" s="63"/>
      <c r="AS238" s="63"/>
      <c r="AT238" s="63"/>
      <c r="AV238" s="63"/>
      <c r="AW238" s="63"/>
      <c r="AX238" s="63">
        <f>--ISNUMBER(IFERROR(SEARCH(Tempset!$M$4,AM238,1),""))</f>
        <v>1</v>
      </c>
      <c r="AY238" s="63">
        <f>IF(AX238=1,COUNTIF($AX$3:AX238,1),"")</f>
        <v>236</v>
      </c>
      <c r="AZ238" s="63" t="str">
        <f>IFERROR(INDEX($AM$3:$AM$1165,MATCH(ROWS($AY$3:AY238),$AY$3:$AY$1165,0)),"")</f>
        <v>CSOwnIssuanceFlag</v>
      </c>
    </row>
    <row r="239" spans="39:52" x14ac:dyDescent="0.2">
      <c r="AM239" s="63" t="s">
        <v>1472</v>
      </c>
      <c r="AN239" s="63" t="s">
        <v>1473</v>
      </c>
      <c r="AO239" s="63" t="s">
        <v>1474</v>
      </c>
      <c r="AP239" s="63" t="s">
        <v>422</v>
      </c>
      <c r="AQ239" s="63">
        <v>3</v>
      </c>
      <c r="AR239" s="63"/>
      <c r="AS239" s="63"/>
      <c r="AT239" s="63"/>
      <c r="AV239" s="63"/>
      <c r="AW239" s="63"/>
      <c r="AX239" s="63">
        <f>--ISNUMBER(IFERROR(SEARCH(Tempset!$M$4,AM239,1),""))</f>
        <v>1</v>
      </c>
      <c r="AY239" s="63">
        <f>IF(AX239=1,COUNTIF($AX$3:AX239,1),"")</f>
        <v>237</v>
      </c>
      <c r="AZ239" s="63" t="str">
        <f>IFERROR(INDEX($AM$3:$AM$1165,MATCH(ROWS($AY$3:AY239),$AY$3:$AY$1165,0)),"")</f>
        <v>CSSubScenario</v>
      </c>
    </row>
    <row r="240" spans="39:52" x14ac:dyDescent="0.2">
      <c r="AM240" s="63" t="s">
        <v>1475</v>
      </c>
      <c r="AN240" s="63" t="s">
        <v>1476</v>
      </c>
      <c r="AO240" s="63" t="s">
        <v>1477</v>
      </c>
      <c r="AP240" s="63" t="s">
        <v>866</v>
      </c>
      <c r="AQ240" s="63">
        <v>4</v>
      </c>
      <c r="AR240" s="63"/>
      <c r="AS240" s="63"/>
      <c r="AT240" s="63"/>
      <c r="AV240" s="63"/>
      <c r="AW240" s="63"/>
      <c r="AX240" s="63">
        <f>--ISNUMBER(IFERROR(SEARCH(Tempset!$M$4,AM240,1),""))</f>
        <v>1</v>
      </c>
      <c r="AY240" s="63">
        <f>IF(AX240=1,COUNTIF($AX$3:AX240,1),"")</f>
        <v>238</v>
      </c>
      <c r="AZ240" s="63" t="str">
        <f>IFERROR(INDEX($AM$3:$AM$1165,MATCH(ROWS($AY$3:AY240),$AY$3:$AY$1165,0)),"")</f>
        <v>CSThresholdAmount</v>
      </c>
    </row>
    <row r="241" spans="39:52" x14ac:dyDescent="0.2">
      <c r="AM241" s="63" t="s">
        <v>1478</v>
      </c>
      <c r="AN241" s="63" t="s">
        <v>1479</v>
      </c>
      <c r="AO241" s="63" t="s">
        <v>1480</v>
      </c>
      <c r="AP241" s="63" t="s">
        <v>1036</v>
      </c>
      <c r="AQ241" s="63">
        <v>2</v>
      </c>
      <c r="AR241" s="63"/>
      <c r="AS241" s="63"/>
      <c r="AT241" s="63"/>
      <c r="AV241" s="63"/>
      <c r="AW241" s="63"/>
      <c r="AX241" s="63">
        <f>--ISNUMBER(IFERROR(SEARCH(Tempset!$M$4,AM241,1),""))</f>
        <v>1</v>
      </c>
      <c r="AY241" s="63">
        <f>IF(AX241=1,COUNTIF($AX$3:AX241,1),"")</f>
        <v>239</v>
      </c>
      <c r="AZ241" s="63" t="str">
        <f>IFERROR(INDEX($AM$3:$AM$1165,MATCH(ROWS($AY$3:AY241),$AY$3:$AY$1165,0)),"")</f>
        <v>cumulativeLossAmount</v>
      </c>
    </row>
    <row r="242" spans="39:52" x14ac:dyDescent="0.2">
      <c r="AM242" s="63" t="s">
        <v>1481</v>
      </c>
      <c r="AN242" s="63" t="s">
        <v>1482</v>
      </c>
      <c r="AO242" s="63" t="s">
        <v>1483</v>
      </c>
      <c r="AP242" s="63" t="s">
        <v>580</v>
      </c>
      <c r="AQ242" s="63">
        <v>3</v>
      </c>
      <c r="AR242" s="63"/>
      <c r="AS242" s="63"/>
      <c r="AT242" s="63"/>
      <c r="AV242" s="63"/>
      <c r="AW242" s="63"/>
      <c r="AX242" s="63">
        <f>--ISNUMBER(IFERROR(SEARCH(Tempset!$M$4,AM242,1),""))</f>
        <v>1</v>
      </c>
      <c r="AY242" s="63">
        <f>IF(AX242=1,COUNTIF($AX$3:AX242,1),"")</f>
        <v>240</v>
      </c>
      <c r="AZ242" s="63" t="str">
        <f>IFERROR(INDEX($AM$3:$AM$1165,MATCH(ROWS($AY$3:AY242),$AY$3:$AY$1165,0)),"")</f>
        <v>currencyCode</v>
      </c>
    </row>
    <row r="243" spans="39:52" x14ac:dyDescent="0.2">
      <c r="AM243" s="63" t="s">
        <v>1484</v>
      </c>
      <c r="AN243" s="63" t="s">
        <v>1485</v>
      </c>
      <c r="AO243" s="63" t="s">
        <v>1486</v>
      </c>
      <c r="AP243" s="63" t="s">
        <v>370</v>
      </c>
      <c r="AQ243" s="63">
        <v>3</v>
      </c>
      <c r="AR243" s="63"/>
      <c r="AS243" s="63"/>
      <c r="AT243" s="63"/>
      <c r="AV243" s="63"/>
      <c r="AW243" s="63"/>
      <c r="AX243" s="63">
        <f>--ISNUMBER(IFERROR(SEARCH(Tempset!$M$4,AM243,1),""))</f>
        <v>1</v>
      </c>
      <c r="AY243" s="63">
        <f>IF(AX243=1,COUNTIF($AX$3:AX243,1),"")</f>
        <v>241</v>
      </c>
      <c r="AZ243" s="63" t="str">
        <f>IFERROR(INDEX($AM$3:$AM$1165,MATCH(ROWS($AY$3:AY243),$AY$3:$AY$1165,0)),"")</f>
        <v>currencyLambdaAdjustment</v>
      </c>
    </row>
    <row r="244" spans="39:52" x14ac:dyDescent="0.2">
      <c r="AM244" s="63" t="s">
        <v>1487</v>
      </c>
      <c r="AN244" s="63" t="s">
        <v>1488</v>
      </c>
      <c r="AO244" s="63" t="s">
        <v>1489</v>
      </c>
      <c r="AP244" s="63" t="s">
        <v>407</v>
      </c>
      <c r="AQ244" s="63">
        <v>3</v>
      </c>
      <c r="AR244" s="63"/>
      <c r="AS244" s="63"/>
      <c r="AT244" s="63"/>
      <c r="AV244" s="63"/>
      <c r="AW244" s="63"/>
      <c r="AX244" s="63">
        <f>--ISNUMBER(IFERROR(SEARCH(Tempset!$M$4,AM244,1),""))</f>
        <v>1</v>
      </c>
      <c r="AY244" s="63">
        <f>IF(AX244=1,COUNTIF($AX$3:AX244,1),"")</f>
        <v>242</v>
      </c>
      <c r="AZ244" s="63" t="str">
        <f>IFERROR(INDEX($AM$3:$AM$1165,MATCH(ROWS($AY$3:AY244),$AY$3:$AY$1165,0)),"")</f>
        <v>currencyOfListing</v>
      </c>
    </row>
    <row r="245" spans="39:52" x14ac:dyDescent="0.2">
      <c r="AM245" s="63" t="s">
        <v>1490</v>
      </c>
      <c r="AN245" s="63" t="s">
        <v>1491</v>
      </c>
      <c r="AO245" s="63" t="s">
        <v>1492</v>
      </c>
      <c r="AP245" s="63" t="s">
        <v>1122</v>
      </c>
      <c r="AQ245" s="63">
        <v>2</v>
      </c>
      <c r="AR245" s="63"/>
      <c r="AS245" s="63"/>
      <c r="AT245" s="63"/>
      <c r="AV245" s="63"/>
      <c r="AW245" s="63"/>
      <c r="AX245" s="63">
        <f>--ISNUMBER(IFERROR(SEARCH(Tempset!$M$4,AM245,1),""))</f>
        <v>1</v>
      </c>
      <c r="AY245" s="63">
        <f>IF(AX245=1,COUNTIF($AX$3:AX245,1),"")</f>
        <v>243</v>
      </c>
      <c r="AZ245" s="63" t="str">
        <f>IFERROR(INDEX($AM$3:$AM$1165,MATCH(ROWS($AY$3:AY245),$AY$3:$AY$1165,0)),"")</f>
        <v>currencyPair</v>
      </c>
    </row>
    <row r="246" spans="39:52" x14ac:dyDescent="0.2">
      <c r="AM246" s="63" t="s">
        <v>1493</v>
      </c>
      <c r="AN246" s="63" t="s">
        <v>1494</v>
      </c>
      <c r="AO246" s="63" t="s">
        <v>1495</v>
      </c>
      <c r="AP246" s="63" t="s">
        <v>941</v>
      </c>
      <c r="AQ246" s="63">
        <v>1</v>
      </c>
      <c r="AR246" s="63"/>
      <c r="AS246" s="63"/>
      <c r="AT246" s="63"/>
      <c r="AV246" s="63"/>
      <c r="AW246" s="63"/>
      <c r="AX246" s="63">
        <f>--ISNUMBER(IFERROR(SEARCH(Tempset!$M$4,AM246,1),""))</f>
        <v>1</v>
      </c>
      <c r="AY246" s="63">
        <f>IF(AX246=1,COUNTIF($AX$3:AX246,1),"")</f>
        <v>244</v>
      </c>
      <c r="AZ246" s="63" t="str">
        <f>IFERROR(INDEX($AM$3:$AM$1165,MATCH(ROWS($AY$3:AY246),$AY$3:$AY$1165,0)),"")</f>
        <v>currentCreditBureauScore</v>
      </c>
    </row>
    <row r="247" spans="39:52" x14ac:dyDescent="0.2">
      <c r="AM247" s="63" t="s">
        <v>1496</v>
      </c>
      <c r="AN247" s="63" t="s">
        <v>1497</v>
      </c>
      <c r="AO247" s="63" t="s">
        <v>1498</v>
      </c>
      <c r="AP247" s="63" t="s">
        <v>407</v>
      </c>
      <c r="AQ247" s="63">
        <v>1</v>
      </c>
      <c r="AR247" s="63"/>
      <c r="AS247" s="63"/>
      <c r="AT247" s="63"/>
      <c r="AV247" s="63"/>
      <c r="AW247" s="63"/>
      <c r="AX247" s="63">
        <f>--ISNUMBER(IFERROR(SEARCH(Tempset!$M$4,AM247,1),""))</f>
        <v>1</v>
      </c>
      <c r="AY247" s="63">
        <f>IF(AX247=1,COUNTIF($AX$3:AX247,1),"")</f>
        <v>245</v>
      </c>
      <c r="AZ247" s="63" t="str">
        <f>IFERROR(INDEX($AM$3:$AM$1165,MATCH(ROWS($AY$3:AY247),$AY$3:$AY$1165,0)),"")</f>
        <v>currentExposureValue</v>
      </c>
    </row>
    <row r="248" spans="39:52" x14ac:dyDescent="0.2">
      <c r="AM248" s="63" t="s">
        <v>1499</v>
      </c>
      <c r="AN248" s="63" t="s">
        <v>1500</v>
      </c>
      <c r="AO248" s="63" t="s">
        <v>1501</v>
      </c>
      <c r="AP248" s="63" t="s">
        <v>668</v>
      </c>
      <c r="AQ248" s="63">
        <v>2</v>
      </c>
      <c r="AR248" s="63"/>
      <c r="AS248" s="63"/>
      <c r="AT248" s="63"/>
      <c r="AV248" s="63"/>
      <c r="AW248" s="63"/>
      <c r="AX248" s="63">
        <f>--ISNUMBER(IFERROR(SEARCH(Tempset!$M$4,AM248,1),""))</f>
        <v>1</v>
      </c>
      <c r="AY248" s="63">
        <f>IF(AX248=1,COUNTIF($AX$3:AX248,1),"")</f>
        <v>246</v>
      </c>
      <c r="AZ248" s="63" t="str">
        <f>IFERROR(INDEX($AM$3:$AM$1165,MATCH(ROWS($AY$3:AY248),$AY$3:$AY$1165,0)),"")</f>
        <v>currentIRCRating</v>
      </c>
    </row>
    <row r="249" spans="39:52" x14ac:dyDescent="0.2">
      <c r="AM249" s="63" t="s">
        <v>1502</v>
      </c>
      <c r="AN249" s="63" t="s">
        <v>1503</v>
      </c>
      <c r="AO249" s="63" t="s">
        <v>1504</v>
      </c>
      <c r="AP249" s="63" t="s">
        <v>324</v>
      </c>
      <c r="AQ249" s="63">
        <v>3</v>
      </c>
      <c r="AR249" s="63"/>
      <c r="AS249" s="63"/>
      <c r="AT249" s="63"/>
      <c r="AV249" s="63"/>
      <c r="AW249" s="63"/>
      <c r="AX249" s="63">
        <f>--ISNUMBER(IFERROR(SEARCH(Tempset!$M$4,AM249,1),""))</f>
        <v>1</v>
      </c>
      <c r="AY249" s="63">
        <f>IF(AX249=1,COUNTIF($AX$3:AX249,1),"")</f>
        <v>247</v>
      </c>
      <c r="AZ249" s="63" t="str">
        <f>IFERROR(INDEX($AM$3:$AM$1165,MATCH(ROWS($AY$3:AY249),$AY$3:$AY$1165,0)),"")</f>
        <v>currentMonthExposure</v>
      </c>
    </row>
    <row r="250" spans="39:52" x14ac:dyDescent="0.2">
      <c r="AM250" s="63" t="s">
        <v>1505</v>
      </c>
      <c r="AN250" s="63" t="s">
        <v>1506</v>
      </c>
      <c r="AO250" s="63" t="s">
        <v>1507</v>
      </c>
      <c r="AP250" s="63" t="s">
        <v>309</v>
      </c>
      <c r="AQ250" s="63">
        <v>2</v>
      </c>
      <c r="AR250" s="63"/>
      <c r="AS250" s="63"/>
      <c r="AT250" s="63"/>
      <c r="AV250" s="63"/>
      <c r="AW250" s="63"/>
      <c r="AX250" s="63">
        <f>--ISNUMBER(IFERROR(SEARCH(Tempset!$M$4,AM250,1),""))</f>
        <v>1</v>
      </c>
      <c r="AY250" s="63">
        <f>IF(AX250=1,COUNTIF($AX$3:AX250,1),"")</f>
        <v>248</v>
      </c>
      <c r="AZ250" s="63" t="str">
        <f>IFERROR(INDEX($AM$3:$AM$1165,MATCH(ROWS($AY$3:AY250),$AY$3:$AY$1165,0)),"")</f>
        <v>currTempResidualValue</v>
      </c>
    </row>
    <row r="251" spans="39:52" x14ac:dyDescent="0.2">
      <c r="AM251" s="63" t="s">
        <v>1508</v>
      </c>
      <c r="AN251" s="63" t="s">
        <v>1509</v>
      </c>
      <c r="AO251" s="63" t="s">
        <v>1510</v>
      </c>
      <c r="AP251" s="63" t="s">
        <v>422</v>
      </c>
      <c r="AQ251" s="63">
        <v>1</v>
      </c>
      <c r="AR251" s="63"/>
      <c r="AS251" s="63"/>
      <c r="AT251" s="63"/>
      <c r="AV251" s="63"/>
      <c r="AW251" s="63"/>
      <c r="AX251" s="63">
        <f>--ISNUMBER(IFERROR(SEARCH(Tempset!$M$4,AM251,1),""))</f>
        <v>1</v>
      </c>
      <c r="AY251" s="63">
        <f>IF(AX251=1,COUNTIF($AX$3:AX251,1),"")</f>
        <v>249</v>
      </c>
      <c r="AZ251" s="63" t="str">
        <f>IFERROR(INDEX($AM$3:$AM$1165,MATCH(ROWS($AY$3:AY251),$AY$3:$AY$1165,0)),"")</f>
        <v>curveId</v>
      </c>
    </row>
    <row r="252" spans="39:52" x14ac:dyDescent="0.2">
      <c r="AM252" s="63" t="s">
        <v>1511</v>
      </c>
      <c r="AN252" s="63" t="s">
        <v>1512</v>
      </c>
      <c r="AO252" s="63" t="s">
        <v>1513</v>
      </c>
      <c r="AP252" s="63" t="s">
        <v>692</v>
      </c>
      <c r="AQ252" s="63">
        <v>2</v>
      </c>
      <c r="AR252" s="63"/>
      <c r="AS252" s="63"/>
      <c r="AT252" s="63"/>
      <c r="AV252" s="63"/>
      <c r="AW252" s="63"/>
      <c r="AX252" s="63">
        <f>--ISNUMBER(IFERROR(SEARCH(Tempset!$M$4,AM252,1),""))</f>
        <v>1</v>
      </c>
      <c r="AY252" s="63">
        <f>IF(AX252=1,COUNTIF($AX$3:AX252,1),"")</f>
        <v>250</v>
      </c>
      <c r="AZ252" s="63" t="str">
        <f>IFERROR(INDEX($AM$3:$AM$1165,MATCH(ROWS($AY$3:AY252),$AY$3:$AY$1165,0)),"")</f>
        <v>curveIdType</v>
      </c>
    </row>
    <row r="253" spans="39:52" x14ac:dyDescent="0.2">
      <c r="AM253" s="63" t="s">
        <v>1514</v>
      </c>
      <c r="AN253" s="63" t="s">
        <v>1515</v>
      </c>
      <c r="AO253" s="63" t="s">
        <v>1516</v>
      </c>
      <c r="AP253" s="63" t="s">
        <v>692</v>
      </c>
      <c r="AQ253" s="63">
        <v>1</v>
      </c>
      <c r="AR253" s="63"/>
      <c r="AS253" s="63"/>
      <c r="AT253" s="63"/>
      <c r="AV253" s="63"/>
      <c r="AW253" s="63"/>
      <c r="AX253" s="63">
        <f>--ISNUMBER(IFERROR(SEARCH(Tempset!$M$4,AM253,1),""))</f>
        <v>1</v>
      </c>
      <c r="AY253" s="63">
        <f>IF(AX253=1,COUNTIF($AX$3:AX253,1),"")</f>
        <v>251</v>
      </c>
      <c r="AZ253" s="63" t="str">
        <f>IFERROR(INDEX($AM$3:$AM$1165,MATCH(ROWS($AY$3:AY253),$AY$3:$AY$1165,0)),"")</f>
        <v>curveIndex</v>
      </c>
    </row>
    <row r="254" spans="39:52" x14ac:dyDescent="0.2">
      <c r="AM254" s="63" t="s">
        <v>1517</v>
      </c>
      <c r="AN254" s="63" t="s">
        <v>1518</v>
      </c>
      <c r="AO254" s="63"/>
      <c r="AP254" s="63"/>
      <c r="AQ254" s="63"/>
      <c r="AR254" s="63"/>
      <c r="AS254" s="63"/>
      <c r="AT254" s="63"/>
      <c r="AV254" s="63"/>
      <c r="AW254" s="63"/>
      <c r="AX254" s="63">
        <f>--ISNUMBER(IFERROR(SEARCH(Tempset!$M$4,AM254,1),""))</f>
        <v>1</v>
      </c>
      <c r="AY254" s="63">
        <f>IF(AX254=1,COUNTIF($AX$3:AX254,1),"")</f>
        <v>252</v>
      </c>
      <c r="AZ254" s="63" t="str">
        <f>IFERROR(INDEX($AM$3:$AM$1165,MATCH(ROWS($AY$3:AY254),$AY$3:$AY$1165,0)),"")</f>
        <v>curveTenor</v>
      </c>
    </row>
    <row r="255" spans="39:52" x14ac:dyDescent="0.2">
      <c r="AM255" s="63" t="s">
        <v>1519</v>
      </c>
      <c r="AN255" s="63" t="s">
        <v>1520</v>
      </c>
      <c r="AO255" s="63"/>
      <c r="AP255" s="63"/>
      <c r="AQ255" s="63"/>
      <c r="AR255" s="63"/>
      <c r="AS255" s="63"/>
      <c r="AT255" s="63"/>
      <c r="AV255" s="63"/>
      <c r="AW255" s="63"/>
      <c r="AX255" s="63">
        <f>--ISNUMBER(IFERROR(SEARCH(Tempset!$M$4,AM255,1),""))</f>
        <v>1</v>
      </c>
      <c r="AY255" s="63">
        <f>IF(AX255=1,COUNTIF($AX$3:AX255,1),"")</f>
        <v>253</v>
      </c>
      <c r="AZ255" s="63" t="str">
        <f>IFERROR(INDEX($AM$3:$AM$1165,MATCH(ROWS($AY$3:AY255),$AY$3:$AY$1165,0)),"")</f>
        <v>curveType</v>
      </c>
    </row>
    <row r="256" spans="39:52" x14ac:dyDescent="0.2">
      <c r="AM256" s="63" t="s">
        <v>1521</v>
      </c>
      <c r="AN256" s="63" t="s">
        <v>1522</v>
      </c>
      <c r="AO256" s="63"/>
      <c r="AP256" s="63"/>
      <c r="AQ256" s="63"/>
      <c r="AR256" s="63"/>
      <c r="AS256" s="63"/>
      <c r="AT256" s="63"/>
      <c r="AV256" s="63"/>
      <c r="AW256" s="63"/>
      <c r="AX256" s="63">
        <f>--ISNUMBER(IFERROR(SEARCH(Tempset!$M$4,AM256,1),""))</f>
        <v>1</v>
      </c>
      <c r="AY256" s="63">
        <f>IF(AX256=1,COUNTIF($AX$3:AX256,1),"")</f>
        <v>254</v>
      </c>
      <c r="AZ256" s="63" t="str">
        <f>IFERROR(INDEX($AM$3:$AM$1165,MATCH(ROWS($AY$3:AY256),$AY$3:$AY$1165,0)),"")</f>
        <v>custodianBIC</v>
      </c>
    </row>
    <row r="257" spans="39:52" x14ac:dyDescent="0.2">
      <c r="AM257" s="63" t="s">
        <v>1523</v>
      </c>
      <c r="AN257" s="63" t="s">
        <v>1524</v>
      </c>
      <c r="AO257" s="63"/>
      <c r="AP257" s="63"/>
      <c r="AQ257" s="63"/>
      <c r="AR257" s="63"/>
      <c r="AS257" s="63"/>
      <c r="AT257" s="63"/>
      <c r="AV257" s="63"/>
      <c r="AW257" s="63"/>
      <c r="AX257" s="63">
        <f>--ISNUMBER(IFERROR(SEARCH(Tempset!$M$4,AM257,1),""))</f>
        <v>1</v>
      </c>
      <c r="AY257" s="63">
        <f>IF(AX257=1,COUNTIF($AX$3:AX257,1),"")</f>
        <v>255</v>
      </c>
      <c r="AZ257" s="63" t="str">
        <f>IFERROR(INDEX($AM$3:$AM$1165,MATCH(ROWS($AY$3:AY257),$AY$3:$AY$1165,0)),"")</f>
        <v>customerAccountId</v>
      </c>
    </row>
    <row r="258" spans="39:52" x14ac:dyDescent="0.2">
      <c r="AM258" s="63" t="s">
        <v>1525</v>
      </c>
      <c r="AN258" s="63" t="s">
        <v>1526</v>
      </c>
      <c r="AO258" s="63"/>
      <c r="AP258" s="63"/>
      <c r="AQ258" s="63"/>
      <c r="AR258" s="63"/>
      <c r="AS258" s="63"/>
      <c r="AT258" s="63"/>
      <c r="AV258" s="63"/>
      <c r="AW258" s="63"/>
      <c r="AX258" s="63">
        <f>--ISNUMBER(IFERROR(SEARCH(Tempset!$M$4,AM258,1),""))</f>
        <v>1</v>
      </c>
      <c r="AY258" s="63">
        <f>IF(AX258=1,COUNTIF($AX$3:AX258,1),"")</f>
        <v>256</v>
      </c>
      <c r="AZ258" s="63" t="str">
        <f>IFERROR(INDEX($AM$3:$AM$1165,MATCH(ROWS($AY$3:AY258),$AY$3:$AY$1165,0)),"")</f>
        <v>customerOfficeId</v>
      </c>
    </row>
    <row r="259" spans="39:52" x14ac:dyDescent="0.2">
      <c r="AM259" s="63" t="s">
        <v>1527</v>
      </c>
      <c r="AN259" s="63" t="s">
        <v>1528</v>
      </c>
      <c r="AO259" s="63"/>
      <c r="AP259" s="63"/>
      <c r="AQ259" s="63"/>
      <c r="AR259" s="63"/>
      <c r="AS259" s="63"/>
      <c r="AT259" s="63"/>
      <c r="AV259" s="63"/>
      <c r="AW259" s="63"/>
      <c r="AX259" s="63">
        <f>--ISNUMBER(IFERROR(SEARCH(Tempset!$M$4,AM259,1),""))</f>
        <v>1</v>
      </c>
      <c r="AY259" s="63">
        <f>IF(AX259=1,COUNTIF($AX$3:AX259,1),"")</f>
        <v>257</v>
      </c>
      <c r="AZ259" s="63" t="str">
        <f>IFERROR(INDEX($AM$3:$AM$1165,MATCH(ROWS($AY$3:AY259),$AY$3:$AY$1165,0)),"")</f>
        <v>customerTurnover</v>
      </c>
    </row>
    <row r="260" spans="39:52" x14ac:dyDescent="0.2">
      <c r="AM260" s="63" t="s">
        <v>1529</v>
      </c>
      <c r="AN260" s="63" t="s">
        <v>1530</v>
      </c>
      <c r="AO260" s="63"/>
      <c r="AP260" s="63"/>
      <c r="AQ260" s="63"/>
      <c r="AR260" s="63"/>
      <c r="AS260" s="63"/>
      <c r="AT260" s="63"/>
      <c r="AV260" s="63"/>
      <c r="AW260" s="63"/>
      <c r="AX260" s="63">
        <f>--ISNUMBER(IFERROR(SEARCH(Tempset!$M$4,AM260,1),""))</f>
        <v>1</v>
      </c>
      <c r="AY260" s="63">
        <f>IF(AX260=1,COUNTIF($AX$3:AX260,1),"")</f>
        <v>258</v>
      </c>
      <c r="AZ260" s="63" t="str">
        <f>IFERROR(INDEX($AM$3:$AM$1165,MATCH(ROWS($AY$3:AY260),$AY$3:$AY$1165,0)),"")</f>
        <v>customerTypeCode</v>
      </c>
    </row>
    <row r="261" spans="39:52" x14ac:dyDescent="0.2">
      <c r="AM261" s="63" t="s">
        <v>1531</v>
      </c>
      <c r="AN261" s="63" t="s">
        <v>1532</v>
      </c>
      <c r="AO261" s="63"/>
      <c r="AP261" s="63"/>
      <c r="AQ261" s="63"/>
      <c r="AR261" s="63"/>
      <c r="AS261" s="63"/>
      <c r="AT261" s="63"/>
      <c r="AV261" s="63"/>
      <c r="AW261" s="63"/>
      <c r="AX261" s="63">
        <f>--ISNUMBER(IFERROR(SEARCH(Tempset!$M$4,AM261,1),""))</f>
        <v>1</v>
      </c>
      <c r="AY261" s="63">
        <f>IF(AX261=1,COUNTIF($AX$3:AX261,1),"")</f>
        <v>259</v>
      </c>
      <c r="AZ261" s="63" t="str">
        <f>IFERROR(INDEX($AM$3:$AM$1165,MATCH(ROWS($AY$3:AY261),$AY$3:$AY$1165,0)),"")</f>
        <v>CVAVaRValue</v>
      </c>
    </row>
    <row r="262" spans="39:52" x14ac:dyDescent="0.2">
      <c r="AM262" s="63" t="s">
        <v>1533</v>
      </c>
      <c r="AN262" s="63" t="s">
        <v>1534</v>
      </c>
      <c r="AO262" s="63"/>
      <c r="AP262" s="63"/>
      <c r="AQ262" s="63"/>
      <c r="AR262" s="63"/>
      <c r="AS262" s="63"/>
      <c r="AT262" s="63"/>
      <c r="AV262" s="63"/>
      <c r="AW262" s="63"/>
      <c r="AX262" s="63">
        <f>--ISNUMBER(IFERROR(SEARCH(Tempset!$M$4,AM262,1),""))</f>
        <v>1</v>
      </c>
      <c r="AY262" s="63">
        <f>IF(AX262=1,COUNTIF($AX$3:AX262,1),"")</f>
        <v>260</v>
      </c>
      <c r="AZ262" s="63" t="str">
        <f>IFERROR(INDEX($AM$3:$AM$1165,MATCH(ROWS($AY$3:AY262),$AY$3:$AY$1165,0)),"")</f>
        <v>CVAVaRValueCurrency</v>
      </c>
    </row>
    <row r="263" spans="39:52" x14ac:dyDescent="0.2">
      <c r="AM263" s="63" t="s">
        <v>1535</v>
      </c>
      <c r="AN263" s="63" t="s">
        <v>1536</v>
      </c>
      <c r="AO263" s="63"/>
      <c r="AP263" s="63"/>
      <c r="AQ263" s="63"/>
      <c r="AR263" s="63"/>
      <c r="AS263" s="63"/>
      <c r="AT263" s="63"/>
      <c r="AV263" s="63"/>
      <c r="AW263" s="63"/>
      <c r="AX263" s="63">
        <f>--ISNUMBER(IFERROR(SEARCH(Tempset!$M$4,AM263,1),""))</f>
        <v>1</v>
      </c>
      <c r="AY263" s="63">
        <f>IF(AX263=1,COUNTIF($AX$3:AX263,1),"")</f>
        <v>261</v>
      </c>
      <c r="AZ263" s="63" t="str">
        <f>IFERROR(INDEX($AM$3:$AM$1165,MATCH(ROWS($AY$3:AY263),$AY$3:$AY$1165,0)),"")</f>
        <v>DARCalculationMethod</v>
      </c>
    </row>
    <row r="264" spans="39:52" x14ac:dyDescent="0.2">
      <c r="AM264" s="63" t="s">
        <v>1537</v>
      </c>
      <c r="AN264" s="63" t="s">
        <v>1538</v>
      </c>
      <c r="AO264" s="63"/>
      <c r="AP264" s="63"/>
      <c r="AQ264" s="63"/>
      <c r="AR264" s="63"/>
      <c r="AS264" s="63"/>
      <c r="AT264" s="63"/>
      <c r="AV264" s="63"/>
      <c r="AW264" s="63"/>
      <c r="AX264" s="63">
        <f>--ISNUMBER(IFERROR(SEARCH(Tempset!$M$4,AM264,1),""))</f>
        <v>1</v>
      </c>
      <c r="AY264" s="63">
        <f>IF(AX264=1,COUNTIF($AX$3:AX264,1),"")</f>
        <v>262</v>
      </c>
      <c r="AZ264" s="63" t="str">
        <f>IFERROR(INDEX($AM$3:$AM$1165,MATCH(ROWS($AY$3:AY264),$AY$3:$AY$1165,0)),"")</f>
        <v>DARValue</v>
      </c>
    </row>
    <row r="265" spans="39:52" x14ac:dyDescent="0.2">
      <c r="AM265" s="63" t="s">
        <v>1539</v>
      </c>
      <c r="AN265" s="63" t="s">
        <v>1540</v>
      </c>
      <c r="AO265" s="63"/>
      <c r="AP265" s="63"/>
      <c r="AQ265" s="63"/>
      <c r="AR265" s="63"/>
      <c r="AS265" s="63"/>
      <c r="AT265" s="63"/>
      <c r="AV265" s="63"/>
      <c r="AW265" s="63"/>
      <c r="AX265" s="63">
        <f>--ISNUMBER(IFERROR(SEARCH(Tempset!$M$4,AM265,1),""))</f>
        <v>1</v>
      </c>
      <c r="AY265" s="63">
        <f>IF(AX265=1,COUNTIF($AX$3:AX265,1),"")</f>
        <v>263</v>
      </c>
      <c r="AZ265" s="63" t="str">
        <f>IFERROR(INDEX($AM$3:$AM$1165,MATCH(ROWS($AY$3:AY265),$AY$3:$AY$1165,0)),"")</f>
        <v>dateOfDefault</v>
      </c>
    </row>
    <row r="266" spans="39:52" x14ac:dyDescent="0.2">
      <c r="AM266" s="63" t="s">
        <v>1541</v>
      </c>
      <c r="AN266" s="63" t="s">
        <v>1542</v>
      </c>
      <c r="AO266" s="63"/>
      <c r="AP266" s="63"/>
      <c r="AQ266" s="63"/>
      <c r="AR266" s="63"/>
      <c r="AS266" s="63"/>
      <c r="AT266" s="63"/>
      <c r="AV266" s="63"/>
      <c r="AW266" s="63"/>
      <c r="AX266" s="63">
        <f>--ISNUMBER(IFERROR(SEARCH(Tempset!$M$4,AM266,1),""))</f>
        <v>1</v>
      </c>
      <c r="AY266" s="63">
        <f>IF(AX266=1,COUNTIF($AX$3:AX266,1),"")</f>
        <v>264</v>
      </c>
      <c r="AZ266" s="63" t="str">
        <f>IFERROR(INDEX($AM$3:$AM$1165,MATCH(ROWS($AY$3:AY266),$AY$3:$AY$1165,0)),"")</f>
        <v>dealBreakupProbability</v>
      </c>
    </row>
    <row r="267" spans="39:52" x14ac:dyDescent="0.2">
      <c r="AM267" s="63" t="s">
        <v>1543</v>
      </c>
      <c r="AN267" s="63" t="s">
        <v>1544</v>
      </c>
      <c r="AO267" s="63"/>
      <c r="AP267" s="63"/>
      <c r="AQ267" s="63"/>
      <c r="AR267" s="63"/>
      <c r="AS267" s="63"/>
      <c r="AT267" s="63"/>
      <c r="AV267" s="63"/>
      <c r="AW267" s="63"/>
      <c r="AX267" s="63">
        <f>--ISNUMBER(IFERROR(SEARCH(Tempset!$M$4,AM267,1),""))</f>
        <v>1</v>
      </c>
      <c r="AY267" s="63">
        <f>IF(AX267=1,COUNTIF($AX$3:AX267,1),"")</f>
        <v>265</v>
      </c>
      <c r="AZ267" s="63" t="str">
        <f>IFERROR(INDEX($AM$3:$AM$1165,MATCH(ROWS($AY$3:AY267),$AY$3:$AY$1165,0)),"")</f>
        <v>dealClassificationType</v>
      </c>
    </row>
    <row r="268" spans="39:52" x14ac:dyDescent="0.2">
      <c r="AM268" s="63" t="s">
        <v>1545</v>
      </c>
      <c r="AN268" s="63" t="s">
        <v>1546</v>
      </c>
      <c r="AO268" s="63"/>
      <c r="AP268" s="63"/>
      <c r="AQ268" s="63"/>
      <c r="AR268" s="63"/>
      <c r="AS268" s="63"/>
      <c r="AT268" s="63"/>
      <c r="AV268" s="63"/>
      <c r="AW268" s="63"/>
      <c r="AX268" s="63">
        <f>--ISNUMBER(IFERROR(SEARCH(Tempset!$M$4,AM268,1),""))</f>
        <v>1</v>
      </c>
      <c r="AY268" s="63">
        <f>IF(AX268=1,COUNTIF($AX$3:AX268,1),"")</f>
        <v>266</v>
      </c>
      <c r="AZ268" s="63" t="str">
        <f>IFERROR(INDEX($AM$3:$AM$1165,MATCH(ROWS($AY$3:AY268),$AY$3:$AY$1165,0)),"")</f>
        <v>dealerOffshoreFlag</v>
      </c>
    </row>
    <row r="269" spans="39:52" x14ac:dyDescent="0.2">
      <c r="AM269" s="63" t="s">
        <v>1547</v>
      </c>
      <c r="AN269" s="63" t="s">
        <v>1548</v>
      </c>
      <c r="AO269" s="63"/>
      <c r="AP269" s="63"/>
      <c r="AQ269" s="63"/>
      <c r="AR269" s="63"/>
      <c r="AS269" s="63"/>
      <c r="AT269" s="63"/>
      <c r="AV269" s="63"/>
      <c r="AW269" s="63"/>
      <c r="AX269" s="63">
        <f>--ISNUMBER(IFERROR(SEARCH(Tempset!$M$4,AM269,1),""))</f>
        <v>1</v>
      </c>
      <c r="AY269" s="63">
        <f>IF(AX269=1,COUNTIF($AX$3:AX269,1),"")</f>
        <v>267</v>
      </c>
      <c r="AZ269" s="63" t="str">
        <f>IFERROR(INDEX($AM$3:$AM$1165,MATCH(ROWS($AY$3:AY269),$AY$3:$AY$1165,0)),"")</f>
        <v>dealStage</v>
      </c>
    </row>
    <row r="270" spans="39:52" x14ac:dyDescent="0.2">
      <c r="AM270" s="63" t="s">
        <v>1549</v>
      </c>
      <c r="AN270" s="63" t="s">
        <v>1550</v>
      </c>
      <c r="AO270" s="63"/>
      <c r="AP270" s="63"/>
      <c r="AQ270" s="63"/>
      <c r="AR270" s="63"/>
      <c r="AS270" s="63"/>
      <c r="AT270" s="63"/>
      <c r="AV270" s="63"/>
      <c r="AW270" s="63"/>
      <c r="AX270" s="63">
        <f>--ISNUMBER(IFERROR(SEARCH(Tempset!$M$4,AM270,1),""))</f>
        <v>1</v>
      </c>
      <c r="AY270" s="63">
        <f>IF(AX270=1,COUNTIF($AX$3:AX270,1),"")</f>
        <v>268</v>
      </c>
      <c r="AZ270" s="63" t="str">
        <f>IFERROR(INDEX($AM$3:$AM$1165,MATCH(ROWS($AY$3:AY270),$AY$3:$AY$1165,0)),"")</f>
        <v>debtPriorityClass</v>
      </c>
    </row>
    <row r="271" spans="39:52" x14ac:dyDescent="0.2">
      <c r="AM271" s="63" t="s">
        <v>1551</v>
      </c>
      <c r="AN271" s="63" t="s">
        <v>1552</v>
      </c>
      <c r="AO271" s="63"/>
      <c r="AP271" s="63"/>
      <c r="AQ271" s="63"/>
      <c r="AR271" s="63"/>
      <c r="AS271" s="63"/>
      <c r="AT271" s="63"/>
      <c r="AV271" s="63"/>
      <c r="AW271" s="63"/>
      <c r="AX271" s="63">
        <f>--ISNUMBER(IFERROR(SEARCH(Tempset!$M$4,AM271,1),""))</f>
        <v>1</v>
      </c>
      <c r="AY271" s="63">
        <f>IF(AX271=1,COUNTIF($AX$3:AX271,1),"")</f>
        <v>269</v>
      </c>
      <c r="AZ271" s="63" t="str">
        <f>IFERROR(INDEX($AM$3:$AM$1165,MATCH(ROWS($AY$3:AY271),$AY$3:$AY$1165,0)),"")</f>
        <v>debtTypeSeniority</v>
      </c>
    </row>
    <row r="272" spans="39:52" x14ac:dyDescent="0.2">
      <c r="AM272" s="63" t="s">
        <v>1553</v>
      </c>
      <c r="AN272" s="63" t="s">
        <v>1554</v>
      </c>
      <c r="AO272" s="63"/>
      <c r="AP272" s="63"/>
      <c r="AQ272" s="63"/>
      <c r="AR272" s="63"/>
      <c r="AS272" s="63"/>
      <c r="AT272" s="63"/>
      <c r="AV272" s="63"/>
      <c r="AW272" s="63"/>
      <c r="AX272" s="63">
        <f>--ISNUMBER(IFERROR(SEARCH(Tempset!$M$4,AM272,1),""))</f>
        <v>1</v>
      </c>
      <c r="AY272" s="63">
        <f>IF(AX272=1,COUNTIF($AX$3:AX272,1),"")</f>
        <v>270</v>
      </c>
      <c r="AZ272" s="63" t="str">
        <f>IFERROR(INDEX($AM$3:$AM$1165,MATCH(ROWS($AY$3:AY272),$AY$3:$AY$1165,0)),"")</f>
        <v>decayFactor</v>
      </c>
    </row>
    <row r="273" spans="39:52" x14ac:dyDescent="0.2">
      <c r="AM273" s="63" t="s">
        <v>1555</v>
      </c>
      <c r="AN273" s="63" t="s">
        <v>1556</v>
      </c>
      <c r="AO273" s="63"/>
      <c r="AP273" s="63"/>
      <c r="AQ273" s="63"/>
      <c r="AR273" s="63"/>
      <c r="AS273" s="63"/>
      <c r="AT273" s="63"/>
      <c r="AV273" s="63"/>
      <c r="AW273" s="63"/>
      <c r="AX273" s="63">
        <f>--ISNUMBER(IFERROR(SEARCH(Tempset!$M$4,AM273,1),""))</f>
        <v>1</v>
      </c>
      <c r="AY273" s="63">
        <f>IF(AX273=1,COUNTIF($AX$3:AX273,1),"")</f>
        <v>271</v>
      </c>
      <c r="AZ273" s="63" t="str">
        <f>IFERROR(INDEX($AM$3:$AM$1165,MATCH(ROWS($AY$3:AY273),$AY$3:$AY$1165,0)),"")</f>
        <v>DECBDivisionalAllocationKey</v>
      </c>
    </row>
    <row r="274" spans="39:52" x14ac:dyDescent="0.2">
      <c r="AM274" s="63" t="s">
        <v>1557</v>
      </c>
      <c r="AN274" s="63" t="s">
        <v>1558</v>
      </c>
      <c r="AO274" s="63"/>
      <c r="AP274" s="63"/>
      <c r="AQ274" s="63"/>
      <c r="AR274" s="63"/>
      <c r="AS274" s="63"/>
      <c r="AT274" s="63"/>
      <c r="AV274" s="63"/>
      <c r="AW274" s="63"/>
      <c r="AX274" s="63">
        <f>--ISNUMBER(IFERROR(SEARCH(Tempset!$M$4,AM274,1),""))</f>
        <v>1</v>
      </c>
      <c r="AY274" s="63">
        <f>IF(AX274=1,COUNTIF($AX$3:AX274,1),"")</f>
        <v>272</v>
      </c>
      <c r="AZ274" s="63" t="str">
        <f>IFERROR(INDEX($AM$3:$AM$1165,MATCH(ROWS($AY$3:AY274),$AY$3:$AY$1165,0)),"")</f>
        <v>decompStatus</v>
      </c>
    </row>
    <row r="275" spans="39:52" x14ac:dyDescent="0.2">
      <c r="AM275" s="63" t="s">
        <v>1559</v>
      </c>
      <c r="AN275" s="63" t="s">
        <v>1560</v>
      </c>
      <c r="AO275" s="63"/>
      <c r="AP275" s="63"/>
      <c r="AQ275" s="63"/>
      <c r="AR275" s="63"/>
      <c r="AS275" s="63"/>
      <c r="AT275" s="63"/>
      <c r="AV275" s="63"/>
      <c r="AW275" s="63"/>
      <c r="AX275" s="63">
        <f>--ISNUMBER(IFERROR(SEARCH(Tempset!$M$4,AM275,1),""))</f>
        <v>1</v>
      </c>
      <c r="AY275" s="63">
        <f>IF(AX275=1,COUNTIF($AX$3:AX275,1),"")</f>
        <v>273</v>
      </c>
      <c r="AZ275" s="63" t="str">
        <f>IFERROR(INDEX($AM$3:$AM$1165,MATCH(ROWS($AY$3:AY275),$AY$3:$AY$1165,0)),"")</f>
        <v>defaultCCFValue</v>
      </c>
    </row>
    <row r="276" spans="39:52" x14ac:dyDescent="0.2">
      <c r="AM276" s="63" t="s">
        <v>1561</v>
      </c>
      <c r="AN276" s="63" t="s">
        <v>1562</v>
      </c>
      <c r="AO276" s="63"/>
      <c r="AP276" s="63"/>
      <c r="AQ276" s="63"/>
      <c r="AR276" s="63"/>
      <c r="AS276" s="63"/>
      <c r="AT276" s="63"/>
      <c r="AV276" s="63"/>
      <c r="AW276" s="63"/>
      <c r="AX276" s="63">
        <f>--ISNUMBER(IFERROR(SEARCH(Tempset!$M$4,AM276,1),""))</f>
        <v>1</v>
      </c>
      <c r="AY276" s="63">
        <f>IF(AX276=1,COUNTIF($AX$3:AX276,1),"")</f>
        <v>274</v>
      </c>
      <c r="AZ276" s="63" t="str">
        <f>IFERROR(INDEX($AM$3:$AM$1165,MATCH(ROWS($AY$3:AY276),$AY$3:$AY$1165,0)),"")</f>
        <v>defaultedInterestAdjustmentValue</v>
      </c>
    </row>
    <row r="277" spans="39:52" x14ac:dyDescent="0.2">
      <c r="AM277" s="63" t="s">
        <v>1563</v>
      </c>
      <c r="AN277" s="63" t="s">
        <v>1564</v>
      </c>
      <c r="AO277" s="63"/>
      <c r="AP277" s="63"/>
      <c r="AQ277" s="63"/>
      <c r="AR277" s="63"/>
      <c r="AS277" s="63"/>
      <c r="AT277" s="63"/>
      <c r="AV277" s="63"/>
      <c r="AW277" s="63"/>
      <c r="AX277" s="63">
        <f>--ISNUMBER(IFERROR(SEARCH(Tempset!$M$4,AM277,1),""))</f>
        <v>1</v>
      </c>
      <c r="AY277" s="63">
        <f>IF(AX277=1,COUNTIF($AX$3:AX277,1),"")</f>
        <v>275</v>
      </c>
      <c r="AZ277" s="63" t="str">
        <f>IFERROR(INDEX($AM$3:$AM$1165,MATCH(ROWS($AY$3:AY277),$AY$3:$AY$1165,0)),"")</f>
        <v>defaultedLoanCapitalAdjustmentValue</v>
      </c>
    </row>
    <row r="278" spans="39:52" x14ac:dyDescent="0.2">
      <c r="AM278" s="63" t="s">
        <v>1565</v>
      </c>
      <c r="AN278" s="63" t="s">
        <v>1566</v>
      </c>
      <c r="AO278" s="63"/>
      <c r="AP278" s="63"/>
      <c r="AQ278" s="63"/>
      <c r="AR278" s="63"/>
      <c r="AS278" s="63"/>
      <c r="AT278" s="63"/>
      <c r="AV278" s="63"/>
      <c r="AW278" s="63"/>
      <c r="AX278" s="63">
        <f>--ISNUMBER(IFERROR(SEARCH(Tempset!$M$4,AM278,1),""))</f>
        <v>1</v>
      </c>
      <c r="AY278" s="63">
        <f>IF(AX278=1,COUNTIF($AX$3:AX278,1),"")</f>
        <v>276</v>
      </c>
      <c r="AZ278" s="63" t="str">
        <f>IFERROR(INDEX($AM$3:$AM$1165,MATCH(ROWS($AY$3:AY278),$AY$3:$AY$1165,0)),"")</f>
        <v>defaultRiskERCValue</v>
      </c>
    </row>
    <row r="279" spans="39:52" x14ac:dyDescent="0.2">
      <c r="AM279" s="63" t="s">
        <v>1567</v>
      </c>
      <c r="AN279" s="63" t="s">
        <v>1568</v>
      </c>
      <c r="AO279" s="63"/>
      <c r="AP279" s="63"/>
      <c r="AQ279" s="63"/>
      <c r="AR279" s="63"/>
      <c r="AS279" s="63"/>
      <c r="AT279" s="63"/>
      <c r="AV279" s="63"/>
      <c r="AW279" s="63"/>
      <c r="AX279" s="63">
        <f>--ISNUMBER(IFERROR(SEARCH(Tempset!$M$4,AM279,1),""))</f>
        <v>1</v>
      </c>
      <c r="AY279" s="63">
        <f>IF(AX279=1,COUNTIF($AX$3:AX279,1),"")</f>
        <v>277</v>
      </c>
      <c r="AZ279" s="63" t="str">
        <f>IFERROR(INDEX($AM$3:$AM$1165,MATCH(ROWS($AY$3:AY279),$AY$3:$AY$1165,0)),"")</f>
        <v>deferredAwardExpensePercentage</v>
      </c>
    </row>
    <row r="280" spans="39:52" x14ac:dyDescent="0.2">
      <c r="AM280" s="63" t="s">
        <v>1569</v>
      </c>
      <c r="AN280" s="63" t="s">
        <v>1570</v>
      </c>
      <c r="AO280" s="63"/>
      <c r="AP280" s="63"/>
      <c r="AQ280" s="63"/>
      <c r="AR280" s="63"/>
      <c r="AS280" s="63"/>
      <c r="AT280" s="63"/>
      <c r="AV280" s="63"/>
      <c r="AW280" s="63"/>
      <c r="AX280" s="63">
        <f>--ISNUMBER(IFERROR(SEARCH(Tempset!$M$4,AM280,1),""))</f>
        <v>1</v>
      </c>
      <c r="AY280" s="63">
        <f>IF(AX280=1,COUNTIF($AX$3:AX280,1),"")</f>
        <v>278</v>
      </c>
      <c r="AZ280" s="63" t="str">
        <f>IFERROR(INDEX($AM$3:$AM$1165,MATCH(ROWS($AY$3:AY280),$AY$3:$AY$1165,0)),"")</f>
        <v>deferredAwardExpenseRecognition</v>
      </c>
    </row>
    <row r="281" spans="39:52" x14ac:dyDescent="0.2">
      <c r="AM281" s="63" t="s">
        <v>1571</v>
      </c>
      <c r="AN281" s="63" t="s">
        <v>1572</v>
      </c>
      <c r="AO281" s="63"/>
      <c r="AP281" s="63"/>
      <c r="AQ281" s="63"/>
      <c r="AR281" s="63"/>
      <c r="AS281" s="63"/>
      <c r="AT281" s="63"/>
      <c r="AV281" s="63"/>
      <c r="AW281" s="63"/>
      <c r="AX281" s="63">
        <f>--ISNUMBER(IFERROR(SEARCH(Tempset!$M$4,AM281,1),""))</f>
        <v>1</v>
      </c>
      <c r="AY281" s="63">
        <f>IF(AX281=1,COUNTIF($AX$3:AX281,1),"")</f>
        <v>279</v>
      </c>
      <c r="AZ281" s="63" t="str">
        <f>IFERROR(INDEX($AM$3:$AM$1165,MATCH(ROWS($AY$3:AY281),$AY$3:$AY$1165,0)),"")</f>
        <v>deferredEquityCompensationBenefitValue</v>
      </c>
    </row>
    <row r="282" spans="39:52" x14ac:dyDescent="0.2">
      <c r="AM282" s="63" t="s">
        <v>1573</v>
      </c>
      <c r="AN282" s="63" t="s">
        <v>1574</v>
      </c>
      <c r="AO282" s="63"/>
      <c r="AP282" s="63"/>
      <c r="AQ282" s="63"/>
      <c r="AR282" s="63"/>
      <c r="AS282" s="63"/>
      <c r="AT282" s="63"/>
      <c r="AV282" s="63"/>
      <c r="AW282" s="63"/>
      <c r="AX282" s="63">
        <f>--ISNUMBER(IFERROR(SEARCH(Tempset!$M$4,AM282,1),""))</f>
        <v>1</v>
      </c>
      <c r="AY282" s="63">
        <f>IF(AX282=1,COUNTIF($AX$3:AX282,1),"")</f>
        <v>280</v>
      </c>
      <c r="AZ282" s="63" t="str">
        <f>IFERROR(INDEX($AM$3:$AM$1165,MATCH(ROWS($AY$3:AY282),$AY$3:$AY$1165,0)),"")</f>
        <v>delcredereOfficeId</v>
      </c>
    </row>
    <row r="283" spans="39:52" x14ac:dyDescent="0.2">
      <c r="AM283" s="63" t="s">
        <v>1575</v>
      </c>
      <c r="AN283" s="63" t="s">
        <v>1576</v>
      </c>
      <c r="AO283" s="63"/>
      <c r="AP283" s="63"/>
      <c r="AQ283" s="63"/>
      <c r="AR283" s="63"/>
      <c r="AS283" s="63"/>
      <c r="AT283" s="63"/>
      <c r="AV283" s="63"/>
      <c r="AW283" s="63"/>
      <c r="AX283" s="63">
        <f>--ISNUMBER(IFERROR(SEARCH(Tempset!$M$4,AM283,1),""))</f>
        <v>1</v>
      </c>
      <c r="AY283" s="63">
        <f>IF(AX283=1,COUNTIF($AX$3:AX283,1),"")</f>
        <v>281</v>
      </c>
      <c r="AZ283" s="63" t="str">
        <f>IFERROR(INDEX($AM$3:$AM$1165,MATCH(ROWS($AY$3:AY283),$AY$3:$AY$1165,0)),"")</f>
        <v>deliveryConditionCode</v>
      </c>
    </row>
    <row r="284" spans="39:52" x14ac:dyDescent="0.2">
      <c r="AM284" s="63" t="s">
        <v>1577</v>
      </c>
      <c r="AN284" s="63" t="s">
        <v>1578</v>
      </c>
      <c r="AO284" s="63"/>
      <c r="AP284" s="63"/>
      <c r="AQ284" s="63"/>
      <c r="AR284" s="63"/>
      <c r="AS284" s="63"/>
      <c r="AT284" s="63"/>
      <c r="AV284" s="63"/>
      <c r="AW284" s="63"/>
      <c r="AX284" s="63">
        <f>--ISNUMBER(IFERROR(SEARCH(Tempset!$M$4,AM284,1),""))</f>
        <v>1</v>
      </c>
      <c r="AY284" s="63">
        <f>IF(AX284=1,COUNTIF($AX$3:AX284,1),"")</f>
        <v>282</v>
      </c>
      <c r="AZ284" s="63" t="str">
        <f>IFERROR(INDEX($AM$3:$AM$1165,MATCH(ROWS($AY$3:AY284),$AY$3:$AY$1165,0)),"")</f>
        <v>deliverySegment</v>
      </c>
    </row>
    <row r="285" spans="39:52" x14ac:dyDescent="0.2">
      <c r="AM285" s="63" t="s">
        <v>1579</v>
      </c>
      <c r="AN285" s="63" t="s">
        <v>1580</v>
      </c>
      <c r="AO285" s="63"/>
      <c r="AP285" s="63"/>
      <c r="AQ285" s="63"/>
      <c r="AR285" s="63"/>
      <c r="AS285" s="63"/>
      <c r="AT285" s="63"/>
      <c r="AV285" s="63"/>
      <c r="AW285" s="63"/>
      <c r="AX285" s="63">
        <f>--ISNUMBER(IFERROR(SEARCH(Tempset!$M$4,AM285,1),""))</f>
        <v>1</v>
      </c>
      <c r="AY285" s="63">
        <f>IF(AX285=1,COUNTIF($AX$3:AX285,1),"")</f>
        <v>283</v>
      </c>
      <c r="AZ285" s="63" t="str">
        <f>IFERROR(INDEX($AM$3:$AM$1165,MATCH(ROWS($AY$3:AY285),$AY$3:$AY$1165,0)),"")</f>
        <v>DeltaEVEValue</v>
      </c>
    </row>
    <row r="286" spans="39:52" x14ac:dyDescent="0.2">
      <c r="AM286" s="63" t="s">
        <v>1581</v>
      </c>
      <c r="AN286" s="63" t="s">
        <v>1582</v>
      </c>
      <c r="AO286" s="63"/>
      <c r="AP286" s="63"/>
      <c r="AQ286" s="63"/>
      <c r="AR286" s="63"/>
      <c r="AS286" s="63"/>
      <c r="AT286" s="63"/>
      <c r="AV286" s="63"/>
      <c r="AW286" s="63"/>
      <c r="AX286" s="63">
        <f>--ISNUMBER(IFERROR(SEARCH(Tempset!$M$4,AM286,1),""))</f>
        <v>1</v>
      </c>
      <c r="AY286" s="63">
        <f>IF(AX286=1,COUNTIF($AX$3:AX286,1),"")</f>
        <v>284</v>
      </c>
      <c r="AZ286" s="63" t="str">
        <f>IFERROR(INDEX($AM$3:$AM$1165,MATCH(ROWS($AY$3:AY286),$AY$3:$AY$1165,0)),"")</f>
        <v>DeltaEVEValueCurrency</v>
      </c>
    </row>
    <row r="287" spans="39:52" x14ac:dyDescent="0.2">
      <c r="AM287" s="63" t="s">
        <v>1583</v>
      </c>
      <c r="AN287" s="63" t="s">
        <v>1584</v>
      </c>
      <c r="AO287" s="63"/>
      <c r="AP287" s="63"/>
      <c r="AQ287" s="63"/>
      <c r="AR287" s="63"/>
      <c r="AS287" s="63"/>
      <c r="AT287" s="63"/>
      <c r="AV287" s="63"/>
      <c r="AW287" s="63"/>
      <c r="AX287" s="63">
        <f>--ISNUMBER(IFERROR(SEARCH(Tempset!$M$4,AM287,1),""))</f>
        <v>1</v>
      </c>
      <c r="AY287" s="63">
        <f>IF(AX287=1,COUNTIF($AX$3:AX287,1),"")</f>
        <v>285</v>
      </c>
      <c r="AZ287" s="63" t="str">
        <f>IFERROR(INDEX($AM$3:$AM$1165,MATCH(ROWS($AY$3:AY287),$AY$3:$AY$1165,0)),"")</f>
        <v>deminimisCapitalCharge</v>
      </c>
    </row>
    <row r="288" spans="39:52" x14ac:dyDescent="0.2">
      <c r="AM288" s="63" t="s">
        <v>1585</v>
      </c>
      <c r="AN288" s="63" t="s">
        <v>1586</v>
      </c>
      <c r="AO288" s="63"/>
      <c r="AP288" s="63"/>
      <c r="AQ288" s="63"/>
      <c r="AR288" s="63"/>
      <c r="AS288" s="63"/>
      <c r="AT288" s="63"/>
      <c r="AV288" s="63"/>
      <c r="AW288" s="63"/>
      <c r="AX288" s="63">
        <f>--ISNUMBER(IFERROR(SEARCH(Tempset!$M$4,AM288,1),""))</f>
        <v>1</v>
      </c>
      <c r="AY288" s="63">
        <f>IF(AX288=1,COUNTIF($AX$3:AX288,1),"")</f>
        <v>286</v>
      </c>
      <c r="AZ288" s="63" t="str">
        <f>IFERROR(INDEX($AM$3:$AM$1165,MATCH(ROWS($AY$3:AY288),$AY$3:$AY$1165,0)),"")</f>
        <v>deminimisRWAValue</v>
      </c>
    </row>
    <row r="289" spans="39:52" x14ac:dyDescent="0.2">
      <c r="AM289" s="63" t="s">
        <v>1587</v>
      </c>
      <c r="AN289" s="63" t="s">
        <v>1588</v>
      </c>
      <c r="AO289" s="63"/>
      <c r="AP289" s="63"/>
      <c r="AQ289" s="63"/>
      <c r="AR289" s="63"/>
      <c r="AS289" s="63"/>
      <c r="AT289" s="63"/>
      <c r="AV289" s="63"/>
      <c r="AW289" s="63"/>
      <c r="AX289" s="63">
        <f>--ISNUMBER(IFERROR(SEARCH(Tempset!$M$4,AM289,1),""))</f>
        <v>1</v>
      </c>
      <c r="AY289" s="63">
        <f>IF(AX289=1,COUNTIF($AX$3:AX289,1),"")</f>
        <v>287</v>
      </c>
      <c r="AZ289" s="63" t="str">
        <f>IFERROR(INDEX($AM$3:$AM$1165,MATCH(ROWS($AY$3:AY289),$AY$3:$AY$1165,0)),"")</f>
        <v>derivativesCEMEADValue</v>
      </c>
    </row>
    <row r="290" spans="39:52" x14ac:dyDescent="0.2">
      <c r="AM290" s="63" t="s">
        <v>1589</v>
      </c>
      <c r="AN290" s="63" t="s">
        <v>1590</v>
      </c>
      <c r="AO290" s="63"/>
      <c r="AP290" s="63"/>
      <c r="AQ290" s="63"/>
      <c r="AR290" s="63"/>
      <c r="AS290" s="63"/>
      <c r="AT290" s="63"/>
      <c r="AV290" s="63"/>
      <c r="AW290" s="63"/>
      <c r="AX290" s="63">
        <f>--ISNUMBER(IFERROR(SEARCH(Tempset!$M$4,AM290,1),""))</f>
        <v>1</v>
      </c>
      <c r="AY290" s="63">
        <f>IF(AX290=1,COUNTIF($AX$3:AX290,1),"")</f>
        <v>288</v>
      </c>
      <c r="AZ290" s="63" t="str">
        <f>IFERROR(INDEX($AM$3:$AM$1165,MATCH(ROWS($AY$3:AY290),$AY$3:$AY$1165,0)),"")</f>
        <v>derivativesIMMEADValue</v>
      </c>
    </row>
    <row r="291" spans="39:52" x14ac:dyDescent="0.2">
      <c r="AM291" s="63" t="s">
        <v>1591</v>
      </c>
      <c r="AN291" s="63" t="s">
        <v>1592</v>
      </c>
      <c r="AO291" s="63"/>
      <c r="AP291" s="63"/>
      <c r="AQ291" s="63"/>
      <c r="AR291" s="63"/>
      <c r="AS291" s="63"/>
      <c r="AT291" s="63"/>
      <c r="AV291" s="63"/>
      <c r="AW291" s="63"/>
      <c r="AX291" s="63">
        <f>--ISNUMBER(IFERROR(SEARCH(Tempset!$M$4,AM291,1),""))</f>
        <v>1</v>
      </c>
      <c r="AY291" s="63">
        <f>IF(AX291=1,COUNTIF($AX$3:AX291,1),"")</f>
        <v>289</v>
      </c>
      <c r="AZ291" s="63" t="str">
        <f>IFERROR(INDEX($AM$3:$AM$1165,MATCH(ROWS($AY$3:AY291),$AY$3:$AY$1165,0)),"")</f>
        <v>deskCode</v>
      </c>
    </row>
    <row r="292" spans="39:52" x14ac:dyDescent="0.2">
      <c r="AM292" s="63" t="s">
        <v>1593</v>
      </c>
      <c r="AN292" s="63" t="s">
        <v>1594</v>
      </c>
      <c r="AO292" s="63"/>
      <c r="AP292" s="63"/>
      <c r="AQ292" s="63"/>
      <c r="AR292" s="63"/>
      <c r="AS292" s="63"/>
      <c r="AT292" s="63"/>
      <c r="AV292" s="63"/>
      <c r="AW292" s="63"/>
      <c r="AX292" s="63">
        <f>--ISNUMBER(IFERROR(SEARCH(Tempset!$M$4,AM292,1),""))</f>
        <v>1</v>
      </c>
      <c r="AY292" s="63">
        <f>IF(AX292=1,COUNTIF($AX$3:AX292,1),"")</f>
        <v>290</v>
      </c>
      <c r="AZ292" s="63" t="str">
        <f>IFERROR(INDEX($AM$3:$AM$1165,MATCH(ROWS($AY$3:AY292),$AY$3:$AY$1165,0)),"")</f>
        <v>detachmentPoint</v>
      </c>
    </row>
    <row r="293" spans="39:52" x14ac:dyDescent="0.2">
      <c r="AM293" s="63" t="s">
        <v>1595</v>
      </c>
      <c r="AN293" s="63" t="s">
        <v>1596</v>
      </c>
      <c r="AO293" s="63"/>
      <c r="AP293" s="63"/>
      <c r="AQ293" s="63"/>
      <c r="AR293" s="63"/>
      <c r="AS293" s="63"/>
      <c r="AT293" s="63"/>
      <c r="AV293" s="63"/>
      <c r="AW293" s="63"/>
      <c r="AX293" s="63">
        <f>--ISNUMBER(IFERROR(SEARCH(Tempset!$M$4,AM293,1),""))</f>
        <v>1</v>
      </c>
      <c r="AY293" s="63">
        <f>IF(AX293=1,COUNTIF($AX$3:AX293,1),"")</f>
        <v>291</v>
      </c>
      <c r="AZ293" s="63" t="str">
        <f>IFERROR(INDEX($AM$3:$AM$1165,MATCH(ROWS($AY$3:AY293),$AY$3:$AY$1165,0)),"")</f>
        <v>detectionDate</v>
      </c>
    </row>
    <row r="294" spans="39:52" x14ac:dyDescent="0.2">
      <c r="AM294" s="63" t="s">
        <v>1597</v>
      </c>
      <c r="AN294" s="63" t="s">
        <v>1598</v>
      </c>
      <c r="AO294" s="63"/>
      <c r="AP294" s="63"/>
      <c r="AQ294" s="63"/>
      <c r="AR294" s="63"/>
      <c r="AS294" s="63"/>
      <c r="AT294" s="63"/>
      <c r="AV294" s="63"/>
      <c r="AW294" s="63"/>
      <c r="AX294" s="63">
        <f>--ISNUMBER(IFERROR(SEARCH(Tempset!$M$4,AM294,1),""))</f>
        <v>1</v>
      </c>
      <c r="AY294" s="63">
        <f>IF(AX294=1,COUNTIF($AX$3:AX294,1),"")</f>
        <v>292</v>
      </c>
      <c r="AZ294" s="63" t="str">
        <f>IFERROR(INDEX($AM$3:$AM$1165,MATCH(ROWS($AY$3:AY294),$AY$3:$AY$1165,0)),"")</f>
        <v>DFccp</v>
      </c>
    </row>
    <row r="295" spans="39:52" x14ac:dyDescent="0.2">
      <c r="AM295" s="63" t="s">
        <v>1599</v>
      </c>
      <c r="AN295" s="63" t="s">
        <v>1600</v>
      </c>
      <c r="AO295" s="63"/>
      <c r="AP295" s="63"/>
      <c r="AQ295" s="63"/>
      <c r="AR295" s="63"/>
      <c r="AS295" s="63"/>
      <c r="AT295" s="63"/>
      <c r="AV295" s="63"/>
      <c r="AW295" s="63"/>
      <c r="AX295" s="63">
        <f>--ISNUMBER(IFERROR(SEARCH(Tempset!$M$4,AM295,1),""))</f>
        <v>1</v>
      </c>
      <c r="AY295" s="63">
        <f>IF(AX295=1,COUNTIF($AX$3:AX295,1),"")</f>
        <v>293</v>
      </c>
      <c r="AZ295" s="63" t="str">
        <f>IFERROR(INDEX($AM$3:$AM$1165,MATCH(ROWS($AY$3:AY295),$AY$3:$AY$1165,0)),"")</f>
        <v>DFcm</v>
      </c>
    </row>
    <row r="296" spans="39:52" x14ac:dyDescent="0.2">
      <c r="AM296" s="63" t="s">
        <v>1601</v>
      </c>
      <c r="AN296" s="63" t="s">
        <v>1602</v>
      </c>
      <c r="AO296" s="63"/>
      <c r="AP296" s="63"/>
      <c r="AQ296" s="63"/>
      <c r="AR296" s="63"/>
      <c r="AS296" s="63"/>
      <c r="AT296" s="63"/>
      <c r="AV296" s="63"/>
      <c r="AW296" s="63"/>
      <c r="AX296" s="63">
        <f>--ISNUMBER(IFERROR(SEARCH(Tempset!$M$4,AM296,1),""))</f>
        <v>1</v>
      </c>
      <c r="AY296" s="63">
        <f>IF(AX296=1,COUNTIF($AX$3:AX296,1),"")</f>
        <v>294</v>
      </c>
      <c r="AZ296" s="63" t="str">
        <f>IFERROR(INDEX($AM$3:$AM$1165,MATCH(ROWS($AY$3:AY296),$AY$3:$AY$1165,0)),"")</f>
        <v>directIndirectIndicator</v>
      </c>
    </row>
    <row r="297" spans="39:52" x14ac:dyDescent="0.2">
      <c r="AM297" s="63" t="s">
        <v>1603</v>
      </c>
      <c r="AN297" s="63" t="s">
        <v>1604</v>
      </c>
      <c r="AO297" s="63"/>
      <c r="AP297" s="63"/>
      <c r="AQ297" s="63"/>
      <c r="AR297" s="63"/>
      <c r="AS297" s="63"/>
      <c r="AT297" s="63"/>
      <c r="AV297" s="63"/>
      <c r="AW297" s="63"/>
      <c r="AX297" s="63">
        <f>--ISNUMBER(IFERROR(SEARCH(Tempset!$M$4,AM297,1),""))</f>
        <v>1</v>
      </c>
      <c r="AY297" s="63">
        <f>IF(AX297=1,COUNTIF($AX$3:AX297,1),"")</f>
        <v>295</v>
      </c>
      <c r="AZ297" s="63" t="str">
        <f>IFERROR(INDEX($AM$3:$AM$1165,MATCH(ROWS($AY$3:AY297),$AY$3:$AY$1165,0)),"")</f>
        <v>disposedBusinessFlag</v>
      </c>
    </row>
    <row r="298" spans="39:52" x14ac:dyDescent="0.2">
      <c r="AM298" s="63" t="s">
        <v>1605</v>
      </c>
      <c r="AN298" s="63" t="s">
        <v>1606</v>
      </c>
      <c r="AO298" s="63"/>
      <c r="AP298" s="63"/>
      <c r="AQ298" s="63"/>
      <c r="AR298" s="63"/>
      <c r="AS298" s="63"/>
      <c r="AT298" s="63"/>
      <c r="AV298" s="63"/>
      <c r="AW298" s="63"/>
      <c r="AX298" s="63">
        <f>--ISNUMBER(IFERROR(SEARCH(Tempset!$M$4,AM298,1),""))</f>
        <v>1</v>
      </c>
      <c r="AY298" s="63">
        <f>IF(AX298=1,COUNTIF($AX$3:AX298,1),"")</f>
        <v>296</v>
      </c>
      <c r="AZ298" s="63" t="str">
        <f>IFERROR(INDEX($AM$3:$AM$1165,MATCH(ROWS($AY$3:AY298),$AY$3:$AY$1165,0)),"")</f>
        <v>divisionActualLoss</v>
      </c>
    </row>
    <row r="299" spans="39:52" x14ac:dyDescent="0.2">
      <c r="AM299" s="63" t="s">
        <v>1607</v>
      </c>
      <c r="AN299" s="63" t="s">
        <v>1608</v>
      </c>
      <c r="AO299" s="63"/>
      <c r="AP299" s="63"/>
      <c r="AQ299" s="63"/>
      <c r="AR299" s="63"/>
      <c r="AS299" s="63"/>
      <c r="AT299" s="63"/>
      <c r="AV299" s="63"/>
      <c r="AW299" s="63"/>
      <c r="AX299" s="63">
        <f>--ISNUMBER(IFERROR(SEARCH(Tempset!$M$4,AM299,1),""))</f>
        <v>1</v>
      </c>
      <c r="AY299" s="63">
        <f>IF(AX299=1,COUNTIF($AX$3:AX299,1),"")</f>
        <v>297</v>
      </c>
      <c r="AZ299" s="63" t="str">
        <f>IFERROR(INDEX($AM$3:$AM$1165,MATCH(ROWS($AY$3:AY299),$AY$3:$AY$1165,0)),"")</f>
        <v>divisionalDeferralRate</v>
      </c>
    </row>
    <row r="300" spans="39:52" x14ac:dyDescent="0.2">
      <c r="AM300" s="63" t="s">
        <v>1609</v>
      </c>
      <c r="AN300" s="63" t="s">
        <v>1610</v>
      </c>
      <c r="AO300" s="63"/>
      <c r="AP300" s="63"/>
      <c r="AQ300" s="63"/>
      <c r="AR300" s="63"/>
      <c r="AS300" s="63"/>
      <c r="AT300" s="63"/>
      <c r="AV300" s="63"/>
      <c r="AW300" s="63"/>
      <c r="AX300" s="63">
        <f>--ISNUMBER(IFERROR(SEARCH(Tempset!$M$4,AM300,1),""))</f>
        <v>1</v>
      </c>
      <c r="AY300" s="63">
        <f>IF(AX300=1,COUNTIF($AX$3:AX300,1),"")</f>
        <v>298</v>
      </c>
      <c r="AZ300" s="63" t="str">
        <f>IFERROR(INDEX($AM$3:$AM$1165,MATCH(ROWS($AY$3:AY300),$AY$3:$AY$1165,0)),"")</f>
        <v>divisionId</v>
      </c>
    </row>
    <row r="301" spans="39:52" x14ac:dyDescent="0.2">
      <c r="AM301" s="63" t="s">
        <v>1611</v>
      </c>
      <c r="AN301" s="63" t="s">
        <v>1612</v>
      </c>
      <c r="AO301" s="63"/>
      <c r="AP301" s="63"/>
      <c r="AQ301" s="63"/>
      <c r="AR301" s="63"/>
      <c r="AS301" s="63"/>
      <c r="AT301" s="63"/>
      <c r="AV301" s="63"/>
      <c r="AW301" s="63"/>
      <c r="AX301" s="63">
        <f>--ISNUMBER(IFERROR(SEARCH(Tempset!$M$4,AM301,1),""))</f>
        <v>1</v>
      </c>
      <c r="AY301" s="63">
        <f>IF(AX301=1,COUNTIF($AX$3:AX301,1),"")</f>
        <v>299</v>
      </c>
      <c r="AZ301" s="63" t="str">
        <f>IFERROR(INDEX($AM$3:$AM$1165,MATCH(ROWS($AY$3:AY301),$AY$3:$AY$1165,0)),"")</f>
        <v>divisionNetBudgetedRevenue</v>
      </c>
    </row>
    <row r="302" spans="39:52" x14ac:dyDescent="0.2">
      <c r="AM302" s="63" t="s">
        <v>1613</v>
      </c>
      <c r="AN302" s="63" t="s">
        <v>1614</v>
      </c>
      <c r="AO302" s="63"/>
      <c r="AP302" s="63"/>
      <c r="AQ302" s="63"/>
      <c r="AR302" s="63"/>
      <c r="AS302" s="63"/>
      <c r="AT302" s="63"/>
      <c r="AV302" s="63"/>
      <c r="AW302" s="63"/>
      <c r="AX302" s="63">
        <f>--ISNUMBER(IFERROR(SEARCH(Tempset!$M$4,AM302,1),""))</f>
        <v>1</v>
      </c>
      <c r="AY302" s="63">
        <f>IF(AX302=1,COUNTIF($AX$3:AX302,1),"")</f>
        <v>300</v>
      </c>
      <c r="AZ302" s="63" t="str">
        <f>IFERROR(INDEX($AM$3:$AM$1165,MATCH(ROWS($AY$3:AY302),$AY$3:$AY$1165,0)),"")</f>
        <v>divisionProductSubTypeCode</v>
      </c>
    </row>
    <row r="303" spans="39:52" x14ac:dyDescent="0.2">
      <c r="AM303" s="63" t="s">
        <v>1615</v>
      </c>
      <c r="AN303" s="63" t="s">
        <v>1616</v>
      </c>
      <c r="AO303" s="63"/>
      <c r="AP303" s="63"/>
      <c r="AQ303" s="63"/>
      <c r="AR303" s="63"/>
      <c r="AS303" s="63"/>
      <c r="AT303" s="63"/>
      <c r="AV303" s="63"/>
      <c r="AW303" s="63"/>
      <c r="AX303" s="63">
        <f>--ISNUMBER(IFERROR(SEARCH(Tempset!$M$4,AM303,1),""))</f>
        <v>1</v>
      </c>
      <c r="AY303" s="63">
        <f>IF(AX303=1,COUNTIF($AX$3:AX303,1),"")</f>
        <v>301</v>
      </c>
      <c r="AZ303" s="63" t="str">
        <f>IFERROR(INDEX($AM$3:$AM$1165,MATCH(ROWS($AY$3:AY303),$AY$3:$AY$1165,0)),"")</f>
        <v>divisionProductTypeCode</v>
      </c>
    </row>
    <row r="304" spans="39:52" x14ac:dyDescent="0.2">
      <c r="AM304" s="63" t="s">
        <v>1617</v>
      </c>
      <c r="AN304" s="63" t="s">
        <v>1618</v>
      </c>
      <c r="AO304" s="63"/>
      <c r="AP304" s="63"/>
      <c r="AQ304" s="63"/>
      <c r="AR304" s="63"/>
      <c r="AS304" s="63"/>
      <c r="AT304" s="63"/>
      <c r="AV304" s="63"/>
      <c r="AW304" s="63"/>
      <c r="AX304" s="63">
        <f>--ISNUMBER(IFERROR(SEARCH(Tempset!$M$4,AM304,1),""))</f>
        <v>1</v>
      </c>
      <c r="AY304" s="63">
        <f>IF(AX304=1,COUNTIF($AX$3:AX304,1),"")</f>
        <v>302</v>
      </c>
      <c r="AZ304" s="63" t="str">
        <f>IFERROR(INDEX($AM$3:$AM$1165,MATCH(ROWS($AY$3:AY304),$AY$3:$AY$1165,0)),"")</f>
        <v>drawDownFactorValue</v>
      </c>
    </row>
    <row r="305" spans="39:52" x14ac:dyDescent="0.2">
      <c r="AM305" s="63" t="s">
        <v>1619</v>
      </c>
      <c r="AN305" s="63" t="s">
        <v>1620</v>
      </c>
      <c r="AO305" s="63"/>
      <c r="AP305" s="63"/>
      <c r="AQ305" s="63"/>
      <c r="AR305" s="63"/>
      <c r="AS305" s="63"/>
      <c r="AT305" s="63"/>
      <c r="AV305" s="63"/>
      <c r="AW305" s="63"/>
      <c r="AX305" s="63">
        <f>--ISNUMBER(IFERROR(SEARCH(Tempset!$M$4,AM305,1),""))</f>
        <v>1</v>
      </c>
      <c r="AY305" s="63">
        <f>IF(AX305=1,COUNTIF($AX$3:AX305,1),"")</f>
        <v>303</v>
      </c>
      <c r="AZ305" s="63" t="str">
        <f>IFERROR(INDEX($AM$3:$AM$1165,MATCH(ROWS($AY$3:AY305),$AY$3:$AY$1165,0)),"")</f>
        <v>drawnAmount</v>
      </c>
    </row>
    <row r="306" spans="39:52" x14ac:dyDescent="0.2">
      <c r="AM306" s="63" t="s">
        <v>1621</v>
      </c>
      <c r="AN306" s="63" t="s">
        <v>1622</v>
      </c>
      <c r="AO306" s="63"/>
      <c r="AP306" s="63"/>
      <c r="AQ306" s="63"/>
      <c r="AR306" s="63"/>
      <c r="AS306" s="63"/>
      <c r="AT306" s="63"/>
      <c r="AV306" s="63"/>
      <c r="AW306" s="63"/>
      <c r="AX306" s="63">
        <f>--ISNUMBER(IFERROR(SEARCH(Tempset!$M$4,AM306,1),""))</f>
        <v>1</v>
      </c>
      <c r="AY306" s="63">
        <f>IF(AX306=1,COUNTIF($AX$3:AX306,1),"")</f>
        <v>304</v>
      </c>
      <c r="AZ306" s="63" t="str">
        <f>IFERROR(INDEX($AM$3:$AM$1165,MATCH(ROWS($AY$3:AY306),$AY$3:$AY$1165,0)),"")</f>
        <v>drawnCcy</v>
      </c>
    </row>
    <row r="307" spans="39:52" x14ac:dyDescent="0.2">
      <c r="AM307" s="63" t="s">
        <v>1623</v>
      </c>
      <c r="AN307" s="63" t="s">
        <v>1624</v>
      </c>
      <c r="AO307" s="63"/>
      <c r="AP307" s="63"/>
      <c r="AQ307" s="63"/>
      <c r="AR307" s="63"/>
      <c r="AS307" s="63"/>
      <c r="AT307" s="63"/>
      <c r="AV307" s="63"/>
      <c r="AW307" s="63"/>
      <c r="AX307" s="63">
        <f>--ISNUMBER(IFERROR(SEARCH(Tempset!$M$4,AM307,1),""))</f>
        <v>1</v>
      </c>
      <c r="AY307" s="63">
        <f>IF(AX307=1,COUNTIF($AX$3:AX307,1),"")</f>
        <v>305</v>
      </c>
      <c r="AZ307" s="63" t="str">
        <f>IFERROR(INDEX($AM$3:$AM$1165,MATCH(ROWS($AY$3:AY307),$AY$3:$AY$1165,0)),"")</f>
        <v>drawnDate</v>
      </c>
    </row>
    <row r="308" spans="39:52" x14ac:dyDescent="0.2">
      <c r="AM308" s="63" t="s">
        <v>1625</v>
      </c>
      <c r="AN308" s="63" t="s">
        <v>1626</v>
      </c>
      <c r="AO308" s="63"/>
      <c r="AP308" s="63"/>
      <c r="AQ308" s="63"/>
      <c r="AR308" s="63"/>
      <c r="AS308" s="63"/>
      <c r="AT308" s="63"/>
      <c r="AV308" s="63"/>
      <c r="AW308" s="63"/>
      <c r="AX308" s="63">
        <f>--ISNUMBER(IFERROR(SEARCH(Tempset!$M$4,AM308,1),""))</f>
        <v>1</v>
      </c>
      <c r="AY308" s="63">
        <f>IF(AX308=1,COUNTIF($AX$3:AX308,1),"")</f>
        <v>306</v>
      </c>
      <c r="AZ308" s="63" t="str">
        <f>IFERROR(INDEX($AM$3:$AM$1165,MATCH(ROWS($AY$3:AY308),$AY$3:$AY$1165,0)),"")</f>
        <v>ECLValue</v>
      </c>
    </row>
    <row r="309" spans="39:52" x14ac:dyDescent="0.2">
      <c r="AM309" s="63" t="s">
        <v>1627</v>
      </c>
      <c r="AN309" s="63" t="s">
        <v>1628</v>
      </c>
      <c r="AO309" s="63"/>
      <c r="AP309" s="63"/>
      <c r="AQ309" s="63"/>
      <c r="AR309" s="63"/>
      <c r="AS309" s="63"/>
      <c r="AT309" s="63"/>
      <c r="AV309" s="63"/>
      <c r="AW309" s="63"/>
      <c r="AX309" s="63">
        <f>--ISNUMBER(IFERROR(SEARCH(Tempset!$M$4,AM309,1),""))</f>
        <v>1</v>
      </c>
      <c r="AY309" s="63">
        <f>IF(AX309=1,COUNTIF($AX$3:AX309,1),"")</f>
        <v>307</v>
      </c>
      <c r="AZ309" s="63" t="str">
        <f>IFERROR(INDEX($AM$3:$AM$1165,MATCH(ROWS($AY$3:AY309),$AY$3:$AY$1165,0)),"")</f>
        <v>economicDiscountCurve</v>
      </c>
    </row>
    <row r="310" spans="39:52" x14ac:dyDescent="0.2">
      <c r="AM310" s="63" t="s">
        <v>1629</v>
      </c>
      <c r="AN310" s="63" t="s">
        <v>1630</v>
      </c>
      <c r="AO310" s="63"/>
      <c r="AP310" s="63"/>
      <c r="AQ310" s="63"/>
      <c r="AR310" s="63"/>
      <c r="AS310" s="63"/>
      <c r="AT310" s="63"/>
      <c r="AV310" s="63"/>
      <c r="AW310" s="63"/>
      <c r="AX310" s="63">
        <f>--ISNUMBER(IFERROR(SEARCH(Tempset!$M$4,AM310,1),""))</f>
        <v>1</v>
      </c>
      <c r="AY310" s="63">
        <f>IF(AX310=1,COUNTIF($AX$3:AX310,1),"")</f>
        <v>308</v>
      </c>
      <c r="AZ310" s="63" t="str">
        <f>IFERROR(INDEX($AM$3:$AM$1165,MATCH(ROWS($AY$3:AY310),$AY$3:$AY$1165,0)),"")</f>
        <v>economicStatus</v>
      </c>
    </row>
    <row r="311" spans="39:52" x14ac:dyDescent="0.2">
      <c r="AM311" s="63" t="s">
        <v>1631</v>
      </c>
      <c r="AN311" s="63" t="s">
        <v>1632</v>
      </c>
      <c r="AO311" s="63"/>
      <c r="AP311" s="63"/>
      <c r="AQ311" s="63"/>
      <c r="AR311" s="63"/>
      <c r="AS311" s="63"/>
      <c r="AT311" s="63"/>
      <c r="AV311" s="63"/>
      <c r="AW311" s="63"/>
      <c r="AX311" s="63">
        <f>--ISNUMBER(IFERROR(SEARCH(Tempset!$M$4,AM311,1),""))</f>
        <v>1</v>
      </c>
      <c r="AY311" s="63">
        <f>IF(AX311=1,COUNTIF($AX$3:AX311,1),"")</f>
        <v>309</v>
      </c>
      <c r="AZ311" s="63" t="str">
        <f>IFERROR(INDEX($AM$3:$AM$1165,MATCH(ROWS($AY$3:AY311),$AY$3:$AY$1165,0)),"")</f>
        <v>EEPEValue</v>
      </c>
    </row>
    <row r="312" spans="39:52" x14ac:dyDescent="0.2">
      <c r="AM312" s="63" t="s">
        <v>1633</v>
      </c>
      <c r="AN312" s="63" t="s">
        <v>1634</v>
      </c>
      <c r="AO312" s="63"/>
      <c r="AP312" s="63"/>
      <c r="AQ312" s="63"/>
      <c r="AR312" s="63"/>
      <c r="AS312" s="63"/>
      <c r="AT312" s="63"/>
      <c r="AV312" s="63"/>
      <c r="AW312" s="63"/>
      <c r="AX312" s="63">
        <f>--ISNUMBER(IFERROR(SEARCH(Tempset!$M$4,AM312,1),""))</f>
        <v>1</v>
      </c>
      <c r="AY312" s="63">
        <f>IF(AX312=1,COUNTIF($AX$3:AX312,1),"")</f>
        <v>310</v>
      </c>
      <c r="AZ312" s="63" t="str">
        <f>IFERROR(INDEX($AM$3:$AM$1165,MATCH(ROWS($AY$3:AY312),$AY$3:$AY$1165,0)),"")</f>
        <v>EEValue</v>
      </c>
    </row>
    <row r="313" spans="39:52" x14ac:dyDescent="0.2">
      <c r="AM313" s="63" t="s">
        <v>1635</v>
      </c>
      <c r="AN313" s="63" t="s">
        <v>1636</v>
      </c>
      <c r="AO313" s="63"/>
      <c r="AP313" s="63"/>
      <c r="AQ313" s="63"/>
      <c r="AR313" s="63"/>
      <c r="AS313" s="63"/>
      <c r="AT313" s="63"/>
      <c r="AV313" s="63"/>
      <c r="AW313" s="63"/>
      <c r="AX313" s="63">
        <f>--ISNUMBER(IFERROR(SEARCH(Tempset!$M$4,AM313,1),""))</f>
        <v>1</v>
      </c>
      <c r="AY313" s="63">
        <f>IF(AX313=1,COUNTIF($AX$3:AX313,1),"")</f>
        <v>311</v>
      </c>
      <c r="AZ313" s="63" t="str">
        <f>IFERROR(INDEX($AM$3:$AM$1165,MATCH(ROWS($AY$3:AY313),$AY$3:$AY$1165,0)),"")</f>
        <v>effectiveDate</v>
      </c>
    </row>
    <row r="314" spans="39:52" x14ac:dyDescent="0.2">
      <c r="AM314" s="63" t="s">
        <v>1637</v>
      </c>
      <c r="AN314" s="63" t="s">
        <v>1638</v>
      </c>
      <c r="AO314" s="63"/>
      <c r="AP314" s="63"/>
      <c r="AQ314" s="63"/>
      <c r="AR314" s="63"/>
      <c r="AS314" s="63"/>
      <c r="AT314" s="63"/>
      <c r="AV314" s="63"/>
      <c r="AW314" s="63"/>
      <c r="AX314" s="63">
        <f>--ISNUMBER(IFERROR(SEARCH(Tempset!$M$4,AM314,1),""))</f>
        <v>1</v>
      </c>
      <c r="AY314" s="63">
        <f>IF(AX314=1,COUNTIF($AX$3:AX314,1),"")</f>
        <v>312</v>
      </c>
      <c r="AZ314" s="63" t="str">
        <f>IFERROR(INDEX($AM$3:$AM$1165,MATCH(ROWS($AY$3:AY314),$AY$3:$AY$1165,0)),"")</f>
        <v>effectiveMaturityValue</v>
      </c>
    </row>
    <row r="315" spans="39:52" x14ac:dyDescent="0.2">
      <c r="AM315" s="63" t="s">
        <v>1639</v>
      </c>
      <c r="AN315" s="63" t="s">
        <v>1640</v>
      </c>
      <c r="AO315" s="63"/>
      <c r="AP315" s="63"/>
      <c r="AQ315" s="63"/>
      <c r="AR315" s="63"/>
      <c r="AS315" s="63"/>
      <c r="AT315" s="63"/>
      <c r="AV315" s="63"/>
      <c r="AW315" s="63"/>
      <c r="AX315" s="63">
        <f>--ISNUMBER(IFERROR(SEARCH(Tempset!$M$4,AM315,1),""))</f>
        <v>1</v>
      </c>
      <c r="AY315" s="63">
        <f>IF(AX315=1,COUNTIF($AX$3:AX315,1),"")</f>
        <v>313</v>
      </c>
      <c r="AZ315" s="63" t="str">
        <f>IFERROR(INDEX($AM$3:$AM$1165,MATCH(ROWS($AY$3:AY315),$AY$3:$AY$1165,0)),"")</f>
        <v>effectiveNotionalValue</v>
      </c>
    </row>
    <row r="316" spans="39:52" x14ac:dyDescent="0.2">
      <c r="AM316" s="63" t="s">
        <v>1641</v>
      </c>
      <c r="AN316" s="63" t="s">
        <v>1642</v>
      </c>
      <c r="AO316" s="63"/>
      <c r="AP316" s="63"/>
      <c r="AQ316" s="63"/>
      <c r="AR316" s="63"/>
      <c r="AS316" s="63"/>
      <c r="AT316" s="63"/>
      <c r="AV316" s="63"/>
      <c r="AW316" s="63"/>
      <c r="AX316" s="63">
        <f>--ISNUMBER(IFERROR(SEARCH(Tempset!$M$4,AM316,1),""))</f>
        <v>1</v>
      </c>
      <c r="AY316" s="63">
        <f>IF(AX316=1,COUNTIF($AX$3:AX316,1),"")</f>
        <v>314</v>
      </c>
      <c r="AZ316" s="63" t="str">
        <f>IFERROR(INDEX($AM$3:$AM$1165,MATCH(ROWS($AY$3:AY316),$AY$3:$AY$1165,0)),"")</f>
        <v>ELAExpensesValue</v>
      </c>
    </row>
    <row r="317" spans="39:52" x14ac:dyDescent="0.2">
      <c r="AM317" s="63" t="s">
        <v>1643</v>
      </c>
      <c r="AN317" s="63" t="s">
        <v>1644</v>
      </c>
      <c r="AO317" s="63"/>
      <c r="AP317" s="63"/>
      <c r="AQ317" s="63"/>
      <c r="AR317" s="63"/>
      <c r="AS317" s="63"/>
      <c r="AT317" s="63"/>
      <c r="AV317" s="63"/>
      <c r="AW317" s="63"/>
      <c r="AX317" s="63">
        <f>--ISNUMBER(IFERROR(SEARCH(Tempset!$M$4,AM317,1),""))</f>
        <v>1</v>
      </c>
      <c r="AY317" s="63">
        <f>IF(AX317=1,COUNTIF($AX$3:AX317,1),"")</f>
        <v>315</v>
      </c>
      <c r="AZ317" s="63" t="str">
        <f>IFERROR(INDEX($AM$3:$AM$1165,MATCH(ROWS($AY$3:AY317),$AY$3:$AY$1165,0)),"")</f>
        <v>ELARiskUsageExposureValue</v>
      </c>
    </row>
    <row r="318" spans="39:52" x14ac:dyDescent="0.2">
      <c r="AM318" s="63" t="s">
        <v>1645</v>
      </c>
      <c r="AN318" s="63" t="s">
        <v>1646</v>
      </c>
      <c r="AO318" s="63"/>
      <c r="AP318" s="63"/>
      <c r="AQ318" s="63"/>
      <c r="AR318" s="63"/>
      <c r="AS318" s="63"/>
      <c r="AT318" s="63"/>
      <c r="AV318" s="63"/>
      <c r="AW318" s="63"/>
      <c r="AX318" s="63">
        <f>--ISNUMBER(IFERROR(SEARCH(Tempset!$M$4,AM318,1),""))</f>
        <v>1</v>
      </c>
      <c r="AY318" s="63">
        <f>IF(AX318=1,COUNTIF($AX$3:AX318,1),"")</f>
        <v>316</v>
      </c>
      <c r="AZ318" s="63" t="str">
        <f>IFERROR(INDEX($AM$3:$AM$1165,MATCH(ROWS($AY$3:AY318),$AY$3:$AY$1165,0)),"")</f>
        <v>embeddedPutFlag</v>
      </c>
    </row>
    <row r="319" spans="39:52" x14ac:dyDescent="0.2">
      <c r="AM319" s="63" t="s">
        <v>1647</v>
      </c>
      <c r="AN319" s="63" t="s">
        <v>1648</v>
      </c>
      <c r="AO319" s="63"/>
      <c r="AP319" s="63"/>
      <c r="AQ319" s="63"/>
      <c r="AR319" s="63"/>
      <c r="AS319" s="63"/>
      <c r="AT319" s="63"/>
      <c r="AV319" s="63"/>
      <c r="AW319" s="63"/>
      <c r="AX319" s="63">
        <f>--ISNUMBER(IFERROR(SEARCH(Tempset!$M$4,AM319,1),""))</f>
        <v>1</v>
      </c>
      <c r="AY319" s="63">
        <f>IF(AX319=1,COUNTIF($AX$3:AX319,1),"")</f>
        <v>317</v>
      </c>
      <c r="AZ319" s="63" t="str">
        <f>IFERROR(INDEX($AM$3:$AM$1165,MATCH(ROWS($AY$3:AY319),$AY$3:$AY$1165,0)),"")</f>
        <v>EPEValue</v>
      </c>
    </row>
    <row r="320" spans="39:52" x14ac:dyDescent="0.2">
      <c r="AM320" s="63" t="s">
        <v>1649</v>
      </c>
      <c r="AN320" s="63" t="s">
        <v>1650</v>
      </c>
      <c r="AO320" s="63"/>
      <c r="AP320" s="63"/>
      <c r="AQ320" s="63"/>
      <c r="AR320" s="63"/>
      <c r="AS320" s="63"/>
      <c r="AT320" s="63"/>
      <c r="AV320" s="63"/>
      <c r="AW320" s="63"/>
      <c r="AX320" s="63">
        <f>--ISNUMBER(IFERROR(SEARCH(Tempset!$M$4,AM320,1),""))</f>
        <v>1</v>
      </c>
      <c r="AY320" s="63">
        <f>IF(AX320=1,COUNTIF($AX$3:AX320,1),"")</f>
        <v>318</v>
      </c>
      <c r="AZ320" s="63" t="str">
        <f>IFERROR(INDEX($AM$3:$AM$1165,MATCH(ROWS($AY$3:AY320),$AY$3:$AY$1165,0)),"")</f>
        <v>EQIFMBAMaximumAllocation</v>
      </c>
    </row>
    <row r="321" spans="39:52" x14ac:dyDescent="0.2">
      <c r="AM321" s="63" t="s">
        <v>1651</v>
      </c>
      <c r="AN321" s="63" t="s">
        <v>1652</v>
      </c>
      <c r="AO321" s="63"/>
      <c r="AP321" s="63"/>
      <c r="AQ321" s="63"/>
      <c r="AR321" s="63"/>
      <c r="AS321" s="63"/>
      <c r="AT321" s="63"/>
      <c r="AV321" s="63"/>
      <c r="AW321" s="63"/>
      <c r="AX321" s="63">
        <f>--ISNUMBER(IFERROR(SEARCH(Tempset!$M$4,AM321,1),""))</f>
        <v>1</v>
      </c>
      <c r="AY321" s="63">
        <f>IF(AX321=1,COUNTIF($AX$3:AX321,1),"")</f>
        <v>319</v>
      </c>
      <c r="AZ321" s="63" t="str">
        <f>IFERROR(INDEX($AM$3:$AM$1165,MATCH(ROWS($AY$3:AY321),$AY$3:$AY$1165,0)),"")</f>
        <v>equCDSCurrencyCd</v>
      </c>
    </row>
    <row r="322" spans="39:52" x14ac:dyDescent="0.2">
      <c r="AM322" s="63" t="s">
        <v>1653</v>
      </c>
      <c r="AN322" s="63" t="s">
        <v>1654</v>
      </c>
      <c r="AO322" s="63"/>
      <c r="AP322" s="63"/>
      <c r="AQ322" s="63"/>
      <c r="AR322" s="63"/>
      <c r="AS322" s="63"/>
      <c r="AT322" s="63"/>
      <c r="AV322" s="63"/>
      <c r="AW322" s="63"/>
      <c r="AX322" s="63">
        <f>--ISNUMBER(IFERROR(SEARCH(Tempset!$M$4,AM322,1),""))</f>
        <v>1</v>
      </c>
      <c r="AY322" s="63">
        <f>IF(AX322=1,COUNTIF($AX$3:AX322,1),"")</f>
        <v>320</v>
      </c>
      <c r="AZ322" s="63" t="str">
        <f>IFERROR(INDEX($AM$3:$AM$1165,MATCH(ROWS($AY$3:AY322),$AY$3:$AY$1165,0)),"")</f>
        <v>equCDSMaturityDt</v>
      </c>
    </row>
    <row r="323" spans="39:52" x14ac:dyDescent="0.2">
      <c r="AM323" s="63" t="s">
        <v>1655</v>
      </c>
      <c r="AN323" s="63" t="s">
        <v>1656</v>
      </c>
      <c r="AO323" s="63"/>
      <c r="AP323" s="63"/>
      <c r="AQ323" s="63"/>
      <c r="AR323" s="63"/>
      <c r="AS323" s="63"/>
      <c r="AT323" s="63"/>
      <c r="AV323" s="63"/>
      <c r="AW323" s="63"/>
      <c r="AX323" s="63">
        <f>--ISNUMBER(IFERROR(SEARCH(Tempset!$M$4,AM323,1),""))</f>
        <v>1</v>
      </c>
      <c r="AY323" s="63">
        <f>IF(AX323=1,COUNTIF($AX$3:AX323,1),"")</f>
        <v>321</v>
      </c>
      <c r="AZ323" s="63" t="str">
        <f>IFERROR(INDEX($AM$3:$AM$1165,MATCH(ROWS($AY$3:AY323),$AY$3:$AY$1165,0)),"")</f>
        <v>equitiesExposureValue</v>
      </c>
    </row>
    <row r="324" spans="39:52" x14ac:dyDescent="0.2">
      <c r="AM324" s="63" t="s">
        <v>1657</v>
      </c>
      <c r="AN324" s="63" t="s">
        <v>1658</v>
      </c>
      <c r="AO324" s="63"/>
      <c r="AP324" s="63"/>
      <c r="AQ324" s="63"/>
      <c r="AR324" s="63"/>
      <c r="AS324" s="63"/>
      <c r="AT324" s="63"/>
      <c r="AV324" s="63"/>
      <c r="AW324" s="63"/>
      <c r="AX324" s="63">
        <f>--ISNUMBER(IFERROR(SEARCH(Tempset!$M$4,AM324,1),""))</f>
        <v>1</v>
      </c>
      <c r="AY324" s="63">
        <f>IF(AX324=1,COUNTIF($AX$3:AX324,1),"")</f>
        <v>322</v>
      </c>
      <c r="AZ324" s="63" t="str">
        <f>IFERROR(INDEX($AM$3:$AM$1165,MATCH(ROWS($AY$3:AY324),$AY$3:$AY$1165,0)),"")</f>
        <v>equitiesHolding</v>
      </c>
    </row>
    <row r="325" spans="39:52" x14ac:dyDescent="0.2">
      <c r="AM325" s="63" t="s">
        <v>1659</v>
      </c>
      <c r="AN325" s="63" t="s">
        <v>1660</v>
      </c>
      <c r="AO325" s="63"/>
      <c r="AP325" s="63"/>
      <c r="AQ325" s="63"/>
      <c r="AR325" s="63"/>
      <c r="AS325" s="63"/>
      <c r="AT325" s="63"/>
      <c r="AV325" s="63"/>
      <c r="AW325" s="63"/>
      <c r="AX325" s="63">
        <f>--ISNUMBER(IFERROR(SEARCH(Tempset!$M$4,AM325,1),""))</f>
        <v>1</v>
      </c>
      <c r="AY325" s="63">
        <f>IF(AX325=1,COUNTIF($AX$3:AX325,1),"")</f>
        <v>323</v>
      </c>
      <c r="AZ325" s="63" t="str">
        <f>IFERROR(INDEX($AM$3:$AM$1165,MATCH(ROWS($AY$3:AY325),$AY$3:$AY$1165,0)),"")</f>
        <v>equitiesnotinIRCExpectedLossValue</v>
      </c>
    </row>
    <row r="326" spans="39:52" x14ac:dyDescent="0.2">
      <c r="AM326" s="63" t="s">
        <v>1661</v>
      </c>
      <c r="AN326" s="63" t="s">
        <v>1662</v>
      </c>
      <c r="AO326" s="63"/>
      <c r="AP326" s="63"/>
      <c r="AQ326" s="63"/>
      <c r="AR326" s="63"/>
      <c r="AS326" s="63"/>
      <c r="AT326" s="63"/>
      <c r="AV326" s="63"/>
      <c r="AW326" s="63"/>
      <c r="AX326" s="63">
        <f>--ISNUMBER(IFERROR(SEARCH(Tempset!$M$4,AM326,1),""))</f>
        <v>1</v>
      </c>
      <c r="AY326" s="63">
        <f>IF(AX326=1,COUNTIF($AX$3:AX326,1),"")</f>
        <v>324</v>
      </c>
      <c r="AZ326" s="63" t="str">
        <f>IFERROR(INDEX($AM$3:$AM$1165,MATCH(ROWS($AY$3:AY326),$AY$3:$AY$1165,0)),"")</f>
        <v>equityAwardType</v>
      </c>
    </row>
    <row r="327" spans="39:52" x14ac:dyDescent="0.2">
      <c r="AM327" s="63" t="s">
        <v>1663</v>
      </c>
      <c r="AN327" s="63" t="s">
        <v>1664</v>
      </c>
      <c r="AO327" s="63"/>
      <c r="AP327" s="63"/>
      <c r="AQ327" s="63"/>
      <c r="AR327" s="63"/>
      <c r="AS327" s="63"/>
      <c r="AT327" s="63"/>
      <c r="AV327" s="63"/>
      <c r="AW327" s="63"/>
      <c r="AX327" s="63">
        <f>--ISNUMBER(IFERROR(SEARCH(Tempset!$M$4,AM327,1),""))</f>
        <v>1</v>
      </c>
      <c r="AY327" s="63">
        <f>IF(AX327=1,COUNTIF($AX$3:AX327,1),"")</f>
        <v>325</v>
      </c>
      <c r="AZ327" s="63" t="str">
        <f>IFERROR(INDEX($AM$3:$AM$1165,MATCH(ROWS($AY$3:AY327),$AY$3:$AY$1165,0)),"")</f>
        <v>equityId</v>
      </c>
    </row>
    <row r="328" spans="39:52" x14ac:dyDescent="0.2">
      <c r="AM328" s="63" t="s">
        <v>1665</v>
      </c>
      <c r="AN328" s="63" t="s">
        <v>1666</v>
      </c>
      <c r="AO328" s="63"/>
      <c r="AP328" s="63"/>
      <c r="AQ328" s="63"/>
      <c r="AR328" s="63"/>
      <c r="AS328" s="63"/>
      <c r="AT328" s="63"/>
      <c r="AV328" s="63"/>
      <c r="AW328" s="63"/>
      <c r="AX328" s="63">
        <f>--ISNUMBER(IFERROR(SEARCH(Tempset!$M$4,AM328,1),""))</f>
        <v>1</v>
      </c>
      <c r="AY328" s="63">
        <f>IF(AX328=1,COUNTIF($AX$3:AX328,1),"")</f>
        <v>326</v>
      </c>
      <c r="AZ328" s="63" t="str">
        <f>IFERROR(INDEX($AM$3:$AM$1165,MATCH(ROWS($AY$3:AY328),$AY$3:$AY$1165,0)),"")</f>
        <v>equityInvestmentInFund</v>
      </c>
    </row>
    <row r="329" spans="39:52" x14ac:dyDescent="0.2">
      <c r="AM329" s="63" t="s">
        <v>1667</v>
      </c>
      <c r="AN329" s="63" t="s">
        <v>1668</v>
      </c>
      <c r="AO329" s="63"/>
      <c r="AP329" s="63"/>
      <c r="AQ329" s="63"/>
      <c r="AR329" s="63"/>
      <c r="AS329" s="63"/>
      <c r="AT329" s="63"/>
      <c r="AV329" s="63"/>
      <c r="AW329" s="63"/>
      <c r="AX329" s="63">
        <f>--ISNUMBER(IFERROR(SEARCH(Tempset!$M$4,AM329,1),""))</f>
        <v>1</v>
      </c>
      <c r="AY329" s="63">
        <f>IF(AX329=1,COUNTIF($AX$3:AX329,1),"")</f>
        <v>327</v>
      </c>
      <c r="AZ329" s="63" t="str">
        <f>IFERROR(INDEX($AM$3:$AM$1165,MATCH(ROWS($AY$3:AY329),$AY$3:$AY$1165,0)),"")</f>
        <v>equityRegion</v>
      </c>
    </row>
    <row r="330" spans="39:52" x14ac:dyDescent="0.2">
      <c r="AM330" s="63" t="s">
        <v>1669</v>
      </c>
      <c r="AN330" s="63" t="s">
        <v>1670</v>
      </c>
      <c r="AO330" s="63"/>
      <c r="AP330" s="63"/>
      <c r="AQ330" s="63"/>
      <c r="AR330" s="63"/>
      <c r="AS330" s="63"/>
      <c r="AT330" s="63"/>
      <c r="AV330" s="63"/>
      <c r="AW330" s="63"/>
      <c r="AX330" s="63">
        <f>--ISNUMBER(IFERROR(SEARCH(Tempset!$M$4,AM330,1),""))</f>
        <v>1</v>
      </c>
      <c r="AY330" s="63">
        <f>IF(AX330=1,COUNTIF($AX$3:AX330,1),"")</f>
        <v>328</v>
      </c>
      <c r="AZ330" s="63" t="str">
        <f>IFERROR(INDEX($AM$3:$AM$1165,MATCH(ROWS($AY$3:AY330),$AY$3:$AY$1165,0)),"")</f>
        <v>equityRiskArbitrageValue</v>
      </c>
    </row>
    <row r="331" spans="39:52" x14ac:dyDescent="0.2">
      <c r="AM331" s="63" t="s">
        <v>1671</v>
      </c>
      <c r="AN331" s="63" t="s">
        <v>1672</v>
      </c>
      <c r="AO331" s="63"/>
      <c r="AP331" s="63"/>
      <c r="AQ331" s="63"/>
      <c r="AR331" s="63"/>
      <c r="AS331" s="63"/>
      <c r="AT331" s="63"/>
      <c r="AV331" s="63"/>
      <c r="AW331" s="63"/>
      <c r="AX331" s="63">
        <f>--ISNUMBER(IFERROR(SEARCH(Tempset!$M$4,AM331,1),""))</f>
        <v>1</v>
      </c>
      <c r="AY331" s="63">
        <f>IF(AX331=1,COUNTIF($AX$3:AX331,1),"")</f>
        <v>329</v>
      </c>
      <c r="AZ331" s="63" t="str">
        <f>IFERROR(INDEX($AM$3:$AM$1165,MATCH(ROWS($AY$3:AY331),$AY$3:$AY$1165,0)),"")</f>
        <v>equityScaleDownFlag</v>
      </c>
    </row>
    <row r="332" spans="39:52" x14ac:dyDescent="0.2">
      <c r="AM332" s="63" t="s">
        <v>1673</v>
      </c>
      <c r="AN332" s="63" t="s">
        <v>1674</v>
      </c>
      <c r="AO332" s="63"/>
      <c r="AP332" s="63"/>
      <c r="AQ332" s="63"/>
      <c r="AR332" s="63"/>
      <c r="AS332" s="63"/>
      <c r="AT332" s="63"/>
      <c r="AV332" s="63"/>
      <c r="AW332" s="63"/>
      <c r="AX332" s="63">
        <f>--ISNUMBER(IFERROR(SEARCH(Tempset!$M$4,AM332,1),""))</f>
        <v>1</v>
      </c>
      <c r="AY332" s="63">
        <f>IF(AX332=1,COUNTIF($AX$3:AX332,1),"")</f>
        <v>330</v>
      </c>
      <c r="AZ332" s="63" t="str">
        <f>IFERROR(INDEX($AM$3:$AM$1165,MATCH(ROWS($AY$3:AY332),$AY$3:$AY$1165,0)),"")</f>
        <v>equityTypeIndicator</v>
      </c>
    </row>
    <row r="333" spans="39:52" x14ac:dyDescent="0.2">
      <c r="AM333" s="63" t="s">
        <v>1675</v>
      </c>
      <c r="AN333" s="63" t="s">
        <v>1676</v>
      </c>
      <c r="AO333" s="63"/>
      <c r="AP333" s="63"/>
      <c r="AQ333" s="63"/>
      <c r="AR333" s="63"/>
      <c r="AS333" s="63"/>
      <c r="AT333" s="63"/>
      <c r="AV333" s="63"/>
      <c r="AW333" s="63"/>
      <c r="AX333" s="63">
        <f>--ISNUMBER(IFERROR(SEARCH(Tempset!$M$4,AM333,1),""))</f>
        <v>1</v>
      </c>
      <c r="AY333" s="63">
        <f>IF(AX333=1,COUNTIF($AX$3:AX333,1),"")</f>
        <v>331</v>
      </c>
      <c r="AZ333" s="63" t="str">
        <f>IFERROR(INDEX($AM$3:$AM$1165,MATCH(ROWS($AY$3:AY333),$AY$3:$AY$1165,0)),"")</f>
        <v>equPercentage</v>
      </c>
    </row>
    <row r="334" spans="39:52" x14ac:dyDescent="0.2">
      <c r="AM334" s="63" t="s">
        <v>1677</v>
      </c>
      <c r="AN334" s="63" t="s">
        <v>1678</v>
      </c>
      <c r="AO334" s="63"/>
      <c r="AP334" s="63"/>
      <c r="AQ334" s="63"/>
      <c r="AR334" s="63"/>
      <c r="AS334" s="63"/>
      <c r="AT334" s="63"/>
      <c r="AV334" s="63"/>
      <c r="AW334" s="63"/>
      <c r="AX334" s="63">
        <f>--ISNUMBER(IFERROR(SEARCH(Tempset!$M$4,AM334,1),""))</f>
        <v>1</v>
      </c>
      <c r="AY334" s="63">
        <f>IF(AX334=1,COUNTIF($AX$3:AX334,1),"")</f>
        <v>332</v>
      </c>
      <c r="AZ334" s="63" t="str">
        <f>IFERROR(INDEX($AM$3:$AM$1165,MATCH(ROWS($AY$3:AY334),$AY$3:$AY$1165,0)),"")</f>
        <v>equTrnchCptyID</v>
      </c>
    </row>
    <row r="335" spans="39:52" x14ac:dyDescent="0.2">
      <c r="AM335" s="63" t="s">
        <v>1679</v>
      </c>
      <c r="AN335" s="63" t="s">
        <v>1680</v>
      </c>
      <c r="AO335" s="63"/>
      <c r="AP335" s="63"/>
      <c r="AQ335" s="63"/>
      <c r="AR335" s="63"/>
      <c r="AS335" s="63"/>
      <c r="AT335" s="63"/>
      <c r="AV335" s="63"/>
      <c r="AW335" s="63"/>
      <c r="AX335" s="63">
        <f>--ISNUMBER(IFERROR(SEARCH(Tempset!$M$4,AM335,1),""))</f>
        <v>1</v>
      </c>
      <c r="AY335" s="63">
        <f>IF(AX335=1,COUNTIF($AX$3:AX335,1),"")</f>
        <v>333</v>
      </c>
      <c r="AZ335" s="63" t="str">
        <f>IFERROR(INDEX($AM$3:$AM$1165,MATCH(ROWS($AY$3:AY335),$AY$3:$AY$1165,0)),"")</f>
        <v>equTrnchNetAmtCHF</v>
      </c>
    </row>
    <row r="336" spans="39:52" x14ac:dyDescent="0.2">
      <c r="AM336" s="63" t="s">
        <v>1681</v>
      </c>
      <c r="AN336" s="63" t="s">
        <v>1682</v>
      </c>
      <c r="AO336" s="63"/>
      <c r="AP336" s="63"/>
      <c r="AQ336" s="63"/>
      <c r="AR336" s="63"/>
      <c r="AS336" s="63"/>
      <c r="AT336" s="63"/>
      <c r="AV336" s="63"/>
      <c r="AW336" s="63"/>
      <c r="AX336" s="63">
        <f>--ISNUMBER(IFERROR(SEARCH(Tempset!$M$4,AM336,1),""))</f>
        <v>1</v>
      </c>
      <c r="AY336" s="63">
        <f>IF(AX336=1,COUNTIF($AX$3:AX336,1),"")</f>
        <v>334</v>
      </c>
      <c r="AZ336" s="63" t="str">
        <f>IFERROR(INDEX($AM$3:$AM$1165,MATCH(ROWS($AY$3:AY336),$AY$3:$AY$1165,0)),"")</f>
        <v>ERCCreditRiskBufferValue</v>
      </c>
    </row>
    <row r="337" spans="39:52" x14ac:dyDescent="0.2">
      <c r="AM337" s="63" t="s">
        <v>1683</v>
      </c>
      <c r="AN337" s="63" t="s">
        <v>1684</v>
      </c>
      <c r="AO337" s="63"/>
      <c r="AP337" s="63"/>
      <c r="AQ337" s="63"/>
      <c r="AR337" s="63"/>
      <c r="AS337" s="63"/>
      <c r="AT337" s="63"/>
      <c r="AV337" s="63"/>
      <c r="AW337" s="63"/>
      <c r="AX337" s="63">
        <f>--ISNUMBER(IFERROR(SEARCH(Tempset!$M$4,AM337,1),""))</f>
        <v>1</v>
      </c>
      <c r="AY337" s="63">
        <f>IF(AX337=1,COUNTIF($AX$3:AX337,1),"")</f>
        <v>335</v>
      </c>
      <c r="AZ337" s="63" t="str">
        <f>IFERROR(INDEX($AM$3:$AM$1165,MATCH(ROWS($AY$3:AY337),$AY$3:$AY$1165,0)),"")</f>
        <v>ERCDECBBufferValue</v>
      </c>
    </row>
    <row r="338" spans="39:52" x14ac:dyDescent="0.2">
      <c r="AM338" s="63" t="s">
        <v>1685</v>
      </c>
      <c r="AN338" s="63" t="s">
        <v>1686</v>
      </c>
      <c r="AO338" s="63"/>
      <c r="AP338" s="63"/>
      <c r="AQ338" s="63"/>
      <c r="AR338" s="63"/>
      <c r="AS338" s="63"/>
      <c r="AT338" s="63"/>
      <c r="AV338" s="63"/>
      <c r="AW338" s="63"/>
      <c r="AX338" s="63">
        <f>--ISNUMBER(IFERROR(SEARCH(Tempset!$M$4,AM338,1),""))</f>
        <v>1</v>
      </c>
      <c r="AY338" s="63">
        <f>IF(AX338=1,COUNTIF($AX$3:AX338,1),"")</f>
        <v>336</v>
      </c>
      <c r="AZ338" s="63" t="str">
        <f>IFERROR(INDEX($AM$3:$AM$1165,MATCH(ROWS($AY$3:AY338),$AY$3:$AY$1165,0)),"")</f>
        <v>ERCDirectInvestmentBufferValue</v>
      </c>
    </row>
    <row r="339" spans="39:52" x14ac:dyDescent="0.2">
      <c r="AM339" s="63" t="s">
        <v>1687</v>
      </c>
      <c r="AN339" s="63" t="s">
        <v>1688</v>
      </c>
      <c r="AO339" s="63"/>
      <c r="AP339" s="63"/>
      <c r="AQ339" s="63"/>
      <c r="AR339" s="63"/>
      <c r="AS339" s="63"/>
      <c r="AT339" s="63"/>
      <c r="AV339" s="63"/>
      <c r="AW339" s="63"/>
      <c r="AX339" s="63">
        <f>--ISNUMBER(IFERROR(SEARCH(Tempset!$M$4,AM339,1),""))</f>
        <v>1</v>
      </c>
      <c r="AY339" s="63">
        <f>IF(AX339=1,COUNTIF($AX$3:AX339,1),"")</f>
        <v>337</v>
      </c>
      <c r="AZ339" s="63" t="str">
        <f>IFERROR(INDEX($AM$3:$AM$1165,MATCH(ROWS($AY$3:AY339),$AY$3:$AY$1165,0)),"")</f>
        <v>ERCEXPENSEbuffervalue</v>
      </c>
    </row>
    <row r="340" spans="39:52" x14ac:dyDescent="0.2">
      <c r="AM340" s="63" t="s">
        <v>1689</v>
      </c>
      <c r="AN340" s="63" t="s">
        <v>1690</v>
      </c>
      <c r="AO340" s="63"/>
      <c r="AP340" s="63"/>
      <c r="AQ340" s="63"/>
      <c r="AR340" s="63"/>
      <c r="AS340" s="63"/>
      <c r="AT340" s="63"/>
      <c r="AV340" s="63"/>
      <c r="AW340" s="63"/>
      <c r="AX340" s="63">
        <f>--ISNUMBER(IFERROR(SEARCH(Tempset!$M$4,AM340,1),""))</f>
        <v>1</v>
      </c>
      <c r="AY340" s="63">
        <f>IF(AX340=1,COUNTIF($AX$3:AX340,1),"")</f>
        <v>338</v>
      </c>
      <c r="AZ340" s="63" t="str">
        <f>IFERROR(INDEX($AM$3:$AM$1165,MATCH(ROWS($AY$3:AY340),$AY$3:$AY$1165,0)),"")</f>
        <v>ERCFrameworkBufferValue</v>
      </c>
    </row>
    <row r="341" spans="39:52" x14ac:dyDescent="0.2">
      <c r="AM341" s="63" t="s">
        <v>1691</v>
      </c>
      <c r="AN341" s="63" t="s">
        <v>1692</v>
      </c>
      <c r="AO341" s="63"/>
      <c r="AP341" s="63"/>
      <c r="AQ341" s="63"/>
      <c r="AR341" s="63"/>
      <c r="AS341" s="63"/>
      <c r="AT341" s="63"/>
      <c r="AV341" s="63"/>
      <c r="AW341" s="63"/>
      <c r="AX341" s="63">
        <f>--ISNUMBER(IFERROR(SEARCH(Tempset!$M$4,AM341,1),""))</f>
        <v>1</v>
      </c>
      <c r="AY341" s="63">
        <f>IF(AX341=1,COUNTIF($AX$3:AX341,1),"")</f>
        <v>339</v>
      </c>
      <c r="AZ341" s="63" t="str">
        <f>IFERROR(INDEX($AM$3:$AM$1165,MATCH(ROWS($AY$3:AY341),$AY$3:$AY$1165,0)),"")</f>
        <v>ERCFXTBufferValue</v>
      </c>
    </row>
    <row r="342" spans="39:52" x14ac:dyDescent="0.2">
      <c r="AM342" s="63" t="s">
        <v>1693</v>
      </c>
      <c r="AN342" s="63" t="s">
        <v>1694</v>
      </c>
      <c r="AO342" s="63"/>
      <c r="AP342" s="63"/>
      <c r="AQ342" s="63"/>
      <c r="AR342" s="63"/>
      <c r="AS342" s="63"/>
      <c r="AT342" s="63"/>
      <c r="AV342" s="63"/>
      <c r="AW342" s="63"/>
      <c r="AX342" s="63">
        <f>--ISNUMBER(IFERROR(SEARCH(Tempset!$M$4,AM342,1),""))</f>
        <v>1</v>
      </c>
      <c r="AY342" s="63">
        <f>IF(AX342=1,COUNTIF($AX$3:AX342,1),"")</f>
        <v>340</v>
      </c>
      <c r="AZ342" s="63" t="str">
        <f>IFERROR(INDEX($AM$3:$AM$1165,MATCH(ROWS($AY$3:AY342),$AY$3:$AY$1165,0)),"")</f>
        <v>ERCLifeInsuranceAddonValue</v>
      </c>
    </row>
    <row r="343" spans="39:52" x14ac:dyDescent="0.2">
      <c r="AM343" s="63" t="s">
        <v>1695</v>
      </c>
      <c r="AN343" s="63" t="s">
        <v>1696</v>
      </c>
      <c r="AO343" s="63"/>
      <c r="AP343" s="63"/>
      <c r="AQ343" s="63"/>
      <c r="AR343" s="63"/>
      <c r="AS343" s="63"/>
      <c r="AT343" s="63"/>
      <c r="AV343" s="63"/>
      <c r="AW343" s="63"/>
      <c r="AX343" s="63">
        <f>--ISNUMBER(IFERROR(SEARCH(Tempset!$M$4,AM343,1),""))</f>
        <v>1</v>
      </c>
      <c r="AY343" s="63">
        <f>IF(AX343=1,COUNTIF($AX$3:AX343,1),"")</f>
        <v>341</v>
      </c>
      <c r="AZ343" s="63" t="str">
        <f>IFERROR(INDEX($AM$3:$AM$1165,MATCH(ROWS($AY$3:AY343),$AY$3:$AY$1165,0)),"")</f>
        <v>ERCNonTradedCreditSpreadBufferValue</v>
      </c>
    </row>
    <row r="344" spans="39:52" x14ac:dyDescent="0.2">
      <c r="AM344" s="63" t="s">
        <v>1697</v>
      </c>
      <c r="AN344" s="63" t="s">
        <v>1698</v>
      </c>
      <c r="AO344" s="63"/>
      <c r="AP344" s="63"/>
      <c r="AQ344" s="63"/>
      <c r="AR344" s="63"/>
      <c r="AS344" s="63"/>
      <c r="AT344" s="63"/>
      <c r="AV344" s="63"/>
      <c r="AW344" s="63"/>
      <c r="AX344" s="63">
        <f>--ISNUMBER(IFERROR(SEARCH(Tempset!$M$4,AM344,1),""))</f>
        <v>1</v>
      </c>
      <c r="AY344" s="63">
        <f>IF(AX344=1,COUNTIF($AX$3:AX344,1),"")</f>
        <v>342</v>
      </c>
      <c r="AZ344" s="63" t="str">
        <f>IFERROR(INDEX($AM$3:$AM$1165,MATCH(ROWS($AY$3:AY344),$AY$3:$AY$1165,0)),"")</f>
        <v>ERCOREBufferValue</v>
      </c>
    </row>
    <row r="345" spans="39:52" x14ac:dyDescent="0.2">
      <c r="AM345" s="63" t="s">
        <v>1699</v>
      </c>
      <c r="AN345" s="63" t="s">
        <v>1700</v>
      </c>
      <c r="AO345" s="63"/>
      <c r="AP345" s="63"/>
      <c r="AQ345" s="63"/>
      <c r="AR345" s="63"/>
      <c r="AS345" s="63"/>
      <c r="AT345" s="63"/>
      <c r="AV345" s="63"/>
      <c r="AW345" s="63"/>
      <c r="AX345" s="63">
        <f>--ISNUMBER(IFERROR(SEARCH(Tempset!$M$4,AM345,1),""))</f>
        <v>1</v>
      </c>
      <c r="AY345" s="63">
        <f>IF(AX345=1,COUNTIF($AX$3:AX345,1),"")</f>
        <v>343</v>
      </c>
      <c r="AZ345" s="63" t="str">
        <f>IFERROR(INDEX($AM$3:$AM$1165,MATCH(ROWS($AY$3:AY345),$AY$3:$AY$1165,0)),"")</f>
        <v>ERCPensionRiskBufferValue</v>
      </c>
    </row>
    <row r="346" spans="39:52" x14ac:dyDescent="0.2">
      <c r="AM346" s="63" t="s">
        <v>1701</v>
      </c>
      <c r="AN346" s="63" t="s">
        <v>1702</v>
      </c>
      <c r="AO346" s="63"/>
      <c r="AP346" s="63"/>
      <c r="AQ346" s="63"/>
      <c r="AR346" s="63"/>
      <c r="AS346" s="63"/>
      <c r="AT346" s="63"/>
      <c r="AV346" s="63"/>
      <c r="AW346" s="63"/>
      <c r="AX346" s="63">
        <f>--ISNUMBER(IFERROR(SEARCH(Tempset!$M$4,AM346,1),""))</f>
        <v>1</v>
      </c>
      <c r="AY346" s="63">
        <f>IF(AX346=1,COUNTIF($AX$3:AX346,1),"")</f>
        <v>344</v>
      </c>
      <c r="AZ346" s="63" t="str">
        <f>IFERROR(INDEX($AM$3:$AM$1165,MATCH(ROWS($AY$3:AY346),$AY$3:$AY$1165,0)),"")</f>
        <v>ERCSecuritisedProductBufferValue</v>
      </c>
    </row>
    <row r="347" spans="39:52" x14ac:dyDescent="0.2">
      <c r="AM347" s="63" t="s">
        <v>1703</v>
      </c>
      <c r="AN347" s="63" t="s">
        <v>1704</v>
      </c>
      <c r="AO347" s="63"/>
      <c r="AP347" s="63"/>
      <c r="AQ347" s="63"/>
      <c r="AR347" s="63"/>
      <c r="AS347" s="63"/>
      <c r="AT347" s="63"/>
      <c r="AV347" s="63"/>
      <c r="AW347" s="63"/>
      <c r="AX347" s="63">
        <f>--ISNUMBER(IFERROR(SEARCH(Tempset!$M$4,AM347,1),""))</f>
        <v>1</v>
      </c>
      <c r="AY347" s="63">
        <f>IF(AX347=1,COUNTIF($AX$3:AX347,1),"")</f>
        <v>345</v>
      </c>
      <c r="AZ347" s="63" t="str">
        <f>IFERROR(INDEX($AM$3:$AM$1165,MATCH(ROWS($AY$3:AY347),$AY$3:$AY$1165,0)),"")</f>
        <v>ERCTradedRiskBufferValue</v>
      </c>
    </row>
    <row r="348" spans="39:52" x14ac:dyDescent="0.2">
      <c r="AM348" s="63" t="s">
        <v>1705</v>
      </c>
      <c r="AN348" s="63" t="s">
        <v>1706</v>
      </c>
      <c r="AO348" s="63"/>
      <c r="AP348" s="63"/>
      <c r="AQ348" s="63"/>
      <c r="AR348" s="63"/>
      <c r="AS348" s="63"/>
      <c r="AT348" s="63"/>
      <c r="AV348" s="63"/>
      <c r="AW348" s="63"/>
      <c r="AX348" s="63">
        <f>--ISNUMBER(IFERROR(SEARCH(Tempset!$M$4,AM348,1),""))</f>
        <v>1</v>
      </c>
      <c r="AY348" s="63">
        <f>IF(AX348=1,COUNTIF($AX$3:AX348,1),"")</f>
        <v>346</v>
      </c>
      <c r="AZ348" s="63" t="str">
        <f>IFERROR(INDEX($AM$3:$AM$1165,MATCH(ROWS($AY$3:AY348),$AY$3:$AY$1165,0)),"")</f>
        <v>EUDefaultLossAmount</v>
      </c>
    </row>
    <row r="349" spans="39:52" x14ac:dyDescent="0.2">
      <c r="AM349" s="63" t="s">
        <v>1707</v>
      </c>
      <c r="AN349" s="63" t="s">
        <v>1708</v>
      </c>
      <c r="AO349" s="63"/>
      <c r="AP349" s="63"/>
      <c r="AQ349" s="63"/>
      <c r="AR349" s="63"/>
      <c r="AS349" s="63"/>
      <c r="AT349" s="63"/>
      <c r="AV349" s="63"/>
      <c r="AW349" s="63"/>
      <c r="AX349" s="63">
        <f>--ISNUMBER(IFERROR(SEARCH(Tempset!$M$4,AM349,1),""))</f>
        <v>1</v>
      </c>
      <c r="AY349" s="63">
        <f>IF(AX349=1,COUNTIF($AX$3:AX349,1),"")</f>
        <v>347</v>
      </c>
      <c r="AZ349" s="63" t="str">
        <f>IFERROR(INDEX($AM$3:$AM$1165,MATCH(ROWS($AY$3:AY349),$AY$3:$AY$1165,0)),"")</f>
        <v>EVAdjustmentValue</v>
      </c>
    </row>
    <row r="350" spans="39:52" x14ac:dyDescent="0.2">
      <c r="AM350" s="63" t="s">
        <v>1709</v>
      </c>
      <c r="AN350" s="63" t="s">
        <v>1710</v>
      </c>
      <c r="AO350" s="63"/>
      <c r="AP350" s="63"/>
      <c r="AQ350" s="63"/>
      <c r="AR350" s="63"/>
      <c r="AS350" s="63"/>
      <c r="AT350" s="63"/>
      <c r="AV350" s="63"/>
      <c r="AW350" s="63"/>
      <c r="AX350" s="63">
        <f>--ISNUMBER(IFERROR(SEARCH(Tempset!$M$4,AM350,1),""))</f>
        <v>1</v>
      </c>
      <c r="AY350" s="63">
        <f>IF(AX350=1,COUNTIF($AX$3:AX350,1),"")</f>
        <v>348</v>
      </c>
      <c r="AZ350" s="63" t="str">
        <f>IFERROR(INDEX($AM$3:$AM$1165,MATCH(ROWS($AY$3:AY350),$AY$3:$AY$1165,0)),"")</f>
        <v>eventDate</v>
      </c>
    </row>
    <row r="351" spans="39:52" x14ac:dyDescent="0.2">
      <c r="AM351" s="63" t="s">
        <v>1711</v>
      </c>
      <c r="AN351" s="63" t="s">
        <v>1712</v>
      </c>
      <c r="AO351" s="63"/>
      <c r="AP351" s="63"/>
      <c r="AQ351" s="63"/>
      <c r="AR351" s="63"/>
      <c r="AS351" s="63"/>
      <c r="AT351" s="63"/>
      <c r="AV351" s="63"/>
      <c r="AW351" s="63"/>
      <c r="AX351" s="63">
        <f>--ISNUMBER(IFERROR(SEARCH(Tempset!$M$4,AM351,1),""))</f>
        <v>1</v>
      </c>
      <c r="AY351" s="63">
        <f>IF(AX351=1,COUNTIF($AX$3:AX351,1),"")</f>
        <v>349</v>
      </c>
      <c r="AZ351" s="63" t="str">
        <f>IFERROR(INDEX($AM$3:$AM$1165,MATCH(ROWS($AY$3:AY351),$AY$3:$AY$1165,0)),"")</f>
        <v>eventSummaryDescription</v>
      </c>
    </row>
    <row r="352" spans="39:52" x14ac:dyDescent="0.2">
      <c r="AM352" s="63" t="s">
        <v>1713</v>
      </c>
      <c r="AN352" s="63" t="s">
        <v>1714</v>
      </c>
      <c r="AO352" s="63"/>
      <c r="AP352" s="63"/>
      <c r="AQ352" s="63"/>
      <c r="AR352" s="63"/>
      <c r="AS352" s="63"/>
      <c r="AT352" s="63"/>
      <c r="AV352" s="63"/>
      <c r="AW352" s="63"/>
      <c r="AX352" s="63">
        <f>--ISNUMBER(IFERROR(SEARCH(Tempset!$M$4,AM352,1),""))</f>
        <v>1</v>
      </c>
      <c r="AY352" s="63">
        <f>IF(AX352=1,COUNTIF($AX$3:AX352,1),"")</f>
        <v>350</v>
      </c>
      <c r="AZ352" s="63" t="str">
        <f>IFERROR(INDEX($AM$3:$AM$1165,MATCH(ROWS($AY$3:AY352),$AY$3:$AY$1165,0)),"")</f>
        <v>EWMAVolatility</v>
      </c>
    </row>
    <row r="353" spans="39:52" x14ac:dyDescent="0.2">
      <c r="AM353" s="63" t="s">
        <v>1715</v>
      </c>
      <c r="AN353" s="63" t="s">
        <v>1716</v>
      </c>
      <c r="AO353" s="63"/>
      <c r="AP353" s="63"/>
      <c r="AQ353" s="63"/>
      <c r="AR353" s="63"/>
      <c r="AS353" s="63"/>
      <c r="AT353" s="63"/>
      <c r="AV353" s="63"/>
      <c r="AW353" s="63"/>
      <c r="AX353" s="63">
        <f>--ISNUMBER(IFERROR(SEARCH(Tempset!$M$4,AM353,1),""))</f>
        <v>1</v>
      </c>
      <c r="AY353" s="63">
        <f>IF(AX353=1,COUNTIF($AX$3:AX353,1),"")</f>
        <v>351</v>
      </c>
      <c r="AZ353" s="63" t="str">
        <f>IFERROR(INDEX($AM$3:$AM$1165,MATCH(ROWS($AY$3:AY353),$AY$3:$AY$1165,0)),"")</f>
        <v>exceriseDate</v>
      </c>
    </row>
    <row r="354" spans="39:52" x14ac:dyDescent="0.2">
      <c r="AM354" s="63" t="s">
        <v>1717</v>
      </c>
      <c r="AN354" s="63" t="s">
        <v>1718</v>
      </c>
      <c r="AO354" s="63"/>
      <c r="AP354" s="63"/>
      <c r="AQ354" s="63"/>
      <c r="AR354" s="63"/>
      <c r="AS354" s="63"/>
      <c r="AT354" s="63"/>
      <c r="AV354" s="63"/>
      <c r="AW354" s="63"/>
      <c r="AX354" s="63">
        <f>--ISNUMBER(IFERROR(SEARCH(Tempset!$M$4,AM354,1),""))</f>
        <v>1</v>
      </c>
      <c r="AY354" s="63">
        <f>IF(AX354=1,COUNTIF($AX$3:AX354,1),"")</f>
        <v>352</v>
      </c>
      <c r="AZ354" s="63" t="str">
        <f>IFERROR(INDEX($AM$3:$AM$1165,MATCH(ROWS($AY$3:AY354),$AY$3:$AY$1165,0)),"")</f>
        <v>exchangeTradedFlag</v>
      </c>
    </row>
    <row r="355" spans="39:52" x14ac:dyDescent="0.2">
      <c r="AM355" s="63" t="s">
        <v>1719</v>
      </c>
      <c r="AN355" s="63" t="s">
        <v>1720</v>
      </c>
      <c r="AO355" s="63"/>
      <c r="AP355" s="63"/>
      <c r="AQ355" s="63"/>
      <c r="AR355" s="63"/>
      <c r="AS355" s="63"/>
      <c r="AT355" s="63"/>
      <c r="AV355" s="63"/>
      <c r="AW355" s="63"/>
      <c r="AX355" s="63">
        <f>--ISNUMBER(IFERROR(SEARCH(Tempset!$M$4,AM355,1),""))</f>
        <v>1</v>
      </c>
      <c r="AY355" s="63">
        <f>IF(AX355=1,COUNTIF($AX$3:AX355,1),"")</f>
        <v>353</v>
      </c>
      <c r="AZ355" s="63" t="str">
        <f>IFERROR(INDEX($AM$3:$AM$1165,MATCH(ROWS($AY$3:AY355),$AY$3:$AY$1165,0)),"")</f>
        <v>exemptionFlag</v>
      </c>
    </row>
    <row r="356" spans="39:52" x14ac:dyDescent="0.2">
      <c r="AM356" s="63" t="s">
        <v>1721</v>
      </c>
      <c r="AN356" s="63" t="s">
        <v>1722</v>
      </c>
      <c r="AO356" s="63"/>
      <c r="AP356" s="63"/>
      <c r="AQ356" s="63"/>
      <c r="AR356" s="63"/>
      <c r="AS356" s="63"/>
      <c r="AT356" s="63"/>
      <c r="AV356" s="63"/>
      <c r="AW356" s="63"/>
      <c r="AX356" s="63">
        <f>--ISNUMBER(IFERROR(SEARCH(Tempset!$M$4,AM356,1),""))</f>
        <v>1</v>
      </c>
      <c r="AY356" s="63">
        <f>IF(AX356=1,COUNTIF($AX$3:AX356,1),"")</f>
        <v>354</v>
      </c>
      <c r="AZ356" s="63" t="str">
        <f>IFERROR(INDEX($AM$3:$AM$1165,MATCH(ROWS($AY$3:AY356),$AY$3:$AY$1165,0)),"")</f>
        <v>ExIBLendingNSUPowerLossBuffer</v>
      </c>
    </row>
    <row r="357" spans="39:52" x14ac:dyDescent="0.2">
      <c r="AM357" s="63" t="s">
        <v>1723</v>
      </c>
      <c r="AN357" s="63" t="s">
        <v>1724</v>
      </c>
      <c r="AO357" s="63"/>
      <c r="AP357" s="63"/>
      <c r="AQ357" s="63"/>
      <c r="AR357" s="63"/>
      <c r="AS357" s="63"/>
      <c r="AT357" s="63"/>
      <c r="AV357" s="63"/>
      <c r="AW357" s="63"/>
      <c r="AX357" s="63">
        <f>--ISNUMBER(IFERROR(SEARCH(Tempset!$M$4,AM357,1),""))</f>
        <v>1</v>
      </c>
      <c r="AY357" s="63">
        <f>IF(AX357=1,COUNTIF($AX$3:AX357,1),"")</f>
        <v>355</v>
      </c>
      <c r="AZ357" s="63" t="str">
        <f>IFERROR(INDEX($AM$3:$AM$1165,MATCH(ROWS($AY$3:AY357),$AY$3:$AY$1165,0)),"")</f>
        <v>ExIBLendingUnstressedEADBufferValue</v>
      </c>
    </row>
    <row r="358" spans="39:52" x14ac:dyDescent="0.2">
      <c r="AM358" s="63" t="s">
        <v>1725</v>
      </c>
      <c r="AN358" s="63" t="s">
        <v>1726</v>
      </c>
      <c r="AO358" s="63"/>
      <c r="AP358" s="63"/>
      <c r="AQ358" s="63"/>
      <c r="AR358" s="63"/>
      <c r="AS358" s="63"/>
      <c r="AT358" s="63"/>
      <c r="AV358" s="63"/>
      <c r="AW358" s="63"/>
      <c r="AX358" s="63">
        <f>--ISNUMBER(IFERROR(SEARCH(Tempset!$M$4,AM358,1),""))</f>
        <v>1</v>
      </c>
      <c r="AY358" s="63">
        <f>IF(AX358=1,COUNTIF($AX$3:AX358,1),"")</f>
        <v>356</v>
      </c>
      <c r="AZ358" s="63" t="str">
        <f>IFERROR(INDEX($AM$3:$AM$1165,MATCH(ROWS($AY$3:AY358),$AY$3:$AY$1165,0)),"")</f>
        <v>ExIBLendingUnstressedprovisionBufferValue</v>
      </c>
    </row>
    <row r="359" spans="39:52" x14ac:dyDescent="0.2">
      <c r="AM359" s="63" t="s">
        <v>1727</v>
      </c>
      <c r="AN359" s="63" t="s">
        <v>1728</v>
      </c>
      <c r="AO359" s="63"/>
      <c r="AP359" s="63"/>
      <c r="AQ359" s="63"/>
      <c r="AR359" s="63"/>
      <c r="AS359" s="63"/>
      <c r="AT359" s="63"/>
      <c r="AV359" s="63"/>
      <c r="AW359" s="63"/>
      <c r="AX359" s="63">
        <f>--ISNUMBER(IFERROR(SEARCH(Tempset!$M$4,AM359,1),""))</f>
        <v>1</v>
      </c>
      <c r="AY359" s="63">
        <f>IF(AX359=1,COUNTIF($AX$3:AX359,1),"")</f>
        <v>357</v>
      </c>
      <c r="AZ359" s="63" t="str">
        <f>IFERROR(INDEX($AM$3:$AM$1165,MATCH(ROWS($AY$3:AY359),$AY$3:$AY$1165,0)),"")</f>
        <v>expectedLossRWAEquivalentValue</v>
      </c>
    </row>
    <row r="360" spans="39:52" x14ac:dyDescent="0.2">
      <c r="AM360" s="63" t="s">
        <v>1729</v>
      </c>
      <c r="AN360" s="63" t="s">
        <v>1730</v>
      </c>
      <c r="AO360" s="63"/>
      <c r="AP360" s="63"/>
      <c r="AQ360" s="63"/>
      <c r="AR360" s="63"/>
      <c r="AS360" s="63"/>
      <c r="AT360" s="63"/>
      <c r="AV360" s="63"/>
      <c r="AW360" s="63"/>
      <c r="AX360" s="63">
        <f>--ISNUMBER(IFERROR(SEARCH(Tempset!$M$4,AM360,1),""))</f>
        <v>1</v>
      </c>
      <c r="AY360" s="63">
        <f>IF(AX360=1,COUNTIF($AX$3:AX360,1),"")</f>
        <v>358</v>
      </c>
      <c r="AZ360" s="63" t="str">
        <f>IFERROR(INDEX($AM$3:$AM$1165,MATCH(ROWS($AY$3:AY360),$AY$3:$AY$1165,0)),"")</f>
        <v>expectedLossValue</v>
      </c>
    </row>
    <row r="361" spans="39:52" x14ac:dyDescent="0.2">
      <c r="AM361" s="63" t="s">
        <v>1731</v>
      </c>
      <c r="AN361" s="63" t="s">
        <v>1732</v>
      </c>
      <c r="AO361" s="63"/>
      <c r="AP361" s="63"/>
      <c r="AQ361" s="63"/>
      <c r="AR361" s="63"/>
      <c r="AS361" s="63"/>
      <c r="AT361" s="63"/>
      <c r="AV361" s="63"/>
      <c r="AW361" s="63"/>
      <c r="AX361" s="63">
        <f>--ISNUMBER(IFERROR(SEARCH(Tempset!$M$4,AM361,1),""))</f>
        <v>1</v>
      </c>
      <c r="AY361" s="63">
        <f>IF(AX361=1,COUNTIF($AX$3:AX361,1),"")</f>
        <v>359</v>
      </c>
      <c r="AZ361" s="63" t="str">
        <f>IFERROR(INDEX($AM$3:$AM$1165,MATCH(ROWS($AY$3:AY361),$AY$3:$AY$1165,0)),"")</f>
        <v>expenseRevenueAmount</v>
      </c>
    </row>
    <row r="362" spans="39:52" x14ac:dyDescent="0.2">
      <c r="AM362" s="63" t="s">
        <v>1733</v>
      </c>
      <c r="AN362" s="63" t="s">
        <v>1734</v>
      </c>
      <c r="AO362" s="63"/>
      <c r="AP362" s="63"/>
      <c r="AQ362" s="63"/>
      <c r="AR362" s="63"/>
      <c r="AS362" s="63"/>
      <c r="AT362" s="63"/>
      <c r="AV362" s="63"/>
      <c r="AW362" s="63"/>
      <c r="AX362" s="63">
        <f>--ISNUMBER(IFERROR(SEARCH(Tempset!$M$4,AM362,1),""))</f>
        <v>1</v>
      </c>
      <c r="AY362" s="63">
        <f>IF(AX362=1,COUNTIF($AX$3:AX362,1),"")</f>
        <v>360</v>
      </c>
      <c r="AZ362" s="63" t="str">
        <f>IFERROR(INDEX($AM$3:$AM$1165,MATCH(ROWS($AY$3:AY362),$AY$3:$AY$1165,0)),"")</f>
        <v>expenseRevenueBookingDate</v>
      </c>
    </row>
    <row r="363" spans="39:52" x14ac:dyDescent="0.2">
      <c r="AM363" s="63" t="s">
        <v>1735</v>
      </c>
      <c r="AN363" s="63" t="s">
        <v>1736</v>
      </c>
      <c r="AO363" s="63"/>
      <c r="AP363" s="63"/>
      <c r="AQ363" s="63"/>
      <c r="AR363" s="63"/>
      <c r="AS363" s="63"/>
      <c r="AT363" s="63"/>
      <c r="AV363" s="63"/>
      <c r="AW363" s="63"/>
      <c r="AX363" s="63">
        <f>--ISNUMBER(IFERROR(SEARCH(Tempset!$M$4,AM363,1),""))</f>
        <v>1</v>
      </c>
      <c r="AY363" s="63">
        <f>IF(AX363=1,COUNTIF($AX$3:AX363,1),"")</f>
        <v>361</v>
      </c>
      <c r="AZ363" s="63" t="str">
        <f>IFERROR(INDEX($AM$3:$AM$1165,MATCH(ROWS($AY$3:AY363),$AY$3:$AY$1165,0)),"")</f>
        <v>expenseRevenueCurrency</v>
      </c>
    </row>
    <row r="364" spans="39:52" x14ac:dyDescent="0.2">
      <c r="AM364" s="63" t="s">
        <v>1737</v>
      </c>
      <c r="AN364" s="63" t="s">
        <v>1738</v>
      </c>
      <c r="AO364" s="63"/>
      <c r="AP364" s="63"/>
      <c r="AQ364" s="63"/>
      <c r="AR364" s="63"/>
      <c r="AS364" s="63"/>
      <c r="AT364" s="63"/>
      <c r="AV364" s="63"/>
      <c r="AW364" s="63"/>
      <c r="AX364" s="63">
        <f>--ISNUMBER(IFERROR(SEARCH(Tempset!$M$4,AM364,1),""))</f>
        <v>1</v>
      </c>
      <c r="AY364" s="63">
        <f>IF(AX364=1,COUNTIF($AX$3:AX364,1),"")</f>
        <v>362</v>
      </c>
      <c r="AZ364" s="63" t="str">
        <f>IFERROR(INDEX($AM$3:$AM$1165,MATCH(ROWS($AY$3:AY364),$AY$3:$AY$1165,0)),"")</f>
        <v>expenseRevenueType</v>
      </c>
    </row>
    <row r="365" spans="39:52" x14ac:dyDescent="0.2">
      <c r="AM365" s="63" t="s">
        <v>1739</v>
      </c>
      <c r="AN365" s="63" t="s">
        <v>1740</v>
      </c>
      <c r="AO365" s="63"/>
      <c r="AP365" s="63"/>
      <c r="AQ365" s="63"/>
      <c r="AR365" s="63"/>
      <c r="AS365" s="63"/>
      <c r="AT365" s="63"/>
      <c r="AV365" s="63"/>
      <c r="AW365" s="63"/>
      <c r="AX365" s="63">
        <f>--ISNUMBER(IFERROR(SEARCH(Tempset!$M$4,AM365,1),""))</f>
        <v>1</v>
      </c>
      <c r="AY365" s="63">
        <f>IF(AX365=1,COUNTIF($AX$3:AX365,1),"")</f>
        <v>363</v>
      </c>
      <c r="AZ365" s="63" t="str">
        <f>IFERROR(INDEX($AM$3:$AM$1165,MATCH(ROWS($AY$3:AY365),$AY$3:$AY$1165,0)),"")</f>
        <v>expenseRiskERCValue</v>
      </c>
    </row>
    <row r="366" spans="39:52" x14ac:dyDescent="0.2">
      <c r="AM366" s="63" t="s">
        <v>1741</v>
      </c>
      <c r="AN366" s="63" t="s">
        <v>1742</v>
      </c>
      <c r="AO366" s="63"/>
      <c r="AP366" s="63"/>
      <c r="AQ366" s="63"/>
      <c r="AR366" s="63"/>
      <c r="AS366" s="63"/>
      <c r="AT366" s="63"/>
      <c r="AV366" s="63"/>
      <c r="AW366" s="63"/>
      <c r="AX366" s="63">
        <f>--ISNUMBER(IFERROR(SEARCH(Tempset!$M$4,AM366,1),""))</f>
        <v>1</v>
      </c>
      <c r="AY366" s="63">
        <f>IF(AX366=1,COUNTIF($AX$3:AX366,1),"")</f>
        <v>364</v>
      </c>
      <c r="AZ366" s="63" t="str">
        <f>IFERROR(INDEX($AM$3:$AM$1165,MATCH(ROWS($AY$3:AY366),$AY$3:$AY$1165,0)),"")</f>
        <v>expenseRiskFXTAllocation</v>
      </c>
    </row>
    <row r="367" spans="39:52" x14ac:dyDescent="0.2">
      <c r="AM367" s="63" t="s">
        <v>1743</v>
      </c>
      <c r="AN367" s="63" t="s">
        <v>1744</v>
      </c>
      <c r="AO367" s="63"/>
      <c r="AP367" s="63"/>
      <c r="AQ367" s="63"/>
      <c r="AR367" s="63"/>
      <c r="AS367" s="63"/>
      <c r="AT367" s="63"/>
      <c r="AV367" s="63"/>
      <c r="AW367" s="63"/>
      <c r="AX367" s="63">
        <f>--ISNUMBER(IFERROR(SEARCH(Tempset!$M$4,AM367,1),""))</f>
        <v>1</v>
      </c>
      <c r="AY367" s="63">
        <f>IF(AX367=1,COUNTIF($AX$3:AX367,1),"")</f>
        <v>365</v>
      </c>
      <c r="AZ367" s="63" t="str">
        <f>IFERROR(INDEX($AM$3:$AM$1165,MATCH(ROWS($AY$3:AY367),$AY$3:$AY$1165,0)),"")</f>
        <v>expiryDate</v>
      </c>
    </row>
    <row r="368" spans="39:52" x14ac:dyDescent="0.2">
      <c r="AM368" s="63" t="s">
        <v>1745</v>
      </c>
      <c r="AN368" s="63" t="s">
        <v>1746</v>
      </c>
      <c r="AO368" s="63"/>
      <c r="AP368" s="63"/>
      <c r="AQ368" s="63"/>
      <c r="AR368" s="63"/>
      <c r="AS368" s="63"/>
      <c r="AT368" s="63"/>
      <c r="AV368" s="63"/>
      <c r="AW368" s="63"/>
      <c r="AX368" s="63">
        <f>--ISNUMBER(IFERROR(SEARCH(Tempset!$M$4,AM368,1),""))</f>
        <v>1</v>
      </c>
      <c r="AY368" s="63">
        <f>IF(AX368=1,COUNTIF($AX$3:AX368,1),"")</f>
        <v>366</v>
      </c>
      <c r="AZ368" s="63" t="str">
        <f>IFERROR(INDEX($AM$3:$AM$1165,MATCH(ROWS($AY$3:AY368),$AY$3:$AY$1165,0)),"")</f>
        <v>exposure0</v>
      </c>
    </row>
    <row r="369" spans="39:52" x14ac:dyDescent="0.2">
      <c r="AM369" s="63" t="s">
        <v>1747</v>
      </c>
      <c r="AN369" s="63" t="s">
        <v>1748</v>
      </c>
      <c r="AO369" s="63"/>
      <c r="AP369" s="63"/>
      <c r="AQ369" s="63"/>
      <c r="AR369" s="63"/>
      <c r="AS369" s="63"/>
      <c r="AT369" s="63"/>
      <c r="AV369" s="63"/>
      <c r="AW369" s="63"/>
      <c r="AX369" s="63">
        <f>--ISNUMBER(IFERROR(SEARCH(Tempset!$M$4,AM369,1),""))</f>
        <v>1</v>
      </c>
      <c r="AY369" s="63">
        <f>IF(AX369=1,COUNTIF($AX$3:AX369,1),"")</f>
        <v>367</v>
      </c>
      <c r="AZ369" s="63" t="str">
        <f>IFERROR(INDEX($AM$3:$AM$1165,MATCH(ROWS($AY$3:AY369),$AY$3:$AY$1165,0)),"")</f>
        <v>exposureAllocation</v>
      </c>
    </row>
    <row r="370" spans="39:52" x14ac:dyDescent="0.2">
      <c r="AM370" s="63" t="s">
        <v>1749</v>
      </c>
      <c r="AN370" s="63" t="s">
        <v>1750</v>
      </c>
      <c r="AO370" s="63"/>
      <c r="AP370" s="63"/>
      <c r="AQ370" s="63"/>
      <c r="AR370" s="63"/>
      <c r="AS370" s="63"/>
      <c r="AT370" s="63"/>
      <c r="AV370" s="63"/>
      <c r="AW370" s="63"/>
      <c r="AX370" s="63">
        <f>--ISNUMBER(IFERROR(SEARCH(Tempset!$M$4,AM370,1),""))</f>
        <v>1</v>
      </c>
      <c r="AY370" s="63">
        <f>IF(AX370=1,COUNTIF($AX$3:AX370,1),"")</f>
        <v>368</v>
      </c>
      <c r="AZ370" s="63" t="str">
        <f>IFERROR(INDEX($AM$3:$AM$1165,MATCH(ROWS($AY$3:AY370),$AY$3:$AY$1165,0)),"")</f>
        <v>exposureAtDefaultValue</v>
      </c>
    </row>
    <row r="371" spans="39:52" x14ac:dyDescent="0.2">
      <c r="AM371" s="63" t="s">
        <v>1751</v>
      </c>
      <c r="AN371" s="63" t="s">
        <v>1752</v>
      </c>
      <c r="AO371" s="63"/>
      <c r="AP371" s="63"/>
      <c r="AQ371" s="63"/>
      <c r="AR371" s="63"/>
      <c r="AS371" s="63"/>
      <c r="AT371" s="63"/>
      <c r="AV371" s="63"/>
      <c r="AW371" s="63"/>
      <c r="AX371" s="63">
        <f>--ISNUMBER(IFERROR(SEARCH(Tempset!$M$4,AM371,1),""))</f>
        <v>1</v>
      </c>
      <c r="AY371" s="63">
        <f>IF(AX371=1,COUNTIF($AX$3:AX371,1),"")</f>
        <v>369</v>
      </c>
      <c r="AZ371" s="63" t="str">
        <f>IFERROR(INDEX($AM$3:$AM$1165,MATCH(ROWS($AY$3:AY371),$AY$3:$AY$1165,0)),"")</f>
        <v>exposureCarrierLimitValue</v>
      </c>
    </row>
    <row r="372" spans="39:52" x14ac:dyDescent="0.2">
      <c r="AM372" s="63" t="s">
        <v>1753</v>
      </c>
      <c r="AN372" s="63" t="s">
        <v>1754</v>
      </c>
      <c r="AO372" s="63"/>
      <c r="AP372" s="63"/>
      <c r="AQ372" s="63"/>
      <c r="AR372" s="63"/>
      <c r="AS372" s="63"/>
      <c r="AT372" s="63"/>
      <c r="AV372" s="63"/>
      <c r="AW372" s="63"/>
      <c r="AX372" s="63">
        <f>--ISNUMBER(IFERROR(SEARCH(Tempset!$M$4,AM372,1),""))</f>
        <v>1</v>
      </c>
      <c r="AY372" s="63">
        <f>IF(AX372=1,COUNTIF($AX$3:AX372,1),"")</f>
        <v>370</v>
      </c>
      <c r="AZ372" s="63" t="str">
        <f>IFERROR(INDEX($AM$3:$AM$1165,MATCH(ROWS($AY$3:AY372),$AY$3:$AY$1165,0)),"")</f>
        <v>exposureCurrency</v>
      </c>
    </row>
    <row r="373" spans="39:52" x14ac:dyDescent="0.2">
      <c r="AM373" s="63" t="s">
        <v>1755</v>
      </c>
      <c r="AN373" s="63" t="s">
        <v>1756</v>
      </c>
      <c r="AO373" s="63"/>
      <c r="AP373" s="63"/>
      <c r="AQ373" s="63"/>
      <c r="AR373" s="63"/>
      <c r="AS373" s="63"/>
      <c r="AT373" s="63"/>
      <c r="AV373" s="63"/>
      <c r="AW373" s="63"/>
      <c r="AX373" s="63">
        <f>--ISNUMBER(IFERROR(SEARCH(Tempset!$M$4,AM373,1),""))</f>
        <v>1</v>
      </c>
      <c r="AY373" s="63">
        <f>IF(AX373=1,COUNTIF($AX$3:AX373,1),"")</f>
        <v>371</v>
      </c>
      <c r="AZ373" s="63" t="str">
        <f>IFERROR(INDEX($AM$3:$AM$1165,MATCH(ROWS($AY$3:AY373),$AY$3:$AY$1165,0)),"")</f>
        <v>exposureIdentificationKey</v>
      </c>
    </row>
    <row r="374" spans="39:52" x14ac:dyDescent="0.2">
      <c r="AM374" s="63" t="s">
        <v>1757</v>
      </c>
      <c r="AN374" s="63" t="s">
        <v>1758</v>
      </c>
      <c r="AO374" s="63"/>
      <c r="AP374" s="63"/>
      <c r="AQ374" s="63"/>
      <c r="AR374" s="63"/>
      <c r="AS374" s="63"/>
      <c r="AT374" s="63"/>
      <c r="AV374" s="63"/>
      <c r="AW374" s="63"/>
      <c r="AX374" s="63">
        <f>--ISNUMBER(IFERROR(SEARCH(Tempset!$M$4,AM374,1),""))</f>
        <v>1</v>
      </c>
      <c r="AY374" s="63">
        <f>IF(AX374=1,COUNTIF($AX$3:AX374,1),"")</f>
        <v>372</v>
      </c>
      <c r="AZ374" s="63" t="str">
        <f>IFERROR(INDEX($AM$3:$AM$1165,MATCH(ROWS($AY$3:AY374),$AY$3:$AY$1165,0)),"")</f>
        <v>facilityApprovedAmount</v>
      </c>
    </row>
    <row r="375" spans="39:52" x14ac:dyDescent="0.2">
      <c r="AM375" s="63" t="s">
        <v>1759</v>
      </c>
      <c r="AN375" s="63" t="s">
        <v>1760</v>
      </c>
      <c r="AO375" s="63"/>
      <c r="AP375" s="63"/>
      <c r="AQ375" s="63"/>
      <c r="AR375" s="63"/>
      <c r="AS375" s="63"/>
      <c r="AT375" s="63"/>
      <c r="AV375" s="63"/>
      <c r="AW375" s="63"/>
      <c r="AX375" s="63">
        <f>--ISNUMBER(IFERROR(SEARCH(Tempset!$M$4,AM375,1),""))</f>
        <v>1</v>
      </c>
      <c r="AY375" s="63">
        <f>IF(AX375=1,COUNTIF($AX$3:AX375,1),"")</f>
        <v>373</v>
      </c>
      <c r="AZ375" s="63" t="str">
        <f>IFERROR(INDEX($AM$3:$AM$1165,MATCH(ROWS($AY$3:AY375),$AY$3:$AY$1165,0)),"")</f>
        <v>facilityConfirmedLimitAmount</v>
      </c>
    </row>
    <row r="376" spans="39:52" x14ac:dyDescent="0.2">
      <c r="AM376" s="63" t="s">
        <v>1761</v>
      </c>
      <c r="AN376" s="63" t="s">
        <v>1762</v>
      </c>
      <c r="AO376" s="63"/>
      <c r="AP376" s="63"/>
      <c r="AQ376" s="63"/>
      <c r="AR376" s="63"/>
      <c r="AS376" s="63"/>
      <c r="AT376" s="63"/>
      <c r="AV376" s="63"/>
      <c r="AW376" s="63"/>
      <c r="AX376" s="63">
        <f>--ISNUMBER(IFERROR(SEARCH(Tempset!$M$4,AM376,1),""))</f>
        <v>1</v>
      </c>
      <c r="AY376" s="63">
        <f>IF(AX376=1,COUNTIF($AX$3:AX376,1),"")</f>
        <v>374</v>
      </c>
      <c r="AZ376" s="63" t="str">
        <f>IFERROR(INDEX($AM$3:$AM$1165,MATCH(ROWS($AY$3:AY376),$AY$3:$AY$1165,0)),"")</f>
        <v>facilityCurrency</v>
      </c>
    </row>
    <row r="377" spans="39:52" x14ac:dyDescent="0.2">
      <c r="AM377" s="63" t="s">
        <v>1763</v>
      </c>
      <c r="AN377" s="63" t="s">
        <v>1764</v>
      </c>
      <c r="AO377" s="63"/>
      <c r="AP377" s="63"/>
      <c r="AQ377" s="63"/>
      <c r="AR377" s="63"/>
      <c r="AS377" s="63"/>
      <c r="AT377" s="63"/>
      <c r="AV377" s="63"/>
      <c r="AW377" s="63"/>
      <c r="AX377" s="63">
        <f>--ISNUMBER(IFERROR(SEARCH(Tempset!$M$4,AM377,1),""))</f>
        <v>1</v>
      </c>
      <c r="AY377" s="63">
        <f>IF(AX377=1,COUNTIF($AX$3:AX377,1),"")</f>
        <v>375</v>
      </c>
      <c r="AZ377" s="63" t="str">
        <f>IFERROR(INDEX($AM$3:$AM$1165,MATCH(ROWS($AY$3:AY377),$AY$3:$AY$1165,0)),"")</f>
        <v>facilityId</v>
      </c>
    </row>
    <row r="378" spans="39:52" x14ac:dyDescent="0.2">
      <c r="AM378" s="63" t="s">
        <v>1765</v>
      </c>
      <c r="AN378" s="63" t="s">
        <v>1766</v>
      </c>
      <c r="AO378" s="63"/>
      <c r="AP378" s="63"/>
      <c r="AQ378" s="63"/>
      <c r="AR378" s="63"/>
      <c r="AS378" s="63"/>
      <c r="AT378" s="63"/>
      <c r="AV378" s="63"/>
      <c r="AW378" s="63"/>
      <c r="AX378" s="63">
        <f>--ISNUMBER(IFERROR(SEARCH(Tempset!$M$4,AM378,1),""))</f>
        <v>1</v>
      </c>
      <c r="AY378" s="63">
        <f>IF(AX378=1,COUNTIF($AX$3:AX378,1),"")</f>
        <v>376</v>
      </c>
      <c r="AZ378" s="63" t="str">
        <f>IFERROR(INDEX($AM$3:$AM$1165,MATCH(ROWS($AY$3:AY378),$AY$3:$AY$1165,0)),"")</f>
        <v>facilityMaturityDate</v>
      </c>
    </row>
    <row r="379" spans="39:52" x14ac:dyDescent="0.2">
      <c r="AM379" s="63" t="s">
        <v>1767</v>
      </c>
      <c r="AN379" s="63" t="s">
        <v>1768</v>
      </c>
      <c r="AO379" s="63"/>
      <c r="AP379" s="63"/>
      <c r="AQ379" s="63"/>
      <c r="AR379" s="63"/>
      <c r="AS379" s="63"/>
      <c r="AT379" s="63"/>
      <c r="AV379" s="63"/>
      <c r="AW379" s="63"/>
      <c r="AX379" s="63">
        <f>--ISNUMBER(IFERROR(SEARCH(Tempset!$M$4,AM379,1),""))</f>
        <v>1</v>
      </c>
      <c r="AY379" s="63">
        <f>IF(AX379=1,COUNTIF($AX$3:AX379,1),"")</f>
        <v>377</v>
      </c>
      <c r="AZ379" s="63" t="str">
        <f>IFERROR(INDEX($AM$3:$AM$1165,MATCH(ROWS($AY$3:AY379),$AY$3:$AY$1165,0)),"")</f>
        <v>facilityTypeCode</v>
      </c>
    </row>
    <row r="380" spans="39:52" x14ac:dyDescent="0.2">
      <c r="AM380" s="63" t="s">
        <v>1769</v>
      </c>
      <c r="AN380" s="63" t="s">
        <v>1770</v>
      </c>
      <c r="AO380" s="63"/>
      <c r="AP380" s="63"/>
      <c r="AQ380" s="63"/>
      <c r="AR380" s="63"/>
      <c r="AS380" s="63"/>
      <c r="AT380" s="63"/>
      <c r="AV380" s="63"/>
      <c r="AW380" s="63"/>
      <c r="AX380" s="63">
        <f>--ISNUMBER(IFERROR(SEARCH(Tempset!$M$4,AM380,1),""))</f>
        <v>1</v>
      </c>
      <c r="AY380" s="63">
        <f>IF(AX380=1,COUNTIF($AX$3:AX380,1),"")</f>
        <v>378</v>
      </c>
      <c r="AZ380" s="63" t="str">
        <f>IFERROR(INDEX($AM$3:$AM$1165,MATCH(ROWS($AY$3:AY380),$AY$3:$AY$1165,0)),"")</f>
        <v>factorCovarianceMatrix</v>
      </c>
    </row>
    <row r="381" spans="39:52" x14ac:dyDescent="0.2">
      <c r="AM381" s="63" t="s">
        <v>1771</v>
      </c>
      <c r="AN381" s="63" t="s">
        <v>1772</v>
      </c>
      <c r="AO381" s="63"/>
      <c r="AP381" s="63"/>
      <c r="AQ381" s="63"/>
      <c r="AR381" s="63"/>
      <c r="AS381" s="63"/>
      <c r="AT381" s="63"/>
      <c r="AV381" s="63"/>
      <c r="AW381" s="63"/>
      <c r="AX381" s="63">
        <f>--ISNUMBER(IFERROR(SEARCH(Tempset!$M$4,AM381,1),""))</f>
        <v>1</v>
      </c>
      <c r="AY381" s="63">
        <f>IF(AX381=1,COUNTIF($AX$3:AX381,1),"")</f>
        <v>379</v>
      </c>
      <c r="AZ381" s="63" t="str">
        <f>IFERROR(INDEX($AM$3:$AM$1165,MATCH(ROWS($AY$3:AY381),$AY$3:$AY$1165,0)),"")</f>
        <v>failureToPay</v>
      </c>
    </row>
    <row r="382" spans="39:52" x14ac:dyDescent="0.2">
      <c r="AM382" s="63" t="s">
        <v>1773</v>
      </c>
      <c r="AN382" s="63" t="s">
        <v>1774</v>
      </c>
      <c r="AO382" s="63"/>
      <c r="AP382" s="63"/>
      <c r="AQ382" s="63"/>
      <c r="AR382" s="63"/>
      <c r="AS382" s="63"/>
      <c r="AT382" s="63"/>
      <c r="AV382" s="63"/>
      <c r="AW382" s="63"/>
      <c r="AX382" s="63">
        <f>--ISNUMBER(IFERROR(SEARCH(Tempset!$M$4,AM382,1),""))</f>
        <v>1</v>
      </c>
      <c r="AY382" s="63">
        <f>IF(AX382=1,COUNTIF($AX$3:AX382,1),"")</f>
        <v>380</v>
      </c>
      <c r="AZ382" s="63" t="str">
        <f>IFERROR(INDEX($AM$3:$AM$1165,MATCH(ROWS($AY$3:AY382),$AY$3:$AY$1165,0)),"")</f>
        <v>FAS5UsageAmtCHF</v>
      </c>
    </row>
    <row r="383" spans="39:52" x14ac:dyDescent="0.2">
      <c r="AM383" s="63" t="s">
        <v>1775</v>
      </c>
      <c r="AN383" s="63" t="s">
        <v>1776</v>
      </c>
      <c r="AO383" s="63"/>
      <c r="AP383" s="63"/>
      <c r="AQ383" s="63"/>
      <c r="AR383" s="63"/>
      <c r="AS383" s="63"/>
      <c r="AT383" s="63"/>
      <c r="AV383" s="63"/>
      <c r="AW383" s="63"/>
      <c r="AX383" s="63">
        <f>--ISNUMBER(IFERROR(SEARCH(Tempset!$M$4,AM383,1),""))</f>
        <v>1</v>
      </c>
      <c r="AY383" s="63">
        <f>IF(AX383=1,COUNTIF($AX$3:AX383,1),"")</f>
        <v>381</v>
      </c>
      <c r="AZ383" s="63" t="str">
        <f>IFERROR(INDEX($AM$3:$AM$1165,MATCH(ROWS($AY$3:AY383),$AY$3:$AY$1165,0)),"")</f>
        <v>feeType</v>
      </c>
    </row>
    <row r="384" spans="39:52" x14ac:dyDescent="0.2">
      <c r="AM384" s="63" t="s">
        <v>1777</v>
      </c>
      <c r="AN384" s="63" t="s">
        <v>1778</v>
      </c>
      <c r="AO384" s="63"/>
      <c r="AP384" s="63"/>
      <c r="AQ384" s="63"/>
      <c r="AR384" s="63"/>
      <c r="AS384" s="63"/>
      <c r="AT384" s="63"/>
      <c r="AV384" s="63"/>
      <c r="AW384" s="63"/>
      <c r="AX384" s="63">
        <f>--ISNUMBER(IFERROR(SEARCH(Tempset!$M$4,AM384,1),""))</f>
        <v>1</v>
      </c>
      <c r="AY384" s="63">
        <f>IF(AX384=1,COUNTIF($AX$3:AX384,1),"")</f>
        <v>382</v>
      </c>
      <c r="AZ384" s="63" t="str">
        <f>IFERROR(INDEX($AM$3:$AM$1165,MATCH(ROWS($AY$3:AY384),$AY$3:$AY$1165,0)),"")</f>
        <v>finalExposureValue</v>
      </c>
    </row>
    <row r="385" spans="39:52" x14ac:dyDescent="0.2">
      <c r="AM385" s="63" t="s">
        <v>1779</v>
      </c>
      <c r="AN385" s="63" t="s">
        <v>1780</v>
      </c>
      <c r="AO385" s="63"/>
      <c r="AP385" s="63"/>
      <c r="AQ385" s="63"/>
      <c r="AR385" s="63"/>
      <c r="AS385" s="63"/>
      <c r="AT385" s="63"/>
      <c r="AV385" s="63"/>
      <c r="AW385" s="63"/>
      <c r="AX385" s="63">
        <f>--ISNUMBER(IFERROR(SEARCH(Tempset!$M$4,AM385,1),""))</f>
        <v>1</v>
      </c>
      <c r="AY385" s="63">
        <f>IF(AX385=1,COUNTIF($AX$3:AX385,1),"")</f>
        <v>383</v>
      </c>
      <c r="AZ385" s="63" t="str">
        <f>IFERROR(INDEX($AM$3:$AM$1165,MATCH(ROWS($AY$3:AY385),$AY$3:$AY$1165,0)),"")</f>
        <v>finalSettlementDate</v>
      </c>
    </row>
    <row r="386" spans="39:52" x14ac:dyDescent="0.2">
      <c r="AM386" s="63" t="s">
        <v>1781</v>
      </c>
      <c r="AN386" s="63" t="s">
        <v>1782</v>
      </c>
      <c r="AO386" s="63"/>
      <c r="AP386" s="63"/>
      <c r="AQ386" s="63"/>
      <c r="AR386" s="63"/>
      <c r="AS386" s="63"/>
      <c r="AT386" s="63"/>
      <c r="AV386" s="63"/>
      <c r="AW386" s="63"/>
      <c r="AX386" s="63">
        <f>--ISNUMBER(IFERROR(SEARCH(Tempset!$M$4,AM386,1),""))</f>
        <v>1</v>
      </c>
      <c r="AY386" s="63">
        <f>IF(AX386=1,COUNTIF($AX$3:AX386,1),"")</f>
        <v>384</v>
      </c>
      <c r="AZ386" s="63" t="str">
        <f>IFERROR(INDEX($AM$3:$AM$1165,MATCH(ROWS($AY$3:AY386),$AY$3:$AY$1165,0)),"")</f>
        <v>financeCounterpartyClassificationCode</v>
      </c>
    </row>
    <row r="387" spans="39:52" x14ac:dyDescent="0.2">
      <c r="AM387" s="63" t="s">
        <v>1783</v>
      </c>
      <c r="AN387" s="63" t="s">
        <v>1784</v>
      </c>
      <c r="AO387" s="63"/>
      <c r="AP387" s="63"/>
      <c r="AQ387" s="63"/>
      <c r="AR387" s="63"/>
      <c r="AS387" s="63"/>
      <c r="AT387" s="63"/>
      <c r="AV387" s="63"/>
      <c r="AW387" s="63"/>
      <c r="AX387" s="63">
        <f>--ISNUMBER(IFERROR(SEARCH(Tempset!$M$4,AM387,1),""))</f>
        <v>1</v>
      </c>
      <c r="AY387" s="63">
        <f>IF(AX387=1,COUNTIF($AX$3:AX387,1),"")</f>
        <v>385</v>
      </c>
      <c r="AZ387" s="63" t="str">
        <f>IFERROR(INDEX($AM$3:$AM$1165,MATCH(ROWS($AY$3:AY387),$AY$3:$AY$1165,0)),"")</f>
        <v>financialBusinessUnitCode</v>
      </c>
    </row>
    <row r="388" spans="39:52" x14ac:dyDescent="0.2">
      <c r="AM388" s="63" t="s">
        <v>1785</v>
      </c>
      <c r="AN388" s="63" t="s">
        <v>1786</v>
      </c>
      <c r="AO388" s="63"/>
      <c r="AP388" s="63"/>
      <c r="AQ388" s="63"/>
      <c r="AR388" s="63"/>
      <c r="AS388" s="63"/>
      <c r="AT388" s="63"/>
      <c r="AV388" s="63"/>
      <c r="AW388" s="63"/>
      <c r="AX388" s="63">
        <f>--ISNUMBER(IFERROR(SEARCH(Tempset!$M$4,AM388,1),""))</f>
        <v>1</v>
      </c>
      <c r="AY388" s="63">
        <f>IF(AX388=1,COUNTIF($AX$3:AX388,1),"")</f>
        <v>386</v>
      </c>
      <c r="AZ388" s="63" t="str">
        <f>IFERROR(INDEX($AM$3:$AM$1165,MATCH(ROWS($AY$3:AY388),$AY$3:$AY$1165,0)),"")</f>
        <v>financialInstitutionFlag</v>
      </c>
    </row>
    <row r="389" spans="39:52" x14ac:dyDescent="0.2">
      <c r="AM389" s="63" t="s">
        <v>1787</v>
      </c>
      <c r="AN389" s="63" t="s">
        <v>1788</v>
      </c>
      <c r="AO389" s="63"/>
      <c r="AP389" s="63"/>
      <c r="AQ389" s="63"/>
      <c r="AR389" s="63"/>
      <c r="AS389" s="63"/>
      <c r="AT389" s="63"/>
      <c r="AV389" s="63"/>
      <c r="AW389" s="63"/>
      <c r="AX389" s="63">
        <f>--ISNUMBER(IFERROR(SEARCH(Tempset!$M$4,AM389,1),""))</f>
        <v>1</v>
      </c>
      <c r="AY389" s="63">
        <f>IF(AX389=1,COUNTIF($AX$3:AX389,1),"")</f>
        <v>387</v>
      </c>
      <c r="AZ389" s="63" t="str">
        <f>IFERROR(INDEX($AM$3:$AM$1165,MATCH(ROWS($AY$3:AY389),$AY$3:$AY$1165,0)),"")</f>
        <v>financialInstrumentCurrency</v>
      </c>
    </row>
    <row r="390" spans="39:52" x14ac:dyDescent="0.2">
      <c r="AM390" s="63" t="s">
        <v>1789</v>
      </c>
      <c r="AN390" s="63" t="s">
        <v>1790</v>
      </c>
      <c r="AO390" s="63"/>
      <c r="AP390" s="63"/>
      <c r="AQ390" s="63"/>
      <c r="AR390" s="63"/>
      <c r="AS390" s="63"/>
      <c r="AT390" s="63"/>
      <c r="AV390" s="63"/>
      <c r="AW390" s="63"/>
      <c r="AX390" s="63">
        <f>--ISNUMBER(IFERROR(SEARCH(Tempset!$M$4,AM390,1),""))</f>
        <v>1</v>
      </c>
      <c r="AY390" s="63">
        <f>IF(AX390=1,COUNTIF($AX$3:AX390,1),"")</f>
        <v>388</v>
      </c>
      <c r="AZ390" s="63" t="str">
        <f>IFERROR(INDEX($AM$3:$AM$1165,MATCH(ROWS($AY$3:AY390),$AY$3:$AY$1165,0)),"")</f>
        <v>financialInstrumentKey</v>
      </c>
    </row>
    <row r="391" spans="39:52" x14ac:dyDescent="0.2">
      <c r="AM391" s="63" t="s">
        <v>1791</v>
      </c>
      <c r="AN391" s="63" t="s">
        <v>1792</v>
      </c>
      <c r="AO391" s="63"/>
      <c r="AP391" s="63"/>
      <c r="AQ391" s="63"/>
      <c r="AR391" s="63"/>
      <c r="AS391" s="63"/>
      <c r="AT391" s="63"/>
      <c r="AV391" s="63"/>
      <c r="AW391" s="63"/>
      <c r="AX391" s="63">
        <f>--ISNUMBER(IFERROR(SEARCH(Tempset!$M$4,AM391,1),""))</f>
        <v>1</v>
      </c>
      <c r="AY391" s="63">
        <f>IF(AX391=1,COUNTIF($AX$3:AX391,1),"")</f>
        <v>389</v>
      </c>
      <c r="AZ391" s="63" t="str">
        <f>IFERROR(INDEX($AM$3:$AM$1165,MATCH(ROWS($AY$3:AY391),$AY$3:$AY$1165,0)),"")</f>
        <v>FINMAGap6Value</v>
      </c>
    </row>
    <row r="392" spans="39:52" x14ac:dyDescent="0.2">
      <c r="AM392" s="63" t="s">
        <v>1793</v>
      </c>
      <c r="AN392" s="63" t="s">
        <v>1794</v>
      </c>
      <c r="AO392" s="63"/>
      <c r="AP392" s="63"/>
      <c r="AQ392" s="63"/>
      <c r="AR392" s="63"/>
      <c r="AS392" s="63"/>
      <c r="AT392" s="63"/>
      <c r="AV392" s="63"/>
      <c r="AW392" s="63"/>
      <c r="AX392" s="63">
        <f>--ISNUMBER(IFERROR(SEARCH(Tempset!$M$4,AM392,1),""))</f>
        <v>1</v>
      </c>
      <c r="AY392" s="63">
        <f>IF(AX392=1,COUNTIF($AX$3:AX392,1),"")</f>
        <v>390</v>
      </c>
      <c r="AZ392" s="63" t="str">
        <f>IFERROR(INDEX($AM$3:$AM$1165,MATCH(ROWS($AY$3:AY392),$AY$3:$AY$1165,0)),"")</f>
        <v>FINMAReportingDateFirst</v>
      </c>
    </row>
    <row r="393" spans="39:52" x14ac:dyDescent="0.2">
      <c r="AM393" s="63" t="s">
        <v>1795</v>
      </c>
      <c r="AN393" s="63" t="s">
        <v>1796</v>
      </c>
      <c r="AO393" s="63"/>
      <c r="AP393" s="63"/>
      <c r="AQ393" s="63"/>
      <c r="AR393" s="63"/>
      <c r="AS393" s="63"/>
      <c r="AT393" s="63"/>
      <c r="AV393" s="63"/>
      <c r="AW393" s="63"/>
      <c r="AX393" s="63">
        <f>--ISNUMBER(IFERROR(SEARCH(Tempset!$M$4,AM393,1),""))</f>
        <v>1</v>
      </c>
      <c r="AY393" s="63">
        <f>IF(AX393=1,COUNTIF($AX$3:AX393,1),"")</f>
        <v>391</v>
      </c>
      <c r="AZ393" s="63" t="str">
        <f>IFERROR(INDEX($AM$3:$AM$1165,MATCH(ROWS($AY$3:AY393),$AY$3:$AY$1165,0)),"")</f>
        <v>FINMAReReportingDateLatest</v>
      </c>
    </row>
    <row r="394" spans="39:52" x14ac:dyDescent="0.2">
      <c r="AM394" s="63" t="s">
        <v>1797</v>
      </c>
      <c r="AN394" s="63" t="s">
        <v>1798</v>
      </c>
      <c r="AO394" s="63"/>
      <c r="AP394" s="63"/>
      <c r="AQ394" s="63"/>
      <c r="AR394" s="63"/>
      <c r="AS394" s="63"/>
      <c r="AT394" s="63"/>
      <c r="AV394" s="63"/>
      <c r="AW394" s="63"/>
      <c r="AX394" s="63">
        <f>--ISNUMBER(IFERROR(SEARCH(Tempset!$M$4,AM394,1),""))</f>
        <v>1</v>
      </c>
      <c r="AY394" s="63">
        <f>IF(AX394=1,COUNTIF($AX$3:AX394,1),"")</f>
        <v>392</v>
      </c>
      <c r="AZ394" s="63" t="str">
        <f>IFERROR(INDEX($AM$3:$AM$1165,MATCH(ROWS($AY$3:AY394),$AY$3:$AY$1165,0)),"")</f>
        <v>firstExerciseDate</v>
      </c>
    </row>
    <row r="395" spans="39:52" x14ac:dyDescent="0.2">
      <c r="AM395" s="63" t="s">
        <v>1799</v>
      </c>
      <c r="AN395" s="63" t="s">
        <v>1800</v>
      </c>
      <c r="AO395" s="63"/>
      <c r="AP395" s="63"/>
      <c r="AQ395" s="63"/>
      <c r="AR395" s="63"/>
      <c r="AS395" s="63"/>
      <c r="AT395" s="63"/>
      <c r="AV395" s="63"/>
      <c r="AW395" s="63"/>
      <c r="AX395" s="63">
        <f>--ISNUMBER(IFERROR(SEARCH(Tempset!$M$4,AM395,1),""))</f>
        <v>1</v>
      </c>
      <c r="AY395" s="63">
        <f>IF(AX395=1,COUNTIF($AX$3:AX395,1),"")</f>
        <v>393</v>
      </c>
      <c r="AZ395" s="63" t="str">
        <f>IFERROR(INDEX($AM$3:$AM$1165,MATCH(ROWS($AY$3:AY395),$AY$3:$AY$1165,0)),"")</f>
        <v>firstPaymentDate</v>
      </c>
    </row>
    <row r="396" spans="39:52" x14ac:dyDescent="0.2">
      <c r="AM396" s="63" t="s">
        <v>1801</v>
      </c>
      <c r="AN396" s="63" t="s">
        <v>1802</v>
      </c>
      <c r="AO396" s="63"/>
      <c r="AP396" s="63"/>
      <c r="AQ396" s="63"/>
      <c r="AR396" s="63"/>
      <c r="AS396" s="63"/>
      <c r="AT396" s="63"/>
      <c r="AV396" s="63"/>
      <c r="AW396" s="63"/>
      <c r="AX396" s="63">
        <f>--ISNUMBER(IFERROR(SEARCH(Tempset!$M$4,AM396,1),""))</f>
        <v>1</v>
      </c>
      <c r="AY396" s="63">
        <f>IF(AX396=1,COUNTIF($AX$3:AX396,1),"")</f>
        <v>394</v>
      </c>
      <c r="AZ396" s="63" t="str">
        <f>IFERROR(INDEX($AM$3:$AM$1165,MATCH(ROWS($AY$3:AY396),$AY$3:$AY$1165,0)),"")</f>
        <v>firstSettlementDate</v>
      </c>
    </row>
    <row r="397" spans="39:52" x14ac:dyDescent="0.2">
      <c r="AM397" s="63" t="s">
        <v>1803</v>
      </c>
      <c r="AN397" s="63" t="s">
        <v>1804</v>
      </c>
      <c r="AO397" s="63"/>
      <c r="AP397" s="63"/>
      <c r="AQ397" s="63"/>
      <c r="AR397" s="63"/>
      <c r="AS397" s="63"/>
      <c r="AT397" s="63"/>
      <c r="AV397" s="63"/>
      <c r="AW397" s="63"/>
      <c r="AX397" s="63">
        <f>--ISNUMBER(IFERROR(SEARCH(Tempset!$M$4,AM397,1),""))</f>
        <v>1</v>
      </c>
      <c r="AY397" s="63">
        <f>IF(AX397=1,COUNTIF($AX$3:AX397,1),"")</f>
        <v>395</v>
      </c>
      <c r="AZ397" s="63" t="str">
        <f>IFERROR(INDEX($AM$3:$AM$1165,MATCH(ROWS($AY$3:AY397),$AY$3:$AY$1165,0)),"")</f>
        <v>fixedExchangeRate</v>
      </c>
    </row>
    <row r="398" spans="39:52" x14ac:dyDescent="0.2">
      <c r="AM398" s="63" t="s">
        <v>1805</v>
      </c>
      <c r="AN398" s="63" t="s">
        <v>1806</v>
      </c>
      <c r="AO398" s="63"/>
      <c r="AP398" s="63"/>
      <c r="AQ398" s="63"/>
      <c r="AR398" s="63"/>
      <c r="AS398" s="63"/>
      <c r="AT398" s="63"/>
      <c r="AV398" s="63"/>
      <c r="AW398" s="63"/>
      <c r="AX398" s="63">
        <f>--ISNUMBER(IFERROR(SEARCH(Tempset!$M$4,AM398,1),""))</f>
        <v>1</v>
      </c>
      <c r="AY398" s="63">
        <f>IF(AX398=1,COUNTIF($AX$3:AX398,1),"")</f>
        <v>396</v>
      </c>
      <c r="AZ398" s="63" t="str">
        <f>IFERROR(INDEX($AM$3:$AM$1165,MATCH(ROWS($AY$3:AY398),$AY$3:$AY$1165,0)),"")</f>
        <v>fixedVariableIndicator</v>
      </c>
    </row>
    <row r="399" spans="39:52" x14ac:dyDescent="0.2">
      <c r="AM399" s="63" t="s">
        <v>1807</v>
      </c>
      <c r="AN399" s="63" t="s">
        <v>1808</v>
      </c>
      <c r="AO399" s="63"/>
      <c r="AP399" s="63"/>
      <c r="AQ399" s="63"/>
      <c r="AR399" s="63"/>
      <c r="AS399" s="63"/>
      <c r="AT399" s="63"/>
      <c r="AV399" s="63"/>
      <c r="AW399" s="63"/>
      <c r="AX399" s="63">
        <f>--ISNUMBER(IFERROR(SEARCH(Tempset!$M$4,AM399,1),""))</f>
        <v>1</v>
      </c>
      <c r="AY399" s="63">
        <f>IF(AX399=1,COUNTIF($AX$3:AX399,1),"")</f>
        <v>397</v>
      </c>
      <c r="AZ399" s="63" t="str">
        <f>IFERROR(INDEX($AM$3:$AM$1165,MATCH(ROWS($AY$3:AY399),$AY$3:$AY$1165,0)),"")</f>
        <v>fixingCalendar</v>
      </c>
    </row>
    <row r="400" spans="39:52" x14ac:dyDescent="0.2">
      <c r="AM400" s="63" t="s">
        <v>1809</v>
      </c>
      <c r="AN400" s="63" t="s">
        <v>1810</v>
      </c>
      <c r="AO400" s="63"/>
      <c r="AP400" s="63"/>
      <c r="AQ400" s="63"/>
      <c r="AR400" s="63"/>
      <c r="AS400" s="63"/>
      <c r="AT400" s="63"/>
      <c r="AV400" s="63"/>
      <c r="AW400" s="63"/>
      <c r="AX400" s="63">
        <f>--ISNUMBER(IFERROR(SEARCH(Tempset!$M$4,AM400,1),""))</f>
        <v>1</v>
      </c>
      <c r="AY400" s="63">
        <f>IF(AX400=1,COUNTIF($AX$3:AX400,1),"")</f>
        <v>398</v>
      </c>
      <c r="AZ400" s="63" t="str">
        <f>IFERROR(INDEX($AM$3:$AM$1165,MATCH(ROWS($AY$3:AY400),$AY$3:$AY$1165,0)),"")</f>
        <v>fixingDate</v>
      </c>
    </row>
    <row r="401" spans="39:52" x14ac:dyDescent="0.2">
      <c r="AM401" s="63" t="s">
        <v>1811</v>
      </c>
      <c r="AN401" s="63" t="s">
        <v>1812</v>
      </c>
      <c r="AO401" s="63"/>
      <c r="AP401" s="63"/>
      <c r="AQ401" s="63"/>
      <c r="AR401" s="63"/>
      <c r="AS401" s="63"/>
      <c r="AT401" s="63"/>
      <c r="AV401" s="63"/>
      <c r="AW401" s="63"/>
      <c r="AX401" s="63">
        <f>--ISNUMBER(IFERROR(SEARCH(Tempset!$M$4,AM401,1),""))</f>
        <v>1</v>
      </c>
      <c r="AY401" s="63">
        <f>IF(AX401=1,COUNTIF($AX$3:AX401,1),"")</f>
        <v>399</v>
      </c>
      <c r="AZ401" s="63" t="str">
        <f>IFERROR(INDEX($AM$3:$AM$1165,MATCH(ROWS($AY$3:AY401),$AY$3:$AY$1165,0)),"")</f>
        <v>fixingFrequency</v>
      </c>
    </row>
    <row r="402" spans="39:52" x14ac:dyDescent="0.2">
      <c r="AM402" s="63" t="s">
        <v>1813</v>
      </c>
      <c r="AN402" s="63" t="s">
        <v>1814</v>
      </c>
      <c r="AO402" s="63"/>
      <c r="AP402" s="63"/>
      <c r="AQ402" s="63"/>
      <c r="AR402" s="63"/>
      <c r="AS402" s="63"/>
      <c r="AT402" s="63"/>
      <c r="AV402" s="63"/>
      <c r="AW402" s="63"/>
      <c r="AX402" s="63">
        <f>--ISNUMBER(IFERROR(SEARCH(Tempset!$M$4,AM402,1),""))</f>
        <v>1</v>
      </c>
      <c r="AY402" s="63">
        <f>IF(AX402=1,COUNTIF($AX$3:AX402,1),"")</f>
        <v>400</v>
      </c>
      <c r="AZ402" s="63" t="str">
        <f>IFERROR(INDEX($AM$3:$AM$1165,MATCH(ROWS($AY$3:AY402),$AY$3:$AY$1165,0)),"")</f>
        <v>flexPriceProtection</v>
      </c>
    </row>
    <row r="403" spans="39:52" x14ac:dyDescent="0.2">
      <c r="AM403" s="63" t="s">
        <v>1815</v>
      </c>
      <c r="AN403" s="63" t="s">
        <v>1816</v>
      </c>
      <c r="AO403" s="63"/>
      <c r="AP403" s="63"/>
      <c r="AQ403" s="63"/>
      <c r="AR403" s="63"/>
      <c r="AS403" s="63"/>
      <c r="AT403" s="63"/>
      <c r="AV403" s="63"/>
      <c r="AW403" s="63"/>
      <c r="AX403" s="63">
        <f>--ISNUMBER(IFERROR(SEARCH(Tempset!$M$4,AM403,1),""))</f>
        <v>1</v>
      </c>
      <c r="AY403" s="63">
        <f>IF(AX403=1,COUNTIF($AX$3:AX403,1),"")</f>
        <v>401</v>
      </c>
      <c r="AZ403" s="63" t="str">
        <f>IFERROR(INDEX($AM$3:$AM$1165,MATCH(ROWS($AY$3:AY403),$AY$3:$AY$1165,0)),"")</f>
        <v>FOContingentDealSuccessProb</v>
      </c>
    </row>
    <row r="404" spans="39:52" x14ac:dyDescent="0.2">
      <c r="AM404" s="63" t="s">
        <v>1817</v>
      </c>
      <c r="AN404" s="63" t="s">
        <v>1818</v>
      </c>
      <c r="AO404" s="63"/>
      <c r="AP404" s="63"/>
      <c r="AQ404" s="63"/>
      <c r="AR404" s="63"/>
      <c r="AS404" s="63"/>
      <c r="AT404" s="63"/>
      <c r="AV404" s="63"/>
      <c r="AW404" s="63"/>
      <c r="AX404" s="63">
        <f>--ISNUMBER(IFERROR(SEARCH(Tempset!$M$4,AM404,1),""))</f>
        <v>1</v>
      </c>
      <c r="AY404" s="63">
        <f>IF(AX404=1,COUNTIF($AX$3:AX404,1),"")</f>
        <v>402</v>
      </c>
      <c r="AZ404" s="63" t="str">
        <f>IFERROR(INDEX($AM$3:$AM$1165,MATCH(ROWS($AY$3:AY404),$AY$3:$AY$1165,0)),"")</f>
        <v>forwardPrice</v>
      </c>
    </row>
    <row r="405" spans="39:52" x14ac:dyDescent="0.2">
      <c r="AM405" s="63" t="s">
        <v>1819</v>
      </c>
      <c r="AN405" s="63" t="s">
        <v>1820</v>
      </c>
      <c r="AO405" s="63"/>
      <c r="AP405" s="63"/>
      <c r="AQ405" s="63"/>
      <c r="AR405" s="63"/>
      <c r="AS405" s="63"/>
      <c r="AT405" s="63"/>
      <c r="AV405" s="63"/>
      <c r="AW405" s="63"/>
      <c r="AX405" s="63">
        <f>--ISNUMBER(IFERROR(SEARCH(Tempset!$M$4,AM405,1),""))</f>
        <v>1</v>
      </c>
      <c r="AY405" s="63">
        <f>IF(AX405=1,COUNTIF($AX$3:AX405,1),"")</f>
        <v>403</v>
      </c>
      <c r="AZ405" s="63" t="str">
        <f>IFERROR(INDEX($AM$3:$AM$1165,MATCH(ROWS($AY$3:AY405),$AY$3:$AY$1165,0)),"")</f>
        <v>fractionOfOustandingRelevantIssueSize</v>
      </c>
    </row>
    <row r="406" spans="39:52" x14ac:dyDescent="0.2">
      <c r="AM406" s="63" t="s">
        <v>1821</v>
      </c>
      <c r="AN406" s="63" t="s">
        <v>1822</v>
      </c>
      <c r="AO406" s="63"/>
      <c r="AP406" s="63"/>
      <c r="AQ406" s="63"/>
      <c r="AR406" s="63"/>
      <c r="AS406" s="63"/>
      <c r="AT406" s="63"/>
      <c r="AV406" s="63"/>
      <c r="AW406" s="63"/>
      <c r="AX406" s="63">
        <f>--ISNUMBER(IFERROR(SEARCH(Tempset!$M$4,AM406,1),""))</f>
        <v>1</v>
      </c>
      <c r="AY406" s="63">
        <f>IF(AX406=1,COUNTIF($AX$3:AX406,1),"")</f>
        <v>404</v>
      </c>
      <c r="AZ406" s="63" t="str">
        <f>IFERROR(INDEX($AM$3:$AM$1165,MATCH(ROWS($AY$3:AY406),$AY$3:$AY$1165,0)),"")</f>
        <v>FTPAddOnSpread</v>
      </c>
    </row>
    <row r="407" spans="39:52" x14ac:dyDescent="0.2">
      <c r="AM407" s="63" t="s">
        <v>1823</v>
      </c>
      <c r="AN407" s="63" t="s">
        <v>1824</v>
      </c>
      <c r="AO407" s="63"/>
      <c r="AP407" s="63"/>
      <c r="AQ407" s="63"/>
      <c r="AR407" s="63"/>
      <c r="AS407" s="63"/>
      <c r="AT407" s="63"/>
      <c r="AV407" s="63"/>
      <c r="AW407" s="63"/>
      <c r="AX407" s="63">
        <f>--ISNUMBER(IFERROR(SEARCH(Tempset!$M$4,AM407,1),""))</f>
        <v>1</v>
      </c>
      <c r="AY407" s="63">
        <f>IF(AX407=1,COUNTIF($AX$3:AX407,1),"")</f>
        <v>405</v>
      </c>
      <c r="AZ407" s="63" t="str">
        <f>IFERROR(INDEX($AM$3:$AM$1165,MATCH(ROWS($AY$3:AY407),$AY$3:$AY$1165,0)),"")</f>
        <v>FTPBaseFundingRate</v>
      </c>
    </row>
    <row r="408" spans="39:52" x14ac:dyDescent="0.2">
      <c r="AM408" s="63" t="s">
        <v>1825</v>
      </c>
      <c r="AN408" s="63" t="s">
        <v>1826</v>
      </c>
      <c r="AO408" s="63"/>
      <c r="AP408" s="63"/>
      <c r="AQ408" s="63"/>
      <c r="AR408" s="63"/>
      <c r="AS408" s="63"/>
      <c r="AT408" s="63"/>
      <c r="AV408" s="63"/>
      <c r="AW408" s="63"/>
      <c r="AX408" s="63">
        <f>--ISNUMBER(IFERROR(SEARCH(Tempset!$M$4,AM408,1),""))</f>
        <v>1</v>
      </c>
      <c r="AY408" s="63">
        <f>IF(AX408=1,COUNTIF($AX$3:AX408,1),"")</f>
        <v>406</v>
      </c>
      <c r="AZ408" s="63" t="str">
        <f>IFERROR(INDEX($AM$3:$AM$1165,MATCH(ROWS($AY$3:AY408),$AY$3:$AY$1165,0)),"")</f>
        <v>functionalCurrencyCode</v>
      </c>
    </row>
    <row r="409" spans="39:52" x14ac:dyDescent="0.2">
      <c r="AM409" s="63" t="s">
        <v>1827</v>
      </c>
      <c r="AN409" s="63" t="s">
        <v>1828</v>
      </c>
      <c r="AO409" s="63"/>
      <c r="AP409" s="63"/>
      <c r="AQ409" s="63"/>
      <c r="AR409" s="63"/>
      <c r="AS409" s="63"/>
      <c r="AT409" s="63"/>
      <c r="AV409" s="63"/>
      <c r="AW409" s="63"/>
      <c r="AX409" s="63">
        <f>--ISNUMBER(IFERROR(SEARCH(Tempset!$M$4,AM409,1),""))</f>
        <v>1</v>
      </c>
      <c r="AY409" s="63">
        <f>IF(AX409=1,COUNTIF($AX$3:AX409,1),"")</f>
        <v>407</v>
      </c>
      <c r="AZ409" s="63" t="str">
        <f>IFERROR(INDEX($AM$3:$AM$1165,MATCH(ROWS($AY$3:AY409),$AY$3:$AY$1165,0)),"")</f>
        <v>fundExposureValue</v>
      </c>
    </row>
    <row r="410" spans="39:52" x14ac:dyDescent="0.2">
      <c r="AM410" s="63" t="s">
        <v>1829</v>
      </c>
      <c r="AN410" s="63" t="s">
        <v>1830</v>
      </c>
      <c r="AO410" s="63"/>
      <c r="AP410" s="63"/>
      <c r="AQ410" s="63"/>
      <c r="AR410" s="63"/>
      <c r="AS410" s="63"/>
      <c r="AT410" s="63"/>
      <c r="AV410" s="63"/>
      <c r="AW410" s="63"/>
      <c r="AX410" s="63">
        <f>--ISNUMBER(IFERROR(SEARCH(Tempset!$M$4,AM410,1),""))</f>
        <v>1</v>
      </c>
      <c r="AY410" s="63">
        <f>IF(AX410=1,COUNTIF($AX$3:AX410,1),"")</f>
        <v>408</v>
      </c>
      <c r="AZ410" s="63" t="str">
        <f>IFERROR(INDEX($AM$3:$AM$1165,MATCH(ROWS($AY$3:AY410),$AY$3:$AY$1165,0)),"")</f>
        <v>fundingConcentrationValue</v>
      </c>
    </row>
    <row r="411" spans="39:52" x14ac:dyDescent="0.2">
      <c r="AM411" s="63" t="s">
        <v>1831</v>
      </c>
      <c r="AN411" s="63" t="s">
        <v>1832</v>
      </c>
      <c r="AO411" s="63"/>
      <c r="AP411" s="63"/>
      <c r="AQ411" s="63"/>
      <c r="AR411" s="63"/>
      <c r="AS411" s="63"/>
      <c r="AT411" s="63"/>
      <c r="AV411" s="63"/>
      <c r="AW411" s="63"/>
      <c r="AX411" s="63">
        <f>--ISNUMBER(IFERROR(SEARCH(Tempset!$M$4,AM411,1),""))</f>
        <v>1</v>
      </c>
      <c r="AY411" s="63">
        <f>IF(AX411=1,COUNTIF($AX$3:AX411,1),"")</f>
        <v>409</v>
      </c>
      <c r="AZ411" s="63" t="str">
        <f>IFERROR(INDEX($AM$3:$AM$1165,MATCH(ROWS($AY$3:AY411),$AY$3:$AY$1165,0)),"")</f>
        <v>fundingMaturityComposition</v>
      </c>
    </row>
    <row r="412" spans="39:52" x14ac:dyDescent="0.2">
      <c r="AM412" s="63" t="s">
        <v>1833</v>
      </c>
      <c r="AN412" s="63" t="s">
        <v>1834</v>
      </c>
      <c r="AO412" s="63"/>
      <c r="AP412" s="63"/>
      <c r="AQ412" s="63"/>
      <c r="AR412" s="63"/>
      <c r="AS412" s="63"/>
      <c r="AT412" s="63"/>
      <c r="AV412" s="63"/>
      <c r="AW412" s="63"/>
      <c r="AX412" s="63">
        <f>--ISNUMBER(IFERROR(SEARCH(Tempset!$M$4,AM412,1),""))</f>
        <v>1</v>
      </c>
      <c r="AY412" s="63">
        <f>IF(AX412=1,COUNTIF($AX$3:AX412,1),"")</f>
        <v>410</v>
      </c>
      <c r="AZ412" s="63" t="str">
        <f>IFERROR(INDEX($AM$3:$AM$1165,MATCH(ROWS($AY$3:AY412),$AY$3:$AY$1165,0)),"")</f>
        <v>fundingSurplusAmount</v>
      </c>
    </row>
    <row r="413" spans="39:52" x14ac:dyDescent="0.2">
      <c r="AM413" s="63" t="s">
        <v>1835</v>
      </c>
      <c r="AN413" s="63" t="s">
        <v>1836</v>
      </c>
      <c r="AO413" s="63"/>
      <c r="AP413" s="63"/>
      <c r="AQ413" s="63"/>
      <c r="AR413" s="63"/>
      <c r="AS413" s="63"/>
      <c r="AT413" s="63"/>
      <c r="AV413" s="63"/>
      <c r="AW413" s="63"/>
      <c r="AX413" s="63">
        <f>--ISNUMBER(IFERROR(SEARCH(Tempset!$M$4,AM413,1),""))</f>
        <v>1</v>
      </c>
      <c r="AY413" s="63">
        <f>IF(AX413=1,COUNTIF($AX$3:AX413,1),"")</f>
        <v>411</v>
      </c>
      <c r="AZ413" s="63" t="str">
        <f>IFERROR(INDEX($AM$3:$AM$1165,MATCH(ROWS($AY$3:AY413),$AY$3:$AY$1165,0)),"")</f>
        <v>fundName</v>
      </c>
    </row>
    <row r="414" spans="39:52" x14ac:dyDescent="0.2">
      <c r="AM414" s="63" t="s">
        <v>1837</v>
      </c>
      <c r="AN414" s="63" t="s">
        <v>1838</v>
      </c>
      <c r="AO414" s="63"/>
      <c r="AP414" s="63"/>
      <c r="AQ414" s="63"/>
      <c r="AR414" s="63"/>
      <c r="AS414" s="63"/>
      <c r="AT414" s="63"/>
      <c r="AV414" s="63"/>
      <c r="AW414" s="63"/>
      <c r="AX414" s="63">
        <f>--ISNUMBER(IFERROR(SEARCH(Tempset!$M$4,AM414,1),""))</f>
        <v>1</v>
      </c>
      <c r="AY414" s="63">
        <f>IF(AX414=1,COUNTIF($AX$3:AX414,1),"")</f>
        <v>412</v>
      </c>
      <c r="AZ414" s="63" t="str">
        <f>IFERROR(INDEX($AM$3:$AM$1165,MATCH(ROWS($AY$3:AY414),$AY$3:$AY$1165,0)),"")</f>
        <v>fundType</v>
      </c>
    </row>
    <row r="415" spans="39:52" x14ac:dyDescent="0.2">
      <c r="AM415" s="63" t="s">
        <v>1839</v>
      </c>
      <c r="AN415" s="63" t="s">
        <v>1840</v>
      </c>
      <c r="AO415" s="63"/>
      <c r="AP415" s="63"/>
      <c r="AQ415" s="63"/>
      <c r="AR415" s="63"/>
      <c r="AS415" s="63"/>
      <c r="AT415" s="63"/>
      <c r="AV415" s="63"/>
      <c r="AW415" s="63"/>
      <c r="AX415" s="63">
        <f>--ISNUMBER(IFERROR(SEARCH(Tempset!$M$4,AM415,1),""))</f>
        <v>1</v>
      </c>
      <c r="AY415" s="63">
        <f>IF(AX415=1,COUNTIF($AX$3:AX415,1),"")</f>
        <v>413</v>
      </c>
      <c r="AZ415" s="63" t="str">
        <f>IFERROR(INDEX($AM$3:$AM$1165,MATCH(ROWS($AY$3:AY415),$AY$3:$AY$1165,0)),"")</f>
        <v>FVODHaircut</v>
      </c>
    </row>
    <row r="416" spans="39:52" x14ac:dyDescent="0.2">
      <c r="AM416" s="63" t="s">
        <v>1841</v>
      </c>
      <c r="AN416" s="63" t="s">
        <v>1842</v>
      </c>
      <c r="AO416" s="63"/>
      <c r="AP416" s="63"/>
      <c r="AQ416" s="63"/>
      <c r="AR416" s="63"/>
      <c r="AS416" s="63"/>
      <c r="AT416" s="63"/>
      <c r="AV416" s="63"/>
      <c r="AW416" s="63"/>
      <c r="AX416" s="63">
        <f>--ISNUMBER(IFERROR(SEARCH(Tempset!$M$4,AM416,1),""))</f>
        <v>1</v>
      </c>
      <c r="AY416" s="63">
        <f>IF(AX416=1,COUNTIF($AX$3:AX416,1),"")</f>
        <v>414</v>
      </c>
      <c r="AZ416" s="63" t="str">
        <f>IFERROR(INDEX($AM$3:$AM$1165,MATCH(ROWS($AY$3:AY416),$AY$3:$AY$1165,0)),"")</f>
        <v>FxContingentERCValue</v>
      </c>
    </row>
    <row r="417" spans="39:52" x14ac:dyDescent="0.2">
      <c r="AM417" s="63" t="s">
        <v>1843</v>
      </c>
      <c r="AN417" s="63" t="s">
        <v>1844</v>
      </c>
      <c r="AO417" s="63"/>
      <c r="AP417" s="63"/>
      <c r="AQ417" s="63"/>
      <c r="AR417" s="63"/>
      <c r="AS417" s="63"/>
      <c r="AT417" s="63"/>
      <c r="AV417" s="63"/>
      <c r="AW417" s="63"/>
      <c r="AX417" s="63">
        <f>--ISNUMBER(IFERROR(SEARCH(Tempset!$M$4,AM417,1),""))</f>
        <v>1</v>
      </c>
      <c r="AY417" s="63">
        <f>IF(AX417=1,COUNTIF($AX$3:AX417,1),"")</f>
        <v>415</v>
      </c>
      <c r="AZ417" s="63" t="str">
        <f>IFERROR(INDEX($AM$3:$AM$1165,MATCH(ROWS($AY$3:AY417),$AY$3:$AY$1165,0)),"")</f>
        <v>FXTAddOnValue</v>
      </c>
    </row>
    <row r="418" spans="39:52" x14ac:dyDescent="0.2">
      <c r="AM418" s="63" t="s">
        <v>1845</v>
      </c>
      <c r="AN418" s="63" t="s">
        <v>1846</v>
      </c>
      <c r="AO418" s="63"/>
      <c r="AP418" s="63"/>
      <c r="AQ418" s="63"/>
      <c r="AR418" s="63"/>
      <c r="AS418" s="63"/>
      <c r="AT418" s="63"/>
      <c r="AV418" s="63"/>
      <c r="AW418" s="63"/>
      <c r="AX418" s="63">
        <f>--ISNUMBER(IFERROR(SEARCH(Tempset!$M$4,AM418,1),""))</f>
        <v>1</v>
      </c>
      <c r="AY418" s="63">
        <f>IF(AX418=1,COUNTIF($AX$3:AX418,1),"")</f>
        <v>416</v>
      </c>
      <c r="AZ418" s="63" t="str">
        <f>IFERROR(INDEX($AM$3:$AM$1165,MATCH(ROWS($AY$3:AY418),$AY$3:$AY$1165,0)),"")</f>
        <v>FXVolatilityHaircut</v>
      </c>
    </row>
    <row r="419" spans="39:52" x14ac:dyDescent="0.2">
      <c r="AM419" s="63" t="s">
        <v>1847</v>
      </c>
      <c r="AN419" s="63" t="s">
        <v>1848</v>
      </c>
      <c r="AO419" s="63"/>
      <c r="AP419" s="63"/>
      <c r="AQ419" s="63"/>
      <c r="AR419" s="63"/>
      <c r="AS419" s="63"/>
      <c r="AT419" s="63"/>
      <c r="AV419" s="63"/>
      <c r="AW419" s="63"/>
      <c r="AX419" s="63">
        <f>--ISNUMBER(IFERROR(SEARCH(Tempset!$M$4,AM419,1),""))</f>
        <v>1</v>
      </c>
      <c r="AY419" s="63">
        <f>IF(AX419=1,COUNTIF($AX$3:AX419,1),"")</f>
        <v>417</v>
      </c>
      <c r="AZ419" s="63" t="str">
        <f>IFERROR(INDEX($AM$3:$AM$1165,MATCH(ROWS($AY$3:AY419),$AY$3:$AY$1165,0)),"")</f>
        <v>GAAPID</v>
      </c>
    </row>
    <row r="420" spans="39:52" x14ac:dyDescent="0.2">
      <c r="AM420" s="63" t="s">
        <v>1849</v>
      </c>
      <c r="AN420" s="63" t="s">
        <v>1850</v>
      </c>
      <c r="AO420" s="63"/>
      <c r="AP420" s="63"/>
      <c r="AQ420" s="63"/>
      <c r="AR420" s="63"/>
      <c r="AS420" s="63"/>
      <c r="AT420" s="63"/>
      <c r="AV420" s="63"/>
      <c r="AW420" s="63"/>
      <c r="AX420" s="63">
        <f>--ISNUMBER(IFERROR(SEARCH(Tempset!$M$4,AM420,1),""))</f>
        <v>1</v>
      </c>
      <c r="AY420" s="63">
        <f>IF(AX420=1,COUNTIF($AX$3:AX420,1),"")</f>
        <v>418</v>
      </c>
      <c r="AZ420" s="63" t="str">
        <f>IFERROR(INDEX($AM$3:$AM$1165,MATCH(ROWS($AY$3:AY420),$AY$3:$AY$1165,0)),"")</f>
        <v>GACInstrumentCategory</v>
      </c>
    </row>
    <row r="421" spans="39:52" x14ac:dyDescent="0.2">
      <c r="AM421" s="63" t="s">
        <v>1851</v>
      </c>
      <c r="AN421" s="63" t="s">
        <v>1852</v>
      </c>
      <c r="AO421" s="63"/>
      <c r="AP421" s="63"/>
      <c r="AQ421" s="63"/>
      <c r="AR421" s="63"/>
      <c r="AS421" s="63"/>
      <c r="AT421" s="63"/>
      <c r="AV421" s="63"/>
      <c r="AW421" s="63"/>
      <c r="AX421" s="63">
        <f>--ISNUMBER(IFERROR(SEARCH(Tempset!$M$4,AM421,1),""))</f>
        <v>1</v>
      </c>
      <c r="AY421" s="63">
        <f>IF(AX421=1,COUNTIF($AX$3:AX421,1),"")</f>
        <v>419</v>
      </c>
      <c r="AZ421" s="63" t="str">
        <f>IFERROR(INDEX($AM$3:$AM$1165,MATCH(ROWS($AY$3:AY421),$AY$3:$AY$1165,0)),"")</f>
        <v>GACMarketCategory</v>
      </c>
    </row>
    <row r="422" spans="39:52" x14ac:dyDescent="0.2">
      <c r="AM422" s="63" t="s">
        <v>1853</v>
      </c>
      <c r="AN422" s="63" t="s">
        <v>1854</v>
      </c>
      <c r="AO422" s="63"/>
      <c r="AP422" s="63"/>
      <c r="AQ422" s="63"/>
      <c r="AR422" s="63"/>
      <c r="AS422" s="63"/>
      <c r="AT422" s="63"/>
      <c r="AV422" s="63"/>
      <c r="AW422" s="63"/>
      <c r="AX422" s="63">
        <f>--ISNUMBER(IFERROR(SEARCH(Tempset!$M$4,AM422,1),""))</f>
        <v>1</v>
      </c>
      <c r="AY422" s="63">
        <f>IF(AX422=1,COUNTIF($AX$3:AX422,1),"")</f>
        <v>420</v>
      </c>
      <c r="AZ422" s="63" t="str">
        <f>IFERROR(INDEX($AM$3:$AM$1165,MATCH(ROWS($AY$3:AY422),$AY$3:$AY$1165,0)),"")</f>
        <v>GACSalesCategory</v>
      </c>
    </row>
    <row r="423" spans="39:52" x14ac:dyDescent="0.2">
      <c r="AM423" s="63" t="s">
        <v>1855</v>
      </c>
      <c r="AN423" s="63" t="s">
        <v>1856</v>
      </c>
      <c r="AO423" s="63"/>
      <c r="AP423" s="63"/>
      <c r="AQ423" s="63"/>
      <c r="AR423" s="63"/>
      <c r="AS423" s="63"/>
      <c r="AT423" s="63"/>
      <c r="AV423" s="63"/>
      <c r="AW423" s="63"/>
      <c r="AX423" s="63">
        <f>--ISNUMBER(IFERROR(SEARCH(Tempset!$M$4,AM423,1),""))</f>
        <v>1</v>
      </c>
      <c r="AY423" s="63">
        <f>IF(AX423=1,COUNTIF($AX$3:AX423,1),"")</f>
        <v>421</v>
      </c>
      <c r="AZ423" s="63" t="str">
        <f>IFERROR(INDEX($AM$3:$AM$1165,MATCH(ROWS($AY$3:AY423),$AY$3:$AY$1165,0)),"")</f>
        <v>GCCExposureMoveValue</v>
      </c>
    </row>
    <row r="424" spans="39:52" x14ac:dyDescent="0.2">
      <c r="AM424" s="63" t="s">
        <v>1857</v>
      </c>
      <c r="AN424" s="63" t="s">
        <v>1858</v>
      </c>
      <c r="AO424" s="63"/>
      <c r="AP424" s="63"/>
      <c r="AQ424" s="63"/>
      <c r="AR424" s="63"/>
      <c r="AS424" s="63"/>
      <c r="AT424" s="63"/>
      <c r="AV424" s="63"/>
      <c r="AW424" s="63"/>
      <c r="AX424" s="63">
        <f>--ISNUMBER(IFERROR(SEARCH(Tempset!$M$4,AM424,1),""))</f>
        <v>1</v>
      </c>
      <c r="AY424" s="63">
        <f>IF(AX424=1,COUNTIF($AX$3:AX424,1),"")</f>
        <v>422</v>
      </c>
      <c r="AZ424" s="63" t="str">
        <f>IFERROR(INDEX($AM$3:$AM$1165,MATCH(ROWS($AY$3:AY424),$AY$3:$AY$1165,0)),"")</f>
        <v>gender</v>
      </c>
    </row>
    <row r="425" spans="39:52" x14ac:dyDescent="0.2">
      <c r="AM425" s="63" t="s">
        <v>1859</v>
      </c>
      <c r="AN425" s="63" t="s">
        <v>1860</v>
      </c>
      <c r="AO425" s="63"/>
      <c r="AP425" s="63"/>
      <c r="AQ425" s="63"/>
      <c r="AR425" s="63"/>
      <c r="AS425" s="63"/>
      <c r="AT425" s="63"/>
      <c r="AV425" s="63"/>
      <c r="AW425" s="63"/>
      <c r="AX425" s="63">
        <f>--ISNUMBER(IFERROR(SEARCH(Tempset!$M$4,AM425,1),""))</f>
        <v>1</v>
      </c>
      <c r="AY425" s="63">
        <f>IF(AX425=1,COUNTIF($AX$3:AX425,1),"")</f>
        <v>423</v>
      </c>
      <c r="AZ425" s="63" t="str">
        <f>IFERROR(INDEX($AM$3:$AM$1165,MATCH(ROWS($AY$3:AY425),$AY$3:$AY$1165,0)),"")</f>
        <v>generalLedgerAmountTypeCode</v>
      </c>
    </row>
    <row r="426" spans="39:52" x14ac:dyDescent="0.2">
      <c r="AM426" s="63" t="s">
        <v>1861</v>
      </c>
      <c r="AN426" s="63" t="s">
        <v>1862</v>
      </c>
      <c r="AO426" s="63"/>
      <c r="AP426" s="63"/>
      <c r="AQ426" s="63"/>
      <c r="AR426" s="63"/>
      <c r="AS426" s="63"/>
      <c r="AT426" s="63"/>
      <c r="AV426" s="63"/>
      <c r="AW426" s="63"/>
      <c r="AX426" s="63">
        <f>--ISNUMBER(IFERROR(SEARCH(Tempset!$M$4,AM426,1),""))</f>
        <v>1</v>
      </c>
      <c r="AY426" s="63">
        <f>IF(AX426=1,COUNTIF($AX$3:AX426,1),"")</f>
        <v>424</v>
      </c>
      <c r="AZ426" s="63" t="str">
        <f>IFERROR(INDEX($AM$3:$AM$1165,MATCH(ROWS($AY$3:AY426),$AY$3:$AY$1165,0)),"")</f>
        <v>givenPreHaircutValue</v>
      </c>
    </row>
    <row r="427" spans="39:52" x14ac:dyDescent="0.2">
      <c r="AM427" s="63" t="s">
        <v>1863</v>
      </c>
      <c r="AN427" s="63" t="s">
        <v>1864</v>
      </c>
      <c r="AO427" s="63"/>
      <c r="AP427" s="63"/>
      <c r="AQ427" s="63"/>
      <c r="AR427" s="63"/>
      <c r="AS427" s="63"/>
      <c r="AT427" s="63"/>
      <c r="AV427" s="63"/>
      <c r="AW427" s="63"/>
      <c r="AX427" s="63">
        <f>--ISNUMBER(IFERROR(SEARCH(Tempset!$M$4,AM427,1),""))</f>
        <v>1</v>
      </c>
      <c r="AY427" s="63">
        <f>IF(AX427=1,COUNTIF($AX$3:AX427,1),"")</f>
        <v>425</v>
      </c>
      <c r="AZ427" s="63" t="str">
        <f>IFERROR(INDEX($AM$3:$AM$1165,MATCH(ROWS($AY$3:AY427),$AY$3:$AY$1165,0)),"")</f>
        <v>GLAccountCode</v>
      </c>
    </row>
    <row r="428" spans="39:52" x14ac:dyDescent="0.2">
      <c r="AM428" s="63" t="s">
        <v>1865</v>
      </c>
      <c r="AN428" s="63" t="s">
        <v>1866</v>
      </c>
      <c r="AO428" s="63"/>
      <c r="AP428" s="63"/>
      <c r="AQ428" s="63"/>
      <c r="AR428" s="63"/>
      <c r="AS428" s="63"/>
      <c r="AT428" s="63"/>
      <c r="AV428" s="63"/>
      <c r="AW428" s="63"/>
      <c r="AX428" s="63">
        <f>--ISNUMBER(IFERROR(SEARCH(Tempset!$M$4,AM428,1),""))</f>
        <v>1</v>
      </c>
      <c r="AY428" s="63">
        <f>IF(AX428=1,COUNTIF($AX$3:AX428,1),"")</f>
        <v>426</v>
      </c>
      <c r="AZ428" s="63" t="str">
        <f>IFERROR(INDEX($AM$3:$AM$1165,MATCH(ROWS($AY$3:AY428),$AY$3:$AY$1165,0)),"")</f>
        <v>GLAccountType</v>
      </c>
    </row>
    <row r="429" spans="39:52" x14ac:dyDescent="0.2">
      <c r="AM429" s="63" t="s">
        <v>1867</v>
      </c>
      <c r="AN429" s="63" t="s">
        <v>1868</v>
      </c>
      <c r="AO429" s="63"/>
      <c r="AP429" s="63"/>
      <c r="AQ429" s="63"/>
      <c r="AR429" s="63"/>
      <c r="AS429" s="63"/>
      <c r="AT429" s="63"/>
      <c r="AV429" s="63"/>
      <c r="AW429" s="63"/>
      <c r="AX429" s="63">
        <f>--ISNUMBER(IFERROR(SEARCH(Tempset!$M$4,AM429,1),""))</f>
        <v>1</v>
      </c>
      <c r="AY429" s="63">
        <f>IF(AX429=1,COUNTIF($AX$3:AX429,1),"")</f>
        <v>427</v>
      </c>
      <c r="AZ429" s="63" t="str">
        <f>IFERROR(INDEX($AM$3:$AM$1165,MATCH(ROWS($AY$3:AY429),$AY$3:$AY$1165,0)),"")</f>
        <v>globalBookId</v>
      </c>
    </row>
    <row r="430" spans="39:52" x14ac:dyDescent="0.2">
      <c r="AM430" s="63" t="s">
        <v>1869</v>
      </c>
      <c r="AN430" s="63" t="s">
        <v>1870</v>
      </c>
      <c r="AO430" s="63"/>
      <c r="AP430" s="63"/>
      <c r="AQ430" s="63"/>
      <c r="AR430" s="63"/>
      <c r="AS430" s="63"/>
      <c r="AT430" s="63"/>
      <c r="AV430" s="63"/>
      <c r="AW430" s="63"/>
      <c r="AX430" s="63">
        <f>--ISNUMBER(IFERROR(SEARCH(Tempset!$M$4,AM430,1),""))</f>
        <v>1</v>
      </c>
      <c r="AY430" s="63">
        <f>IF(AX430=1,COUNTIF($AX$3:AX430,1),"")</f>
        <v>428</v>
      </c>
      <c r="AZ430" s="63" t="str">
        <f>IFERROR(INDEX($AM$3:$AM$1165,MATCH(ROWS($AY$3:AY430),$AY$3:$AY$1165,0)),"")</f>
        <v>globalDepartmentId</v>
      </c>
    </row>
    <row r="431" spans="39:52" x14ac:dyDescent="0.2">
      <c r="AM431" s="63" t="s">
        <v>1871</v>
      </c>
      <c r="AN431" s="63" t="s">
        <v>1872</v>
      </c>
      <c r="AO431" s="63"/>
      <c r="AP431" s="63"/>
      <c r="AQ431" s="63"/>
      <c r="AR431" s="63"/>
      <c r="AS431" s="63"/>
      <c r="AT431" s="63"/>
      <c r="AV431" s="63"/>
      <c r="AW431" s="63"/>
      <c r="AX431" s="63">
        <f>--ISNUMBER(IFERROR(SEARCH(Tempset!$M$4,AM431,1),""))</f>
        <v>1</v>
      </c>
      <c r="AY431" s="63">
        <f>IF(AX431=1,COUNTIF($AX$3:AX431,1),"")</f>
        <v>429</v>
      </c>
      <c r="AZ431" s="63" t="str">
        <f>IFERROR(INDEX($AM$3:$AM$1165,MATCH(ROWS($AY$3:AY431),$AY$3:$AY$1165,0)),"")</f>
        <v>GLSubAccountCode</v>
      </c>
    </row>
    <row r="432" spans="39:52" x14ac:dyDescent="0.2">
      <c r="AM432" s="63" t="s">
        <v>1873</v>
      </c>
      <c r="AN432" s="63" t="s">
        <v>1874</v>
      </c>
      <c r="AO432" s="63"/>
      <c r="AP432" s="63"/>
      <c r="AQ432" s="63"/>
      <c r="AR432" s="63"/>
      <c r="AS432" s="63"/>
      <c r="AT432" s="63"/>
      <c r="AV432" s="63"/>
      <c r="AW432" s="63"/>
      <c r="AX432" s="63">
        <f>--ISNUMBER(IFERROR(SEARCH(Tempset!$M$4,AM432,1),""))</f>
        <v>1</v>
      </c>
      <c r="AY432" s="63">
        <f>IF(AX432=1,COUNTIF($AX$3:AX432,1),"")</f>
        <v>430</v>
      </c>
      <c r="AZ432" s="63" t="str">
        <f>IFERROR(INDEX($AM$3:$AM$1165,MATCH(ROWS($AY$3:AY432),$AY$3:$AY$1165,0)),"")</f>
        <v>GMHedgesModelParameters</v>
      </c>
    </row>
    <row r="433" spans="39:52" x14ac:dyDescent="0.2">
      <c r="AM433" s="63" t="s">
        <v>1875</v>
      </c>
      <c r="AN433" s="63" t="s">
        <v>1876</v>
      </c>
      <c r="AO433" s="63"/>
      <c r="AP433" s="63"/>
      <c r="AQ433" s="63"/>
      <c r="AR433" s="63"/>
      <c r="AS433" s="63"/>
      <c r="AT433" s="63"/>
      <c r="AV433" s="63"/>
      <c r="AW433" s="63"/>
      <c r="AX433" s="63">
        <f>--ISNUMBER(IFERROR(SEARCH(Tempset!$M$4,AM433,1),""))</f>
        <v>1</v>
      </c>
      <c r="AY433" s="63">
        <f>IF(AX433=1,COUNTIF($AX$3:AX433,1),"")</f>
        <v>431</v>
      </c>
      <c r="AZ433" s="63" t="str">
        <f>IFERROR(INDEX($AM$3:$AM$1165,MATCH(ROWS($AY$3:AY433),$AY$3:$AY$1165,0)),"")</f>
        <v>GMManagementBROverlays</v>
      </c>
    </row>
    <row r="434" spans="39:52" x14ac:dyDescent="0.2">
      <c r="AM434" s="63" t="s">
        <v>1877</v>
      </c>
      <c r="AN434" s="63" t="s">
        <v>1878</v>
      </c>
      <c r="AO434" s="63"/>
      <c r="AP434" s="63"/>
      <c r="AQ434" s="63"/>
      <c r="AR434" s="63"/>
      <c r="AS434" s="63"/>
      <c r="AT434" s="63"/>
      <c r="AV434" s="63"/>
      <c r="AW434" s="63"/>
      <c r="AX434" s="63">
        <f>--ISNUMBER(IFERROR(SEARCH(Tempset!$M$4,AM434,1),""))</f>
        <v>1</v>
      </c>
      <c r="AY434" s="63">
        <f>IF(AX434=1,COUNTIF($AX$3:AX434,1),"")</f>
        <v>432</v>
      </c>
      <c r="AZ434" s="63" t="str">
        <f>IFERROR(INDEX($AM$3:$AM$1165,MATCH(ROWS($AY$3:AY434),$AY$3:$AY$1165,0)),"")</f>
        <v>GMManagementCRBufferValue</v>
      </c>
    </row>
    <row r="435" spans="39:52" x14ac:dyDescent="0.2">
      <c r="AM435" s="63" t="s">
        <v>1879</v>
      </c>
      <c r="AN435" s="63" t="s">
        <v>1880</v>
      </c>
      <c r="AO435" s="63"/>
      <c r="AP435" s="63"/>
      <c r="AQ435" s="63"/>
      <c r="AR435" s="63"/>
      <c r="AS435" s="63"/>
      <c r="AT435" s="63"/>
      <c r="AV435" s="63"/>
      <c r="AW435" s="63"/>
      <c r="AX435" s="63">
        <f>--ISNUMBER(IFERROR(SEARCH(Tempset!$M$4,AM435,1),""))</f>
        <v>1</v>
      </c>
      <c r="AY435" s="63">
        <f>IF(AX435=1,COUNTIF($AX$3:AX435,1),"")</f>
        <v>433</v>
      </c>
      <c r="AZ435" s="63" t="str">
        <f>IFERROR(INDEX($AM$3:$AM$1165,MATCH(ROWS($AY$3:AY435),$AY$3:$AY$1165,0)),"")</f>
        <v>GMManagementMROverlays</v>
      </c>
    </row>
    <row r="436" spans="39:52" x14ac:dyDescent="0.2">
      <c r="AM436" s="63" t="s">
        <v>1881</v>
      </c>
      <c r="AN436" s="63" t="s">
        <v>1882</v>
      </c>
      <c r="AO436" s="63"/>
      <c r="AP436" s="63"/>
      <c r="AQ436" s="63"/>
      <c r="AR436" s="63"/>
      <c r="AS436" s="63"/>
      <c r="AT436" s="63"/>
      <c r="AV436" s="63"/>
      <c r="AW436" s="63"/>
      <c r="AX436" s="63">
        <f>--ISNUMBER(IFERROR(SEARCH(Tempset!$M$4,AM436,1),""))</f>
        <v>1</v>
      </c>
      <c r="AY436" s="63">
        <f>IF(AX436=1,COUNTIF($AX$3:AX436,1),"")</f>
        <v>434</v>
      </c>
      <c r="AZ436" s="63" t="str">
        <f>IFERROR(INDEX($AM$3:$AM$1165,MATCH(ROWS($AY$3:AY436),$AY$3:$AY$1165,0)),"")</f>
        <v>grantPrice</v>
      </c>
    </row>
    <row r="437" spans="39:52" x14ac:dyDescent="0.2">
      <c r="AM437" s="63" t="s">
        <v>1883</v>
      </c>
      <c r="AN437" s="63" t="s">
        <v>1884</v>
      </c>
      <c r="AO437" s="63"/>
      <c r="AP437" s="63"/>
      <c r="AQ437" s="63"/>
      <c r="AR437" s="63"/>
      <c r="AS437" s="63"/>
      <c r="AT437" s="63"/>
      <c r="AV437" s="63"/>
      <c r="AW437" s="63"/>
      <c r="AX437" s="63">
        <f>--ISNUMBER(IFERROR(SEARCH(Tempset!$M$4,AM437,1),""))</f>
        <v>1</v>
      </c>
      <c r="AY437" s="63">
        <f>IF(AX437=1,COUNTIF($AX$3:AX437,1),"")</f>
        <v>435</v>
      </c>
      <c r="AZ437" s="63" t="str">
        <f>IFERROR(INDEX($AM$3:$AM$1165,MATCH(ROWS($AY$3:AY437),$AY$3:$AY$1165,0)),"")</f>
        <v>granularityCode</v>
      </c>
    </row>
    <row r="438" spans="39:52" x14ac:dyDescent="0.2">
      <c r="AM438" s="63" t="s">
        <v>1885</v>
      </c>
      <c r="AN438" s="63" t="s">
        <v>1886</v>
      </c>
      <c r="AO438" s="63"/>
      <c r="AP438" s="63"/>
      <c r="AQ438" s="63"/>
      <c r="AR438" s="63"/>
      <c r="AS438" s="63"/>
      <c r="AT438" s="63"/>
      <c r="AV438" s="63"/>
      <c r="AW438" s="63"/>
      <c r="AX438" s="63">
        <f>--ISNUMBER(IFERROR(SEARCH(Tempset!$M$4,AM438,1),""))</f>
        <v>1</v>
      </c>
      <c r="AY438" s="63">
        <f>IF(AX438=1,COUNTIF($AX$3:AX438,1),"")</f>
        <v>436</v>
      </c>
      <c r="AZ438" s="63" t="str">
        <f>IFERROR(INDEX($AM$3:$AM$1165,MATCH(ROWS($AY$3:AY438),$AY$3:$AY$1165,0)),"")</f>
        <v>grossEADValue</v>
      </c>
    </row>
    <row r="439" spans="39:52" x14ac:dyDescent="0.2">
      <c r="AM439" s="63" t="s">
        <v>1887</v>
      </c>
      <c r="AN439" s="63" t="s">
        <v>1888</v>
      </c>
      <c r="AO439" s="63"/>
      <c r="AP439" s="63"/>
      <c r="AQ439" s="63"/>
      <c r="AR439" s="63"/>
      <c r="AS439" s="63"/>
      <c r="AT439" s="63"/>
      <c r="AV439" s="63"/>
      <c r="AW439" s="63"/>
      <c r="AX439" s="63">
        <f>--ISNUMBER(IFERROR(SEARCH(Tempset!$M$4,AM439,1),""))</f>
        <v>1</v>
      </c>
      <c r="AY439" s="63">
        <f>IF(AX439=1,COUNTIF($AX$3:AX439,1),"")</f>
        <v>437</v>
      </c>
      <c r="AZ439" s="63" t="str">
        <f>IFERROR(INDEX($AM$3:$AM$1165,MATCH(ROWS($AY$3:AY439),$AY$3:$AY$1165,0)),"")</f>
        <v>grossLoansAndCommitmentsExposureValue</v>
      </c>
    </row>
    <row r="440" spans="39:52" x14ac:dyDescent="0.2">
      <c r="AM440" s="63" t="s">
        <v>1889</v>
      </c>
      <c r="AN440" s="63" t="s">
        <v>1890</v>
      </c>
      <c r="AO440" s="63"/>
      <c r="AP440" s="63"/>
      <c r="AQ440" s="63"/>
      <c r="AR440" s="63"/>
      <c r="AS440" s="63"/>
      <c r="AT440" s="63"/>
      <c r="AV440" s="63"/>
      <c r="AW440" s="63"/>
      <c r="AX440" s="63">
        <f>--ISNUMBER(IFERROR(SEARCH(Tempset!$M$4,AM440,1),""))</f>
        <v>1</v>
      </c>
      <c r="AY440" s="63">
        <f>IF(AX440=1,COUNTIF($AX$3:AX440,1),"")</f>
        <v>438</v>
      </c>
      <c r="AZ440" s="63" t="str">
        <f>IFERROR(INDEX($AM$3:$AM$1165,MATCH(ROWS($AY$3:AY440),$AY$3:$AY$1165,0)),"")</f>
        <v>guaranteeAmount</v>
      </c>
    </row>
    <row r="441" spans="39:52" x14ac:dyDescent="0.2">
      <c r="AM441" s="63" t="s">
        <v>1891</v>
      </c>
      <c r="AN441" s="63" t="s">
        <v>1892</v>
      </c>
      <c r="AO441" s="63"/>
      <c r="AP441" s="63"/>
      <c r="AQ441" s="63"/>
      <c r="AR441" s="63"/>
      <c r="AS441" s="63"/>
      <c r="AT441" s="63"/>
      <c r="AV441" s="63"/>
      <c r="AW441" s="63"/>
      <c r="AX441" s="63">
        <f>--ISNUMBER(IFERROR(SEARCH(Tempset!$M$4,AM441,1),""))</f>
        <v>1</v>
      </c>
      <c r="AY441" s="63">
        <f>IF(AX441=1,COUNTIF($AX$3:AX441,1),"")</f>
        <v>439</v>
      </c>
      <c r="AZ441" s="63" t="str">
        <f>IFERROR(INDEX($AM$3:$AM$1165,MATCH(ROWS($AY$3:AY441),$AY$3:$AY$1165,0)),"")</f>
        <v>guaranteeCurrency</v>
      </c>
    </row>
    <row r="442" spans="39:52" x14ac:dyDescent="0.2">
      <c r="AM442" s="63" t="s">
        <v>1893</v>
      </c>
      <c r="AN442" s="63" t="s">
        <v>1894</v>
      </c>
      <c r="AO442" s="63"/>
      <c r="AP442" s="63"/>
      <c r="AQ442" s="63"/>
      <c r="AR442" s="63"/>
      <c r="AS442" s="63"/>
      <c r="AT442" s="63"/>
      <c r="AV442" s="63"/>
      <c r="AW442" s="63"/>
      <c r="AX442" s="63">
        <f>--ISNUMBER(IFERROR(SEARCH(Tempset!$M$4,AM442,1),""))</f>
        <v>1</v>
      </c>
      <c r="AY442" s="63">
        <f>IF(AX442=1,COUNTIF($AX$3:AX442,1),"")</f>
        <v>440</v>
      </c>
      <c r="AZ442" s="63" t="str">
        <f>IFERROR(INDEX($AM$3:$AM$1165,MATCH(ROWS($AY$3:AY442),$AY$3:$AY$1165,0)),"")</f>
        <v>guaranteeId</v>
      </c>
    </row>
    <row r="443" spans="39:52" x14ac:dyDescent="0.2">
      <c r="AM443" s="63" t="s">
        <v>1895</v>
      </c>
      <c r="AN443" s="63" t="s">
        <v>1896</v>
      </c>
      <c r="AO443" s="63"/>
      <c r="AP443" s="63"/>
      <c r="AQ443" s="63"/>
      <c r="AR443" s="63"/>
      <c r="AS443" s="63"/>
      <c r="AT443" s="63"/>
      <c r="AV443" s="63"/>
      <c r="AW443" s="63"/>
      <c r="AX443" s="63">
        <f>--ISNUMBER(IFERROR(SEARCH(Tempset!$M$4,AM443,1),""))</f>
        <v>1</v>
      </c>
      <c r="AY443" s="63">
        <f>IF(AX443=1,COUNTIF($AX$3:AX443,1),"")</f>
        <v>441</v>
      </c>
      <c r="AZ443" s="63" t="str">
        <f>IFERROR(INDEX($AM$3:$AM$1165,MATCH(ROWS($AY$3:AY443),$AY$3:$AY$1165,0)),"")</f>
        <v>guarantees</v>
      </c>
    </row>
    <row r="444" spans="39:52" x14ac:dyDescent="0.2">
      <c r="AM444" s="63" t="s">
        <v>1897</v>
      </c>
      <c r="AN444" s="63" t="s">
        <v>1898</v>
      </c>
      <c r="AO444" s="63"/>
      <c r="AP444" s="63"/>
      <c r="AQ444" s="63"/>
      <c r="AR444" s="63"/>
      <c r="AS444" s="63"/>
      <c r="AT444" s="63"/>
      <c r="AV444" s="63"/>
      <c r="AW444" s="63"/>
      <c r="AX444" s="63">
        <f>--ISNUMBER(IFERROR(SEARCH(Tempset!$M$4,AM444,1),""))</f>
        <v>1</v>
      </c>
      <c r="AY444" s="63">
        <f>IF(AX444=1,COUNTIF($AX$3:AX444,1),"")</f>
        <v>442</v>
      </c>
      <c r="AZ444" s="63" t="str">
        <f>IFERROR(INDEX($AM$3:$AM$1165,MATCH(ROWS($AY$3:AY444),$AY$3:$AY$1165,0)),"")</f>
        <v>harmonisedCSRating</v>
      </c>
    </row>
    <row r="445" spans="39:52" x14ac:dyDescent="0.2">
      <c r="AM445" s="63" t="s">
        <v>1899</v>
      </c>
      <c r="AN445" s="63" t="s">
        <v>1900</v>
      </c>
      <c r="AO445" s="63"/>
      <c r="AP445" s="63"/>
      <c r="AQ445" s="63"/>
      <c r="AR445" s="63"/>
      <c r="AS445" s="63"/>
      <c r="AT445" s="63"/>
      <c r="AV445" s="63"/>
      <c r="AW445" s="63"/>
      <c r="AX445" s="63">
        <f>--ISNUMBER(IFERROR(SEARCH(Tempset!$M$4,AM445,1),""))</f>
        <v>1</v>
      </c>
      <c r="AY445" s="63">
        <f>IF(AX445=1,COUNTIF($AX$3:AX445,1),"")</f>
        <v>443</v>
      </c>
      <c r="AZ445" s="63" t="str">
        <f>IFERROR(INDEX($AM$3:$AM$1165,MATCH(ROWS($AY$3:AY445),$AY$3:$AY$1165,0)),"")</f>
        <v>headOfficeBranchIndicator</v>
      </c>
    </row>
    <row r="446" spans="39:52" x14ac:dyDescent="0.2">
      <c r="AM446" s="63" t="s">
        <v>1901</v>
      </c>
      <c r="AN446" s="63" t="s">
        <v>1902</v>
      </c>
      <c r="AO446" s="63"/>
      <c r="AP446" s="63"/>
      <c r="AQ446" s="63"/>
      <c r="AR446" s="63"/>
      <c r="AS446" s="63"/>
      <c r="AT446" s="63"/>
      <c r="AV446" s="63"/>
      <c r="AW446" s="63"/>
      <c r="AX446" s="63">
        <f>--ISNUMBER(IFERROR(SEARCH(Tempset!$M$4,AM446,1),""))</f>
        <v>1</v>
      </c>
      <c r="AY446" s="63">
        <f>IF(AX446=1,COUNTIF($AX$3:AX446,1),"")</f>
        <v>444</v>
      </c>
      <c r="AZ446" s="63" t="str">
        <f>IFERROR(INDEX($AM$3:$AM$1165,MATCH(ROWS($AY$3:AY446),$AY$3:$AY$1165,0)),"")</f>
        <v>hedgeOverlayFactor</v>
      </c>
    </row>
    <row r="447" spans="39:52" x14ac:dyDescent="0.2">
      <c r="AM447" s="63" t="s">
        <v>1903</v>
      </c>
      <c r="AN447" s="63" t="s">
        <v>1904</v>
      </c>
      <c r="AO447" s="63"/>
      <c r="AP447" s="63"/>
      <c r="AQ447" s="63"/>
      <c r="AR447" s="63"/>
      <c r="AS447" s="63"/>
      <c r="AT447" s="63"/>
      <c r="AV447" s="63"/>
      <c r="AW447" s="63"/>
      <c r="AX447" s="63">
        <f>--ISNUMBER(IFERROR(SEARCH(Tempset!$M$4,AM447,1),""))</f>
        <v>1</v>
      </c>
      <c r="AY447" s="63">
        <f>IF(AX447=1,COUNTIF($AX$3:AX447,1),"")</f>
        <v>445</v>
      </c>
      <c r="AZ447" s="63" t="str">
        <f>IFERROR(INDEX($AM$3:$AM$1165,MATCH(ROWS($AY$3:AY447),$AY$3:$AY$1165,0)),"")</f>
        <v>hedgeType</v>
      </c>
    </row>
    <row r="448" spans="39:52" x14ac:dyDescent="0.2">
      <c r="AM448" s="63" t="s">
        <v>1905</v>
      </c>
      <c r="AN448" s="63" t="s">
        <v>1906</v>
      </c>
      <c r="AO448" s="63"/>
      <c r="AP448" s="63"/>
      <c r="AQ448" s="63"/>
      <c r="AR448" s="63"/>
      <c r="AS448" s="63"/>
      <c r="AT448" s="63"/>
      <c r="AV448" s="63"/>
      <c r="AW448" s="63"/>
      <c r="AX448" s="63">
        <f>--ISNUMBER(IFERROR(SEARCH(Tempset!$M$4,AM448,1),""))</f>
        <v>1</v>
      </c>
      <c r="AY448" s="63">
        <f>IF(AX448=1,COUNTIF($AX$3:AX448,1),"")</f>
        <v>446</v>
      </c>
      <c r="AZ448" s="63" t="str">
        <f>IFERROR(INDEX($AM$3:$AM$1165,MATCH(ROWS($AY$3:AY448),$AY$3:$AY$1165,0)),"")</f>
        <v>hedgeValue</v>
      </c>
    </row>
    <row r="449" spans="39:52" x14ac:dyDescent="0.2">
      <c r="AM449" s="63" t="s">
        <v>1907</v>
      </c>
      <c r="AN449" s="63" t="s">
        <v>1908</v>
      </c>
      <c r="AO449" s="63"/>
      <c r="AP449" s="63"/>
      <c r="AQ449" s="63"/>
      <c r="AR449" s="63"/>
      <c r="AS449" s="63"/>
      <c r="AT449" s="63"/>
      <c r="AV449" s="63"/>
      <c r="AW449" s="63"/>
      <c r="AX449" s="63">
        <f>--ISNUMBER(IFERROR(SEARCH(Tempset!$M$4,AM449,1),""))</f>
        <v>1</v>
      </c>
      <c r="AY449" s="63">
        <f>IF(AX449=1,COUNTIF($AX$3:AX449,1),"")</f>
        <v>447</v>
      </c>
      <c r="AZ449" s="63" t="str">
        <f>IFERROR(INDEX($AM$3:$AM$1165,MATCH(ROWS($AY$3:AY449),$AY$3:$AY$1165,0)),"")</f>
        <v>hedgingSet</v>
      </c>
    </row>
    <row r="450" spans="39:52" x14ac:dyDescent="0.2">
      <c r="AM450" s="63" t="s">
        <v>1909</v>
      </c>
      <c r="AN450" s="63" t="s">
        <v>1910</v>
      </c>
      <c r="AO450" s="63"/>
      <c r="AP450" s="63"/>
      <c r="AQ450" s="63"/>
      <c r="AR450" s="63"/>
      <c r="AS450" s="63"/>
      <c r="AT450" s="63"/>
      <c r="AV450" s="63"/>
      <c r="AW450" s="63"/>
      <c r="AX450" s="63">
        <f>--ISNUMBER(IFERROR(SEARCH(Tempset!$M$4,AM450,1),""))</f>
        <v>1</v>
      </c>
      <c r="AY450" s="63">
        <f>IF(AX450=1,COUNTIF($AX$3:AX450,1),"")</f>
        <v>448</v>
      </c>
      <c r="AZ450" s="63" t="str">
        <f>IFERROR(INDEX($AM$3:$AM$1165,MATCH(ROWS($AY$3:AY450),$AY$3:$AY$1165,0)),"")</f>
        <v>hedgingSubSet</v>
      </c>
    </row>
    <row r="451" spans="39:52" x14ac:dyDescent="0.2">
      <c r="AM451" s="63" t="s">
        <v>1911</v>
      </c>
      <c r="AN451" s="63" t="s">
        <v>1912</v>
      </c>
      <c r="AO451" s="63"/>
      <c r="AP451" s="63"/>
      <c r="AQ451" s="63"/>
      <c r="AR451" s="63"/>
      <c r="AS451" s="63"/>
      <c r="AT451" s="63"/>
      <c r="AV451" s="63"/>
      <c r="AW451" s="63"/>
      <c r="AX451" s="63">
        <f>--ISNUMBER(IFERROR(SEARCH(Tempset!$M$4,AM451,1),""))</f>
        <v>1</v>
      </c>
      <c r="AY451" s="63">
        <f>IF(AX451=1,COUNTIF($AX$3:AX451,1),"")</f>
        <v>449</v>
      </c>
      <c r="AZ451" s="63" t="str">
        <f>IFERROR(INDEX($AM$3:$AM$1165,MATCH(ROWS($AY$3:AY451),$AY$3:$AY$1165,0)),"")</f>
        <v>heldPreHaircutValue</v>
      </c>
    </row>
    <row r="452" spans="39:52" x14ac:dyDescent="0.2">
      <c r="AM452" s="63" t="s">
        <v>1913</v>
      </c>
      <c r="AN452" s="63" t="s">
        <v>1914</v>
      </c>
      <c r="AO452" s="63"/>
      <c r="AP452" s="63"/>
      <c r="AQ452" s="63"/>
      <c r="AR452" s="63"/>
      <c r="AS452" s="63"/>
      <c r="AT452" s="63"/>
      <c r="AV452" s="63"/>
      <c r="AW452" s="63"/>
      <c r="AX452" s="63">
        <f>--ISNUMBER(IFERROR(SEARCH(Tempset!$M$4,AM452,1),""))</f>
        <v>1</v>
      </c>
      <c r="AY452" s="63">
        <f>IF(AX452=1,COUNTIF($AX$3:AX452,1),"")</f>
        <v>450</v>
      </c>
      <c r="AZ452" s="63" t="str">
        <f>IFERROR(INDEX($AM$3:$AM$1165,MATCH(ROWS($AY$3:AY452),$AY$3:$AY$1165,0)),"")</f>
        <v>HFIlliquidInvERCValue</v>
      </c>
    </row>
    <row r="453" spans="39:52" x14ac:dyDescent="0.2">
      <c r="AM453" s="63" t="s">
        <v>1915</v>
      </c>
      <c r="AN453" s="63" t="s">
        <v>1916</v>
      </c>
      <c r="AO453" s="63"/>
      <c r="AP453" s="63"/>
      <c r="AQ453" s="63"/>
      <c r="AR453" s="63"/>
      <c r="AS453" s="63"/>
      <c r="AT453" s="63"/>
      <c r="AV453" s="63"/>
      <c r="AW453" s="63"/>
      <c r="AX453" s="63">
        <f>--ISNUMBER(IFERROR(SEARCH(Tempset!$M$4,AM453,1),""))</f>
        <v>1</v>
      </c>
      <c r="AY453" s="63">
        <f>IF(AX453=1,COUNTIF($AX$3:AX453,1),"")</f>
        <v>451</v>
      </c>
      <c r="AZ453" s="63" t="str">
        <f>IFERROR(INDEX($AM$3:$AM$1165,MATCH(ROWS($AY$3:AY453),$AY$3:$AY$1165,0)),"")</f>
        <v>historicalCashAwardExpense</v>
      </c>
    </row>
    <row r="454" spans="39:52" x14ac:dyDescent="0.2">
      <c r="AM454" s="63" t="s">
        <v>1917</v>
      </c>
      <c r="AN454" s="63" t="s">
        <v>1918</v>
      </c>
      <c r="AO454" s="63"/>
      <c r="AP454" s="63"/>
      <c r="AQ454" s="63"/>
      <c r="AR454" s="63"/>
      <c r="AS454" s="63"/>
      <c r="AT454" s="63"/>
      <c r="AV454" s="63"/>
      <c r="AW454" s="63"/>
      <c r="AX454" s="63">
        <f>--ISNUMBER(IFERROR(SEARCH(Tempset!$M$4,AM454,1),""))</f>
        <v>1</v>
      </c>
      <c r="AY454" s="63">
        <f>IF(AX454=1,COUNTIF($AX$3:AX454,1),"")</f>
        <v>452</v>
      </c>
      <c r="AZ454" s="63" t="str">
        <f>IFERROR(INDEX($AM$3:$AM$1165,MATCH(ROWS($AY$3:AY454),$AY$3:$AY$1165,0)),"")</f>
        <v>historicalDeferredAwardExpense</v>
      </c>
    </row>
    <row r="455" spans="39:52" x14ac:dyDescent="0.2">
      <c r="AM455" s="63" t="s">
        <v>1919</v>
      </c>
      <c r="AN455" s="63" t="s">
        <v>1920</v>
      </c>
      <c r="AO455" s="63"/>
      <c r="AP455" s="63"/>
      <c r="AQ455" s="63"/>
      <c r="AR455" s="63"/>
      <c r="AS455" s="63"/>
      <c r="AT455" s="63"/>
      <c r="AV455" s="63"/>
      <c r="AW455" s="63"/>
      <c r="AX455" s="63">
        <f>--ISNUMBER(IFERROR(SEARCH(Tempset!$M$4,AM455,1),""))</f>
        <v>1</v>
      </c>
      <c r="AY455" s="63">
        <f>IF(AX455=1,COUNTIF($AX$3:AX455,1),"")</f>
        <v>453</v>
      </c>
      <c r="AZ455" s="63" t="str">
        <f>IFERROR(INDEX($AM$3:$AM$1165,MATCH(ROWS($AY$3:AY455),$AY$3:$AY$1165,0)),"")</f>
        <v>historicalFeeAmount</v>
      </c>
    </row>
    <row r="456" spans="39:52" x14ac:dyDescent="0.2">
      <c r="AM456" s="63" t="s">
        <v>1921</v>
      </c>
      <c r="AN456" s="63" t="s">
        <v>1922</v>
      </c>
      <c r="AO456" s="63"/>
      <c r="AP456" s="63"/>
      <c r="AQ456" s="63"/>
      <c r="AR456" s="63"/>
      <c r="AS456" s="63"/>
      <c r="AT456" s="63"/>
      <c r="AV456" s="63"/>
      <c r="AW456" s="63"/>
      <c r="AX456" s="63">
        <f>--ISNUMBER(IFERROR(SEARCH(Tempset!$M$4,AM456,1),""))</f>
        <v>1</v>
      </c>
      <c r="AY456" s="63">
        <f>IF(AX456=1,COUNTIF($AX$3:AX456,1),"")</f>
        <v>454</v>
      </c>
      <c r="AZ456" s="63" t="str">
        <f>IFERROR(INDEX($AM$3:$AM$1165,MATCH(ROWS($AY$3:AY456),$AY$3:$AY$1165,0)),"")</f>
        <v>HistoricalMortalityTable</v>
      </c>
    </row>
    <row r="457" spans="39:52" x14ac:dyDescent="0.2">
      <c r="AM457" s="63" t="s">
        <v>1923</v>
      </c>
      <c r="AN457" s="63" t="s">
        <v>1924</v>
      </c>
      <c r="AO457" s="63"/>
      <c r="AP457" s="63"/>
      <c r="AQ457" s="63"/>
      <c r="AR457" s="63"/>
      <c r="AS457" s="63"/>
      <c r="AT457" s="63"/>
      <c r="AV457" s="63"/>
      <c r="AW457" s="63"/>
      <c r="AX457" s="63">
        <f>--ISNUMBER(IFERROR(SEARCH(Tempset!$M$4,AM457,1),""))</f>
        <v>1</v>
      </c>
      <c r="AY457" s="63">
        <f>IF(AX457=1,COUNTIF($AX$3:AX457,1),"")</f>
        <v>455</v>
      </c>
      <c r="AZ457" s="63" t="str">
        <f>IFERROR(INDEX($AM$3:$AM$1165,MATCH(ROWS($AY$3:AY457),$AY$3:$AY$1165,0)),"")</f>
        <v>historicalObservationPeriod</v>
      </c>
    </row>
    <row r="458" spans="39:52" x14ac:dyDescent="0.2">
      <c r="AM458" s="63" t="s">
        <v>1925</v>
      </c>
      <c r="AN458" s="63" t="s">
        <v>1926</v>
      </c>
      <c r="AO458" s="63"/>
      <c r="AP458" s="63"/>
      <c r="AQ458" s="63"/>
      <c r="AR458" s="63"/>
      <c r="AS458" s="63"/>
      <c r="AT458" s="63"/>
      <c r="AV458" s="63"/>
      <c r="AW458" s="63"/>
      <c r="AX458" s="63">
        <f>--ISNUMBER(IFERROR(SEARCH(Tempset!$M$4,AM458,1),""))</f>
        <v>1</v>
      </c>
      <c r="AY458" s="63">
        <f>IF(AX458=1,COUNTIF($AX$3:AX458,1),"")</f>
        <v>456</v>
      </c>
      <c r="AZ458" s="63" t="str">
        <f>IFERROR(INDEX($AM$3:$AM$1165,MATCH(ROWS($AY$3:AY458),$AY$3:$AY$1165,0)),"")</f>
        <v>holdingPeriod</v>
      </c>
    </row>
    <row r="459" spans="39:52" x14ac:dyDescent="0.2">
      <c r="AM459" s="63" t="s">
        <v>1927</v>
      </c>
      <c r="AN459" s="63" t="s">
        <v>1928</v>
      </c>
      <c r="AO459" s="63"/>
      <c r="AP459" s="63"/>
      <c r="AQ459" s="63"/>
      <c r="AR459" s="63"/>
      <c r="AS459" s="63"/>
      <c r="AT459" s="63"/>
      <c r="AV459" s="63"/>
      <c r="AW459" s="63"/>
      <c r="AX459" s="63">
        <f>--ISNUMBER(IFERROR(SEARCH(Tempset!$M$4,AM459,1),""))</f>
        <v>1</v>
      </c>
      <c r="AY459" s="63">
        <f>IF(AX459=1,COUNTIF($AX$3:AX459,1),"")</f>
        <v>457</v>
      </c>
      <c r="AZ459" s="63" t="str">
        <f>IFERROR(INDEX($AM$3:$AM$1165,MATCH(ROWS($AY$3:AY459),$AY$3:$AY$1165,0)),"")</f>
        <v>HQLALevel</v>
      </c>
    </row>
    <row r="460" spans="39:52" x14ac:dyDescent="0.2">
      <c r="AM460" s="63" t="s">
        <v>1929</v>
      </c>
      <c r="AN460" s="63" t="s">
        <v>1930</v>
      </c>
      <c r="AO460" s="63"/>
      <c r="AP460" s="63"/>
      <c r="AQ460" s="63"/>
      <c r="AR460" s="63"/>
      <c r="AS460" s="63"/>
      <c r="AT460" s="63"/>
      <c r="AV460" s="63"/>
      <c r="AW460" s="63"/>
      <c r="AX460" s="63">
        <f>--ISNUMBER(IFERROR(SEARCH(Tempset!$M$4,AM460,1),""))</f>
        <v>1</v>
      </c>
      <c r="AY460" s="63">
        <f>IF(AX460=1,COUNTIF($AX$3:AX460,1),"")</f>
        <v>458</v>
      </c>
      <c r="AZ460" s="63" t="str">
        <f>IFERROR(INDEX($AM$3:$AM$1165,MATCH(ROWS($AY$3:AY460),$AY$3:$AY$1165,0)),"")</f>
        <v>HQLAPriceDropPercentage</v>
      </c>
    </row>
    <row r="461" spans="39:52" x14ac:dyDescent="0.2">
      <c r="AM461" s="63" t="s">
        <v>1931</v>
      </c>
      <c r="AN461" s="63" t="s">
        <v>1932</v>
      </c>
      <c r="AO461" s="63"/>
      <c r="AP461" s="63"/>
      <c r="AQ461" s="63"/>
      <c r="AR461" s="63"/>
      <c r="AS461" s="63"/>
      <c r="AT461" s="63"/>
      <c r="AV461" s="63"/>
      <c r="AW461" s="63"/>
      <c r="AX461" s="63">
        <f>--ISNUMBER(IFERROR(SEARCH(Tempset!$M$4,AM461,1),""))</f>
        <v>1</v>
      </c>
      <c r="AY461" s="63">
        <f>IF(AX461=1,COUNTIF($AX$3:AX461,1),"")</f>
        <v>459</v>
      </c>
      <c r="AZ461" s="63" t="str">
        <f>IFERROR(INDEX($AM$3:$AM$1165,MATCH(ROWS($AY$3:AY461),$AY$3:$AY$1165,0)),"")</f>
        <v>HQLAValue</v>
      </c>
    </row>
    <row r="462" spans="39:52" x14ac:dyDescent="0.2">
      <c r="AM462" s="63" t="s">
        <v>1933</v>
      </c>
      <c r="AN462" s="63" t="s">
        <v>1934</v>
      </c>
      <c r="AO462" s="63"/>
      <c r="AP462" s="63"/>
      <c r="AQ462" s="63"/>
      <c r="AR462" s="63"/>
      <c r="AS462" s="63"/>
      <c r="AT462" s="63"/>
      <c r="AV462" s="63"/>
      <c r="AW462" s="63"/>
      <c r="AX462" s="63">
        <f>--ISNUMBER(IFERROR(SEARCH(Tempset!$M$4,AM462,1),""))</f>
        <v>1</v>
      </c>
      <c r="AY462" s="63">
        <f>IF(AX462=1,COUNTIF($AX$3:AX462,1),"")</f>
        <v>460</v>
      </c>
      <c r="AZ462" s="63" t="str">
        <f>IFERROR(INDEX($AM$3:$AM$1165,MATCH(ROWS($AY$3:AY462),$AY$3:$AY$1165,0)),"")</f>
        <v>IHCCounterpartyCategoryCode</v>
      </c>
    </row>
    <row r="463" spans="39:52" x14ac:dyDescent="0.2">
      <c r="AM463" s="63" t="s">
        <v>1935</v>
      </c>
      <c r="AN463" s="63" t="s">
        <v>1936</v>
      </c>
      <c r="AO463" s="63"/>
      <c r="AP463" s="63"/>
      <c r="AQ463" s="63"/>
      <c r="AR463" s="63"/>
      <c r="AS463" s="63"/>
      <c r="AT463" s="63"/>
      <c r="AV463" s="63"/>
      <c r="AW463" s="63"/>
      <c r="AX463" s="63">
        <f>--ISNUMBER(IFERROR(SEARCH(Tempset!$M$4,AM463,1),""))</f>
        <v>1</v>
      </c>
      <c r="AY463" s="63">
        <f>IF(AX463=1,COUNTIF($AX$3:AX463,1),"")</f>
        <v>461</v>
      </c>
      <c r="AZ463" s="63" t="str">
        <f>IFERROR(INDEX($AM$3:$AM$1165,MATCH(ROWS($AY$3:AY463),$AY$3:$AY$1165,0)),"")</f>
        <v>illiquidCollateralFlag</v>
      </c>
    </row>
    <row r="464" spans="39:52" x14ac:dyDescent="0.2">
      <c r="AM464" s="63" t="s">
        <v>1937</v>
      </c>
      <c r="AN464" s="63" t="s">
        <v>1938</v>
      </c>
      <c r="AO464" s="63"/>
      <c r="AP464" s="63"/>
      <c r="AQ464" s="63"/>
      <c r="AR464" s="63"/>
      <c r="AS464" s="63"/>
      <c r="AT464" s="63"/>
      <c r="AV464" s="63"/>
      <c r="AW464" s="63"/>
      <c r="AX464" s="63">
        <f>--ISNUMBER(IFERROR(SEARCH(Tempset!$M$4,AM464,1),""))</f>
        <v>1</v>
      </c>
      <c r="AY464" s="63">
        <f>IF(AX464=1,COUNTIF($AX$3:AX464,1),"")</f>
        <v>462</v>
      </c>
      <c r="AZ464" s="63" t="str">
        <f>IFERROR(INDEX($AM$3:$AM$1165,MATCH(ROWS($AY$3:AY464),$AY$3:$AY$1165,0)),"")</f>
        <v>impactCCFOnSsh</v>
      </c>
    </row>
    <row r="465" spans="39:52" x14ac:dyDescent="0.2">
      <c r="AM465" s="63" t="s">
        <v>1939</v>
      </c>
      <c r="AN465" s="63" t="s">
        <v>1940</v>
      </c>
      <c r="AO465" s="63"/>
      <c r="AP465" s="63"/>
      <c r="AQ465" s="63"/>
      <c r="AR465" s="63"/>
      <c r="AS465" s="63"/>
      <c r="AT465" s="63"/>
      <c r="AV465" s="63"/>
      <c r="AW465" s="63"/>
      <c r="AX465" s="63">
        <f>--ISNUMBER(IFERROR(SEARCH(Tempset!$M$4,AM465,1),""))</f>
        <v>1</v>
      </c>
      <c r="AY465" s="63">
        <f>IF(AX465=1,COUNTIF($AX$3:AX465,1),"")</f>
        <v>463</v>
      </c>
      <c r="AZ465" s="63" t="str">
        <f>IFERROR(INDEX($AM$3:$AM$1165,MATCH(ROWS($AY$3:AY465),$AY$3:$AY$1165,0)),"")</f>
        <v>impairmentStressedCapitalValue</v>
      </c>
    </row>
    <row r="466" spans="39:52" x14ac:dyDescent="0.2">
      <c r="AM466" s="63" t="s">
        <v>1941</v>
      </c>
      <c r="AN466" s="63" t="s">
        <v>1942</v>
      </c>
      <c r="AO466" s="63"/>
      <c r="AP466" s="63"/>
      <c r="AQ466" s="63"/>
      <c r="AR466" s="63"/>
      <c r="AS466" s="63"/>
      <c r="AT466" s="63"/>
      <c r="AV466" s="63"/>
      <c r="AW466" s="63"/>
      <c r="AX466" s="63">
        <f>--ISNUMBER(IFERROR(SEARCH(Tempset!$M$4,AM466,1),""))</f>
        <v>1</v>
      </c>
      <c r="AY466" s="63">
        <f>IF(AX466=1,COUNTIF($AX$3:AX466,1),"")</f>
        <v>464</v>
      </c>
      <c r="AZ466" s="63" t="str">
        <f>IFERROR(INDEX($AM$3:$AM$1165,MATCH(ROWS($AY$3:AY466),$AY$3:$AY$1165,0)),"")</f>
        <v>impliedMarketRating</v>
      </c>
    </row>
    <row r="467" spans="39:52" x14ac:dyDescent="0.2">
      <c r="AM467" s="63" t="s">
        <v>1943</v>
      </c>
      <c r="AN467" s="63" t="s">
        <v>1944</v>
      </c>
      <c r="AO467" s="63"/>
      <c r="AP467" s="63"/>
      <c r="AQ467" s="63"/>
      <c r="AR467" s="63"/>
      <c r="AS467" s="63"/>
      <c r="AT467" s="63"/>
      <c r="AV467" s="63"/>
      <c r="AW467" s="63"/>
      <c r="AX467" s="63">
        <f>--ISNUMBER(IFERROR(SEARCH(Tempset!$M$4,AM467,1),""))</f>
        <v>1</v>
      </c>
      <c r="AY467" s="63">
        <f>IF(AX467=1,COUNTIF($AX$3:AX467,1),"")</f>
        <v>465</v>
      </c>
      <c r="AZ467" s="63" t="str">
        <f>IFERROR(INDEX($AM$3:$AM$1165,MATCH(ROWS($AY$3:AY467),$AY$3:$AY$1165,0)),"")</f>
        <v>impliedMarketRatingSource</v>
      </c>
    </row>
    <row r="468" spans="39:52" x14ac:dyDescent="0.2">
      <c r="AM468" s="63" t="s">
        <v>1945</v>
      </c>
      <c r="AN468" s="63" t="s">
        <v>1946</v>
      </c>
      <c r="AO468" s="63"/>
      <c r="AP468" s="63"/>
      <c r="AQ468" s="63"/>
      <c r="AR468" s="63"/>
      <c r="AS468" s="63"/>
      <c r="AT468" s="63"/>
      <c r="AV468" s="63"/>
      <c r="AW468" s="63"/>
      <c r="AX468" s="63">
        <f>--ISNUMBER(IFERROR(SEARCH(Tempset!$M$4,AM468,1),""))</f>
        <v>1</v>
      </c>
      <c r="AY468" s="63">
        <f>IF(AX468=1,COUNTIF($AX$3:AX468,1),"")</f>
        <v>466</v>
      </c>
      <c r="AZ468" s="63" t="str">
        <f>IFERROR(INDEX($AM$3:$AM$1165,MATCH(ROWS($AY$3:AY468),$AY$3:$AY$1165,0)),"")</f>
        <v>ImpliedVolatility</v>
      </c>
    </row>
    <row r="469" spans="39:52" x14ac:dyDescent="0.2">
      <c r="AM469" s="63" t="s">
        <v>1947</v>
      </c>
      <c r="AN469" s="63" t="s">
        <v>1948</v>
      </c>
      <c r="AO469" s="63"/>
      <c r="AP469" s="63"/>
      <c r="AQ469" s="63"/>
      <c r="AR469" s="63"/>
      <c r="AS469" s="63"/>
      <c r="AT469" s="63"/>
      <c r="AV469" s="63"/>
      <c r="AW469" s="63"/>
      <c r="AX469" s="63">
        <f>--ISNUMBER(IFERROR(SEARCH(Tempset!$M$4,AM469,1),""))</f>
        <v>1</v>
      </c>
      <c r="AY469" s="63">
        <f>IF(AX469=1,COUNTIF($AX$3:AX469,1),"")</f>
        <v>467</v>
      </c>
      <c r="AZ469" s="63" t="str">
        <f>IFERROR(INDEX($AM$3:$AM$1165,MATCH(ROWS($AY$3:AY469),$AY$3:$AY$1165,0)),"")</f>
        <v>incentivePerformanceBonus</v>
      </c>
    </row>
    <row r="470" spans="39:52" x14ac:dyDescent="0.2">
      <c r="AM470" s="63" t="s">
        <v>1949</v>
      </c>
      <c r="AN470" s="63" t="s">
        <v>1950</v>
      </c>
      <c r="AO470" s="63"/>
      <c r="AP470" s="63"/>
      <c r="AQ470" s="63"/>
      <c r="AR470" s="63"/>
      <c r="AS470" s="63"/>
      <c r="AT470" s="63"/>
      <c r="AV470" s="63"/>
      <c r="AW470" s="63"/>
      <c r="AX470" s="63">
        <f>--ISNUMBER(IFERROR(SEARCH(Tempset!$M$4,AM470,1),""))</f>
        <v>1</v>
      </c>
      <c r="AY470" s="63">
        <f>IF(AX470=1,COUNTIF($AX$3:AX470,1),"")</f>
        <v>468</v>
      </c>
      <c r="AZ470" s="63" t="str">
        <f>IFERROR(INDEX($AM$3:$AM$1165,MATCH(ROWS($AY$3:AY470),$AY$3:$AY$1165,0)),"")</f>
        <v>incidentEventStatus</v>
      </c>
    </row>
    <row r="471" spans="39:52" x14ac:dyDescent="0.2">
      <c r="AM471" s="63" t="s">
        <v>1951</v>
      </c>
      <c r="AN471" s="63" t="s">
        <v>1952</v>
      </c>
      <c r="AO471" s="63"/>
      <c r="AP471" s="63"/>
      <c r="AQ471" s="63"/>
      <c r="AR471" s="63"/>
      <c r="AS471" s="63"/>
      <c r="AT471" s="63"/>
      <c r="AV471" s="63"/>
      <c r="AW471" s="63"/>
      <c r="AX471" s="63">
        <f>--ISNUMBER(IFERROR(SEARCH(Tempset!$M$4,AM471,1),""))</f>
        <v>1</v>
      </c>
      <c r="AY471" s="63">
        <f>IF(AX471=1,COUNTIF($AX$3:AX471,1),"")</f>
        <v>469</v>
      </c>
      <c r="AZ471" s="63" t="str">
        <f>IFERROR(INDEX($AM$3:$AM$1165,MATCH(ROWS($AY$3:AY471),$AY$3:$AY$1165,0)),"")</f>
        <v>independentAmount</v>
      </c>
    </row>
    <row r="472" spans="39:52" x14ac:dyDescent="0.2">
      <c r="AM472" s="63" t="s">
        <v>1953</v>
      </c>
      <c r="AN472" s="63" t="s">
        <v>1954</v>
      </c>
      <c r="AO472" s="63"/>
      <c r="AP472" s="63"/>
      <c r="AQ472" s="63"/>
      <c r="AR472" s="63"/>
      <c r="AS472" s="63"/>
      <c r="AT472" s="63"/>
      <c r="AV472" s="63"/>
      <c r="AW472" s="63"/>
      <c r="AX472" s="63">
        <f>--ISNUMBER(IFERROR(SEARCH(Tempset!$M$4,AM472,1),""))</f>
        <v>1</v>
      </c>
      <c r="AY472" s="63">
        <f>IF(AX472=1,COUNTIF($AX$3:AX472,1),"")</f>
        <v>470</v>
      </c>
      <c r="AZ472" s="63" t="str">
        <f>IFERROR(INDEX($AM$3:$AM$1165,MATCH(ROWS($AY$3:AY472),$AY$3:$AY$1165,0)),"")</f>
        <v>indexCode</v>
      </c>
    </row>
    <row r="473" spans="39:52" x14ac:dyDescent="0.2">
      <c r="AM473" s="63" t="s">
        <v>1955</v>
      </c>
      <c r="AN473" s="63" t="s">
        <v>1956</v>
      </c>
      <c r="AO473" s="63"/>
      <c r="AP473" s="63"/>
      <c r="AQ473" s="63"/>
      <c r="AR473" s="63"/>
      <c r="AS473" s="63"/>
      <c r="AT473" s="63"/>
      <c r="AV473" s="63"/>
      <c r="AW473" s="63"/>
      <c r="AX473" s="63">
        <f>--ISNUMBER(IFERROR(SEARCH(Tempset!$M$4,AM473,1),""))</f>
        <v>1</v>
      </c>
      <c r="AY473" s="63">
        <f>IF(AX473=1,COUNTIF($AX$3:AX473,1),"")</f>
        <v>471</v>
      </c>
      <c r="AZ473" s="63" t="str">
        <f>IFERROR(INDEX($AM$3:$AM$1165,MATCH(ROWS($AY$3:AY473),$AY$3:$AY$1165,0)),"")</f>
        <v>indexId</v>
      </c>
    </row>
    <row r="474" spans="39:52" x14ac:dyDescent="0.2">
      <c r="AM474" s="63" t="s">
        <v>1957</v>
      </c>
      <c r="AN474" s="63" t="s">
        <v>1958</v>
      </c>
      <c r="AO474" s="63"/>
      <c r="AP474" s="63"/>
      <c r="AQ474" s="63"/>
      <c r="AR474" s="63"/>
      <c r="AS474" s="63"/>
      <c r="AT474" s="63"/>
      <c r="AV474" s="63"/>
      <c r="AW474" s="63"/>
      <c r="AX474" s="63">
        <f>--ISNUMBER(IFERROR(SEARCH(Tempset!$M$4,AM474,1),""))</f>
        <v>1</v>
      </c>
      <c r="AY474" s="63">
        <f>IF(AX474=1,COUNTIF($AX$3:AX474,1),"")</f>
        <v>472</v>
      </c>
      <c r="AZ474" s="63" t="str">
        <f>IFERROR(INDEX($AM$3:$AM$1165,MATCH(ROWS($AY$3:AY474),$AY$3:$AY$1165,0)),"")</f>
        <v>indexName</v>
      </c>
    </row>
    <row r="475" spans="39:52" x14ac:dyDescent="0.2">
      <c r="AM475" s="63" t="s">
        <v>1959</v>
      </c>
      <c r="AN475" s="63" t="s">
        <v>1960</v>
      </c>
      <c r="AO475" s="63"/>
      <c r="AP475" s="63"/>
      <c r="AQ475" s="63"/>
      <c r="AR475" s="63"/>
      <c r="AS475" s="63"/>
      <c r="AT475" s="63"/>
      <c r="AV475" s="63"/>
      <c r="AW475" s="63"/>
      <c r="AX475" s="63">
        <f>--ISNUMBER(IFERROR(SEARCH(Tempset!$M$4,AM475,1),""))</f>
        <v>1</v>
      </c>
      <c r="AY475" s="63">
        <f>IF(AX475=1,COUNTIF($AX$3:AX475,1),"")</f>
        <v>473</v>
      </c>
      <c r="AZ475" s="63" t="str">
        <f>IFERROR(INDEX($AM$3:$AM$1165,MATCH(ROWS($AY$3:AY475),$AY$3:$AY$1165,0)),"")</f>
        <v>indexTenor</v>
      </c>
    </row>
    <row r="476" spans="39:52" x14ac:dyDescent="0.2">
      <c r="AM476" s="63" t="s">
        <v>1961</v>
      </c>
      <c r="AN476" s="63" t="s">
        <v>1962</v>
      </c>
      <c r="AO476" s="63"/>
      <c r="AP476" s="63"/>
      <c r="AQ476" s="63"/>
      <c r="AR476" s="63"/>
      <c r="AS476" s="63"/>
      <c r="AT476" s="63"/>
      <c r="AV476" s="63"/>
      <c r="AW476" s="63"/>
      <c r="AX476" s="63">
        <f>--ISNUMBER(IFERROR(SEARCH(Tempset!$M$4,AM476,1),""))</f>
        <v>1</v>
      </c>
      <c r="AY476" s="63">
        <f>IF(AX476=1,COUNTIF($AX$3:AX476,1),"")</f>
        <v>474</v>
      </c>
      <c r="AZ476" s="63" t="str">
        <f>IFERROR(INDEX($AM$3:$AM$1165,MATCH(ROWS($AY$3:AY476),$AY$3:$AY$1165,0)),"")</f>
        <v>indexType</v>
      </c>
    </row>
    <row r="477" spans="39:52" x14ac:dyDescent="0.2">
      <c r="AM477" s="63" t="s">
        <v>1963</v>
      </c>
      <c r="AN477" s="63" t="s">
        <v>1964</v>
      </c>
      <c r="AO477" s="63"/>
      <c r="AP477" s="63"/>
      <c r="AQ477" s="63"/>
      <c r="AR477" s="63"/>
      <c r="AS477" s="63"/>
      <c r="AT477" s="63"/>
      <c r="AV477" s="63"/>
      <c r="AW477" s="63"/>
      <c r="AX477" s="63">
        <f>--ISNUMBER(IFERROR(SEARCH(Tempset!$M$4,AM477,1),""))</f>
        <v>1</v>
      </c>
      <c r="AY477" s="63">
        <f>IF(AX477=1,COUNTIF($AX$3:AX477,1),"")</f>
        <v>475</v>
      </c>
      <c r="AZ477" s="63" t="str">
        <f>IFERROR(INDEX($AM$3:$AM$1165,MATCH(ROWS($AY$3:AY477),$AY$3:$AY$1165,0)),"")</f>
        <v>indexValue</v>
      </c>
    </row>
    <row r="478" spans="39:52" x14ac:dyDescent="0.2">
      <c r="AM478" s="63" t="s">
        <v>1965</v>
      </c>
      <c r="AN478" s="63" t="s">
        <v>1966</v>
      </c>
      <c r="AO478" s="63"/>
      <c r="AP478" s="63"/>
      <c r="AQ478" s="63"/>
      <c r="AR478" s="63"/>
      <c r="AS478" s="63"/>
      <c r="AT478" s="63"/>
      <c r="AV478" s="63"/>
      <c r="AW478" s="63"/>
      <c r="AX478" s="63">
        <f>--ISNUMBER(IFERROR(SEARCH(Tempset!$M$4,AM478,1),""))</f>
        <v>1</v>
      </c>
      <c r="AY478" s="63">
        <f>IF(AX478=1,COUNTIF($AX$3:AX478,1),"")</f>
        <v>476</v>
      </c>
      <c r="AZ478" s="63" t="str">
        <f>IFERROR(INDEX($AM$3:$AM$1165,MATCH(ROWS($AY$3:AY478),$AY$3:$AY$1165,0)),"")</f>
        <v>individualLossAmount</v>
      </c>
    </row>
    <row r="479" spans="39:52" x14ac:dyDescent="0.2">
      <c r="AM479" s="63" t="s">
        <v>1967</v>
      </c>
      <c r="AN479" s="63" t="s">
        <v>1968</v>
      </c>
      <c r="AO479" s="63"/>
      <c r="AP479" s="63"/>
      <c r="AQ479" s="63"/>
      <c r="AR479" s="63"/>
      <c r="AS479" s="63"/>
      <c r="AT479" s="63"/>
      <c r="AV479" s="63"/>
      <c r="AW479" s="63"/>
      <c r="AX479" s="63">
        <f>--ISNUMBER(IFERROR(SEARCH(Tempset!$M$4,AM479,1),""))</f>
        <v>1</v>
      </c>
      <c r="AY479" s="63">
        <f>IF(AX479=1,COUNTIF($AX$3:AX479,1),"")</f>
        <v>477</v>
      </c>
      <c r="AZ479" s="63" t="str">
        <f>IFERROR(INDEX($AM$3:$AM$1165,MATCH(ROWS($AY$3:AY479),$AY$3:$AY$1165,0)),"")</f>
        <v>industryGICSCode</v>
      </c>
    </row>
    <row r="480" spans="39:52" x14ac:dyDescent="0.2">
      <c r="AM480" s="63" t="s">
        <v>1969</v>
      </c>
      <c r="AN480" s="63" t="s">
        <v>1970</v>
      </c>
      <c r="AO480" s="63"/>
      <c r="AP480" s="63"/>
      <c r="AQ480" s="63"/>
      <c r="AR480" s="63"/>
      <c r="AS480" s="63"/>
      <c r="AT480" s="63"/>
      <c r="AV480" s="63"/>
      <c r="AW480" s="63"/>
      <c r="AX480" s="63">
        <f>--ISNUMBER(IFERROR(SEARCH(Tempset!$M$4,AM480,1),""))</f>
        <v>1</v>
      </c>
      <c r="AY480" s="63">
        <f>IF(AX480=1,COUNTIF($AX$3:AX480,1),"")</f>
        <v>478</v>
      </c>
      <c r="AZ480" s="63" t="str">
        <f>IFERROR(INDEX($AM$3:$AM$1165,MATCH(ROWS($AY$3:AY480),$AY$3:$AY$1165,0)),"")</f>
        <v>industryNAICSCode</v>
      </c>
    </row>
    <row r="481" spans="39:52" x14ac:dyDescent="0.2">
      <c r="AM481" s="63" t="s">
        <v>1971</v>
      </c>
      <c r="AN481" s="63" t="s">
        <v>1972</v>
      </c>
      <c r="AO481" s="63"/>
      <c r="AP481" s="63"/>
      <c r="AQ481" s="63"/>
      <c r="AR481" s="63"/>
      <c r="AS481" s="63"/>
      <c r="AT481" s="63"/>
      <c r="AV481" s="63"/>
      <c r="AW481" s="63"/>
      <c r="AX481" s="63">
        <f>--ISNUMBER(IFERROR(SEARCH(Tempset!$M$4,AM481,1),""))</f>
        <v>1</v>
      </c>
      <c r="AY481" s="63">
        <f>IF(AX481=1,COUNTIF($AX$3:AX481,1),"")</f>
        <v>479</v>
      </c>
      <c r="AZ481" s="63" t="str">
        <f>IFERROR(INDEX($AM$3:$AM$1165,MATCH(ROWS($AY$3:AY481),$AY$3:$AY$1165,0)),"")</f>
        <v>industrySector</v>
      </c>
    </row>
    <row r="482" spans="39:52" x14ac:dyDescent="0.2">
      <c r="AM482" s="63" t="s">
        <v>1973</v>
      </c>
      <c r="AN482" s="63" t="s">
        <v>1974</v>
      </c>
      <c r="AO482" s="63"/>
      <c r="AP482" s="63"/>
      <c r="AQ482" s="63"/>
      <c r="AR482" s="63"/>
      <c r="AS482" s="63"/>
      <c r="AT482" s="63"/>
      <c r="AV482" s="63"/>
      <c r="AW482" s="63"/>
      <c r="AX482" s="63">
        <f>--ISNUMBER(IFERROR(SEARCH(Tempset!$M$4,AM482,1),""))</f>
        <v>1</v>
      </c>
      <c r="AY482" s="63">
        <f>IF(AX482=1,COUNTIF($AX$3:AX482,1),"")</f>
        <v>480</v>
      </c>
      <c r="AZ482" s="63" t="str">
        <f>IFERROR(INDEX($AM$3:$AM$1165,MATCH(ROWS($AY$3:AY482),$AY$3:$AY$1165,0)),"")</f>
        <v>inflationIndex</v>
      </c>
    </row>
    <row r="483" spans="39:52" x14ac:dyDescent="0.2">
      <c r="AM483" s="63" t="s">
        <v>1975</v>
      </c>
      <c r="AN483" s="63" t="s">
        <v>1976</v>
      </c>
      <c r="AO483" s="63"/>
      <c r="AP483" s="63"/>
      <c r="AQ483" s="63"/>
      <c r="AR483" s="63"/>
      <c r="AS483" s="63"/>
      <c r="AT483" s="63"/>
      <c r="AV483" s="63"/>
      <c r="AW483" s="63"/>
      <c r="AX483" s="63">
        <f>--ISNUMBER(IFERROR(SEARCH(Tempset!$M$4,AM483,1),""))</f>
        <v>1</v>
      </c>
      <c r="AY483" s="63">
        <f>IF(AX483=1,COUNTIF($AX$3:AX483,1),"")</f>
        <v>481</v>
      </c>
      <c r="AZ483" s="63" t="str">
        <f>IFERROR(INDEX($AM$3:$AM$1165,MATCH(ROWS($AY$3:AY483),$AY$3:$AY$1165,0)),"")</f>
        <v>inflationRegion</v>
      </c>
    </row>
    <row r="484" spans="39:52" x14ac:dyDescent="0.2">
      <c r="AM484" s="63" t="s">
        <v>1977</v>
      </c>
      <c r="AN484" s="63" t="s">
        <v>1978</v>
      </c>
      <c r="AO484" s="63"/>
      <c r="AP484" s="63"/>
      <c r="AQ484" s="63"/>
      <c r="AR484" s="63"/>
      <c r="AS484" s="63"/>
      <c r="AT484" s="63"/>
      <c r="AV484" s="63"/>
      <c r="AW484" s="63"/>
      <c r="AX484" s="63">
        <f>--ISNUMBER(IFERROR(SEARCH(Tempset!$M$4,AM484,1),""))</f>
        <v>1</v>
      </c>
      <c r="AY484" s="63">
        <f>IF(AX484=1,COUNTIF($AX$3:AX484,1),"")</f>
        <v>482</v>
      </c>
      <c r="AZ484" s="63" t="str">
        <f>IFERROR(INDEX($AM$3:$AM$1165,MATCH(ROWS($AY$3:AY484),$AY$3:$AY$1165,0)),"")</f>
        <v>inflationScenarioCashFlow</v>
      </c>
    </row>
    <row r="485" spans="39:52" x14ac:dyDescent="0.2">
      <c r="AM485" s="63" t="s">
        <v>1979</v>
      </c>
      <c r="AN485" s="63" t="s">
        <v>1980</v>
      </c>
      <c r="AO485" s="63"/>
      <c r="AP485" s="63"/>
      <c r="AQ485" s="63"/>
      <c r="AR485" s="63"/>
      <c r="AS485" s="63"/>
      <c r="AT485" s="63"/>
      <c r="AV485" s="63"/>
      <c r="AW485" s="63"/>
      <c r="AX485" s="63">
        <f>--ISNUMBER(IFERROR(SEARCH(Tempset!$M$4,AM485,1),""))</f>
        <v>1</v>
      </c>
      <c r="AY485" s="63">
        <f>IF(AX485=1,COUNTIF($AX$3:AX485,1),"")</f>
        <v>483</v>
      </c>
      <c r="AZ485" s="63" t="str">
        <f>IFERROR(INDEX($AM$3:$AM$1165,MATCH(ROWS($AY$3:AY485),$AY$3:$AY$1165,0)),"")</f>
        <v>inflationType</v>
      </c>
    </row>
    <row r="486" spans="39:52" x14ac:dyDescent="0.2">
      <c r="AM486" s="63" t="s">
        <v>1981</v>
      </c>
      <c r="AN486" s="63" t="s">
        <v>1982</v>
      </c>
      <c r="AO486" s="63"/>
      <c r="AP486" s="63"/>
      <c r="AQ486" s="63"/>
      <c r="AR486" s="63"/>
      <c r="AS486" s="63"/>
      <c r="AT486" s="63"/>
      <c r="AV486" s="63"/>
      <c r="AW486" s="63"/>
      <c r="AX486" s="63">
        <f>--ISNUMBER(IFERROR(SEARCH(Tempset!$M$4,AM486,1),""))</f>
        <v>1</v>
      </c>
      <c r="AY486" s="63">
        <f>IF(AX486=1,COUNTIF($AX$3:AX486,1),"")</f>
        <v>484</v>
      </c>
      <c r="AZ486" s="63" t="str">
        <f>IFERROR(INDEX($AM$3:$AM$1165,MATCH(ROWS($AY$3:AY486),$AY$3:$AY$1165,0)),"")</f>
        <v>initialHeld</v>
      </c>
    </row>
    <row r="487" spans="39:52" x14ac:dyDescent="0.2">
      <c r="AM487" s="63" t="s">
        <v>1983</v>
      </c>
      <c r="AN487" s="63" t="s">
        <v>1984</v>
      </c>
      <c r="AO487" s="63"/>
      <c r="AP487" s="63"/>
      <c r="AQ487" s="63"/>
      <c r="AR487" s="63"/>
      <c r="AS487" s="63"/>
      <c r="AT487" s="63"/>
      <c r="AV487" s="63"/>
      <c r="AW487" s="63"/>
      <c r="AX487" s="63">
        <f>--ISNUMBER(IFERROR(SEARCH(Tempset!$M$4,AM487,1),""))</f>
        <v>1</v>
      </c>
      <c r="AY487" s="63">
        <f>IF(AX487=1,COUNTIF($AX$3:AX487,1),"")</f>
        <v>485</v>
      </c>
      <c r="AZ487" s="63" t="str">
        <f>IFERROR(INDEX($AM$3:$AM$1165,MATCH(ROWS($AY$3:AY487),$AY$3:$AY$1165,0)),"")</f>
        <v>initialMargin</v>
      </c>
    </row>
    <row r="488" spans="39:52" x14ac:dyDescent="0.2">
      <c r="AM488" s="63" t="s">
        <v>1985</v>
      </c>
      <c r="AN488" s="63" t="s">
        <v>1986</v>
      </c>
      <c r="AO488" s="63"/>
      <c r="AP488" s="63"/>
      <c r="AQ488" s="63"/>
      <c r="AR488" s="63"/>
      <c r="AS488" s="63"/>
      <c r="AT488" s="63"/>
      <c r="AV488" s="63"/>
      <c r="AW488" s="63"/>
      <c r="AX488" s="63">
        <f>--ISNUMBER(IFERROR(SEARCH(Tempset!$M$4,AM488,1),""))</f>
        <v>1</v>
      </c>
      <c r="AY488" s="63">
        <f>IF(AX488=1,COUNTIF($AX$3:AX488,1),"")</f>
        <v>486</v>
      </c>
      <c r="AZ488" s="63" t="str">
        <f>IFERROR(INDEX($AM$3:$AM$1165,MATCH(ROWS($AY$3:AY488),$AY$3:$AY$1165,0)),"")</f>
        <v>initialMarginCALLKCALL</v>
      </c>
    </row>
    <row r="489" spans="39:52" x14ac:dyDescent="0.2">
      <c r="AM489" s="63" t="s">
        <v>1987</v>
      </c>
      <c r="AN489" s="63" t="s">
        <v>1988</v>
      </c>
      <c r="AO489" s="63"/>
      <c r="AP489" s="63"/>
      <c r="AQ489" s="63"/>
      <c r="AR489" s="63"/>
      <c r="AS489" s="63"/>
      <c r="AT489" s="63"/>
      <c r="AV489" s="63"/>
      <c r="AW489" s="63"/>
      <c r="AX489" s="63">
        <f>--ISNUMBER(IFERROR(SEARCH(Tempset!$M$4,AM489,1),""))</f>
        <v>1</v>
      </c>
      <c r="AY489" s="63">
        <f>IF(AX489=1,COUNTIF($AX$3:AX489,1),"")</f>
        <v>487</v>
      </c>
      <c r="AZ489" s="63" t="str">
        <f>IFERROR(INDEX($AM$3:$AM$1165,MATCH(ROWS($AY$3:AY489),$AY$3:$AY$1165,0)),"")</f>
        <v>initialMarginCALLKPOST</v>
      </c>
    </row>
    <row r="490" spans="39:52" x14ac:dyDescent="0.2">
      <c r="AM490" s="63" t="s">
        <v>1989</v>
      </c>
      <c r="AN490" s="63" t="s">
        <v>1990</v>
      </c>
      <c r="AO490" s="63"/>
      <c r="AP490" s="63"/>
      <c r="AQ490" s="63"/>
      <c r="AR490" s="63"/>
      <c r="AS490" s="63"/>
      <c r="AT490" s="63"/>
      <c r="AV490" s="63"/>
      <c r="AW490" s="63"/>
      <c r="AX490" s="63">
        <f>--ISNUMBER(IFERROR(SEARCH(Tempset!$M$4,AM490,1),""))</f>
        <v>1</v>
      </c>
      <c r="AY490" s="63">
        <f>IF(AX490=1,COUNTIF($AX$3:AX490,1),"")</f>
        <v>488</v>
      </c>
      <c r="AZ490" s="63" t="str">
        <f>IFERROR(INDEX($AM$3:$AM$1165,MATCH(ROWS($AY$3:AY490),$AY$3:$AY$1165,0)),"")</f>
        <v>initialPaidMargin</v>
      </c>
    </row>
    <row r="491" spans="39:52" x14ac:dyDescent="0.2">
      <c r="AM491" s="63" t="s">
        <v>1991</v>
      </c>
      <c r="AN491" s="63" t="s">
        <v>1992</v>
      </c>
      <c r="AO491" s="63"/>
      <c r="AP491" s="63"/>
      <c r="AQ491" s="63"/>
      <c r="AR491" s="63"/>
      <c r="AS491" s="63"/>
      <c r="AT491" s="63"/>
      <c r="AV491" s="63"/>
      <c r="AW491" s="63"/>
      <c r="AX491" s="63">
        <f>--ISNUMBER(IFERROR(SEARCH(Tempset!$M$4,AM491,1),""))</f>
        <v>1</v>
      </c>
      <c r="AY491" s="63">
        <f>IF(AX491=1,COUNTIF($AX$3:AX491,1),"")</f>
        <v>489</v>
      </c>
      <c r="AZ491" s="63" t="str">
        <f>IFERROR(INDEX($AM$3:$AM$1165,MATCH(ROWS($AY$3:AY491),$AY$3:$AY$1165,0)),"")</f>
        <v>initialPledged</v>
      </c>
    </row>
    <row r="492" spans="39:52" x14ac:dyDescent="0.2">
      <c r="AM492" s="63" t="s">
        <v>1993</v>
      </c>
      <c r="AN492" s="63" t="s">
        <v>1994</v>
      </c>
      <c r="AO492" s="63"/>
      <c r="AP492" s="63"/>
      <c r="AQ492" s="63"/>
      <c r="AR492" s="63"/>
      <c r="AS492" s="63"/>
      <c r="AT492" s="63"/>
      <c r="AV492" s="63"/>
      <c r="AW492" s="63"/>
      <c r="AX492" s="63">
        <f>--ISNUMBER(IFERROR(SEARCH(Tempset!$M$4,AM492,1),""))</f>
        <v>1</v>
      </c>
      <c r="AY492" s="63">
        <f>IF(AX492=1,COUNTIF($AX$3:AX492,1),"")</f>
        <v>490</v>
      </c>
      <c r="AZ492" s="63" t="str">
        <f>IFERROR(INDEX($AM$3:$AM$1165,MATCH(ROWS($AY$3:AY492),$AY$3:$AY$1165,0)),"")</f>
        <v>initialVariance</v>
      </c>
    </row>
    <row r="493" spans="39:52" x14ac:dyDescent="0.2">
      <c r="AM493" s="63" t="s">
        <v>1995</v>
      </c>
      <c r="AN493" s="63" t="s">
        <v>1996</v>
      </c>
      <c r="AO493" s="63"/>
      <c r="AP493" s="63"/>
      <c r="AQ493" s="63"/>
      <c r="AR493" s="63"/>
      <c r="AS493" s="63"/>
      <c r="AT493" s="63"/>
      <c r="AV493" s="63"/>
      <c r="AW493" s="63"/>
      <c r="AX493" s="63">
        <f>--ISNUMBER(IFERROR(SEARCH(Tempset!$M$4,AM493,1),""))</f>
        <v>1</v>
      </c>
      <c r="AY493" s="63">
        <f>IF(AX493=1,COUNTIF($AX$3:AX493,1),"")</f>
        <v>491</v>
      </c>
      <c r="AZ493" s="63" t="str">
        <f>IFERROR(INDEX($AM$3:$AM$1165,MATCH(ROWS($AY$3:AY493),$AY$3:$AY$1165,0)),"")</f>
        <v>inrstOutstandingRate</v>
      </c>
    </row>
    <row r="494" spans="39:52" x14ac:dyDescent="0.2">
      <c r="AM494" s="63" t="s">
        <v>1997</v>
      </c>
      <c r="AN494" s="63" t="s">
        <v>1998</v>
      </c>
      <c r="AO494" s="63"/>
      <c r="AP494" s="63"/>
      <c r="AQ494" s="63"/>
      <c r="AR494" s="63"/>
      <c r="AS494" s="63"/>
      <c r="AT494" s="63"/>
      <c r="AV494" s="63"/>
      <c r="AW494" s="63"/>
      <c r="AX494" s="63">
        <f>--ISNUMBER(IFERROR(SEARCH(Tempset!$M$4,AM494,1),""))</f>
        <v>1</v>
      </c>
      <c r="AY494" s="63">
        <f>IF(AX494=1,COUNTIF($AX$3:AX494,1),"")</f>
        <v>492</v>
      </c>
      <c r="AZ494" s="63" t="str">
        <f>IFERROR(INDEX($AM$3:$AM$1165,MATCH(ROWS($AY$3:AY494),$AY$3:$AY$1165,0)),"")</f>
        <v>instantaneousDefaultRisk</v>
      </c>
    </row>
    <row r="495" spans="39:52" x14ac:dyDescent="0.2">
      <c r="AM495" s="63" t="s">
        <v>1999</v>
      </c>
      <c r="AN495" s="63" t="s">
        <v>2000</v>
      </c>
      <c r="AO495" s="63"/>
      <c r="AP495" s="63"/>
      <c r="AQ495" s="63"/>
      <c r="AR495" s="63"/>
      <c r="AS495" s="63"/>
      <c r="AT495" s="63"/>
      <c r="AV495" s="63"/>
      <c r="AW495" s="63"/>
      <c r="AX495" s="63">
        <f>--ISNUMBER(IFERROR(SEARCH(Tempset!$M$4,AM495,1),""))</f>
        <v>1</v>
      </c>
      <c r="AY495" s="63">
        <f>IF(AX495=1,COUNTIF($AX$3:AX495,1),"")</f>
        <v>493</v>
      </c>
      <c r="AZ495" s="63" t="str">
        <f>IFERROR(INDEX($AM$3:$AM$1165,MATCH(ROWS($AY$3:AY495),$AY$3:$AY$1165,0)),"")</f>
        <v>instrumentFlag</v>
      </c>
    </row>
    <row r="496" spans="39:52" x14ac:dyDescent="0.2">
      <c r="AM496" s="63" t="s">
        <v>2001</v>
      </c>
      <c r="AN496" s="63" t="s">
        <v>2002</v>
      </c>
      <c r="AO496" s="63"/>
      <c r="AP496" s="63"/>
      <c r="AQ496" s="63"/>
      <c r="AR496" s="63"/>
      <c r="AS496" s="63"/>
      <c r="AT496" s="63"/>
      <c r="AV496" s="63"/>
      <c r="AW496" s="63"/>
      <c r="AX496" s="63">
        <f>--ISNUMBER(IFERROR(SEARCH(Tempset!$M$4,AM496,1),""))</f>
        <v>1</v>
      </c>
      <c r="AY496" s="63">
        <f>IF(AX496=1,COUNTIF($AX$3:AX496,1),"")</f>
        <v>494</v>
      </c>
      <c r="AZ496" s="63" t="str">
        <f>IFERROR(INDEX($AM$3:$AM$1165,MATCH(ROWS($AY$3:AY496),$AY$3:$AY$1165,0)),"")</f>
        <v>instrumentIdIssue</v>
      </c>
    </row>
    <row r="497" spans="39:52" x14ac:dyDescent="0.2">
      <c r="AM497" s="63" t="s">
        <v>2003</v>
      </c>
      <c r="AN497" s="63" t="s">
        <v>2004</v>
      </c>
      <c r="AO497" s="63"/>
      <c r="AP497" s="63"/>
      <c r="AQ497" s="63"/>
      <c r="AR497" s="63"/>
      <c r="AS497" s="63"/>
      <c r="AT497" s="63"/>
      <c r="AV497" s="63"/>
      <c r="AW497" s="63"/>
      <c r="AX497" s="63">
        <f>--ISNUMBER(IFERROR(SEARCH(Tempset!$M$4,AM497,1),""))</f>
        <v>1</v>
      </c>
      <c r="AY497" s="63">
        <f>IF(AX497=1,COUNTIF($AX$3:AX497,1),"")</f>
        <v>495</v>
      </c>
      <c r="AZ497" s="63" t="str">
        <f>IFERROR(INDEX($AM$3:$AM$1165,MATCH(ROWS($AY$3:AY497),$AY$3:$AY$1165,0)),"")</f>
        <v>instrumentIdListing</v>
      </c>
    </row>
    <row r="498" spans="39:52" x14ac:dyDescent="0.2">
      <c r="AM498" s="63" t="s">
        <v>2005</v>
      </c>
      <c r="AN498" s="63" t="s">
        <v>2006</v>
      </c>
      <c r="AO498" s="63"/>
      <c r="AP498" s="63"/>
      <c r="AQ498" s="63"/>
      <c r="AR498" s="63"/>
      <c r="AS498" s="63"/>
      <c r="AT498" s="63"/>
      <c r="AV498" s="63"/>
      <c r="AW498" s="63"/>
      <c r="AX498" s="63">
        <f>--ISNUMBER(IFERROR(SEARCH(Tempset!$M$4,AM498,1),""))</f>
        <v>1</v>
      </c>
      <c r="AY498" s="63">
        <f>IF(AX498=1,COUNTIF($AX$3:AX498,1),"")</f>
        <v>496</v>
      </c>
      <c r="AZ498" s="63" t="str">
        <f>IFERROR(INDEX($AM$3:$AM$1165,MATCH(ROWS($AY$3:AY498),$AY$3:$AY$1165,0)),"")</f>
        <v>instrumentIdType</v>
      </c>
    </row>
    <row r="499" spans="39:52" x14ac:dyDescent="0.2">
      <c r="AM499" s="63" t="s">
        <v>2007</v>
      </c>
      <c r="AN499" s="63" t="s">
        <v>2008</v>
      </c>
      <c r="AO499" s="63"/>
      <c r="AP499" s="63"/>
      <c r="AQ499" s="63"/>
      <c r="AR499" s="63"/>
      <c r="AS499" s="63"/>
      <c r="AT499" s="63"/>
      <c r="AV499" s="63"/>
      <c r="AW499" s="63"/>
      <c r="AX499" s="63">
        <f>--ISNUMBER(IFERROR(SEARCH(Tempset!$M$4,AM499,1),""))</f>
        <v>1</v>
      </c>
      <c r="AY499" s="63">
        <f>IF(AX499=1,COUNTIF($AX$3:AX499,1),"")</f>
        <v>497</v>
      </c>
      <c r="AZ499" s="63" t="str">
        <f>IFERROR(INDEX($AM$3:$AM$1165,MATCH(ROWS($AY$3:AY499),$AY$3:$AY$1165,0)),"")</f>
        <v>instrumentPriceDivider</v>
      </c>
    </row>
    <row r="500" spans="39:52" x14ac:dyDescent="0.2">
      <c r="AM500" s="63" t="s">
        <v>2009</v>
      </c>
      <c r="AN500" s="63" t="s">
        <v>2010</v>
      </c>
      <c r="AO500" s="63"/>
      <c r="AP500" s="63"/>
      <c r="AQ500" s="63"/>
      <c r="AR500" s="63"/>
      <c r="AS500" s="63"/>
      <c r="AT500" s="63"/>
      <c r="AV500" s="63"/>
      <c r="AW500" s="63"/>
      <c r="AX500" s="63">
        <f>--ISNUMBER(IFERROR(SEARCH(Tempset!$M$4,AM500,1),""))</f>
        <v>1</v>
      </c>
      <c r="AY500" s="63">
        <f>IF(AX500=1,COUNTIF($AX$3:AX500,1),"")</f>
        <v>498</v>
      </c>
      <c r="AZ500" s="63" t="str">
        <f>IFERROR(INDEX($AM$3:$AM$1165,MATCH(ROWS($AY$3:AY500),$AY$3:$AY$1165,0)),"")</f>
        <v>instrumentRating</v>
      </c>
    </row>
    <row r="501" spans="39:52" x14ac:dyDescent="0.2">
      <c r="AM501" s="63" t="s">
        <v>2011</v>
      </c>
      <c r="AN501" s="63" t="s">
        <v>2012</v>
      </c>
      <c r="AO501" s="63"/>
      <c r="AP501" s="63"/>
      <c r="AQ501" s="63"/>
      <c r="AR501" s="63"/>
      <c r="AS501" s="63"/>
      <c r="AT501" s="63"/>
      <c r="AV501" s="63"/>
      <c r="AW501" s="63"/>
      <c r="AX501" s="63">
        <f>--ISNUMBER(IFERROR(SEARCH(Tempset!$M$4,AM501,1),""))</f>
        <v>1</v>
      </c>
      <c r="AY501" s="63">
        <f>IF(AX501=1,COUNTIF($AX$3:AX501,1),"")</f>
        <v>499</v>
      </c>
      <c r="AZ501" s="63" t="str">
        <f>IFERROR(INDEX($AM$3:$AM$1165,MATCH(ROWS($AY$3:AY501),$AY$3:$AY$1165,0)),"")</f>
        <v>insuranceId</v>
      </c>
    </row>
    <row r="502" spans="39:52" x14ac:dyDescent="0.2">
      <c r="AM502" s="63" t="s">
        <v>2013</v>
      </c>
      <c r="AN502" s="63" t="s">
        <v>2014</v>
      </c>
      <c r="AO502" s="63"/>
      <c r="AP502" s="63"/>
      <c r="AQ502" s="63"/>
      <c r="AR502" s="63"/>
      <c r="AS502" s="63"/>
      <c r="AT502" s="63"/>
      <c r="AV502" s="63"/>
      <c r="AW502" s="63"/>
      <c r="AX502" s="63">
        <f>--ISNUMBER(IFERROR(SEARCH(Tempset!$M$4,AM502,1),""))</f>
        <v>1</v>
      </c>
      <c r="AY502" s="63">
        <f>IF(AX502=1,COUNTIF($AX$3:AX502,1),"")</f>
        <v>500</v>
      </c>
      <c r="AZ502" s="63" t="str">
        <f>IFERROR(INDEX($AM$3:$AM$1165,MATCH(ROWS($AY$3:AY502),$AY$3:$AY$1165,0)),"")</f>
        <v>insuredAmount</v>
      </c>
    </row>
    <row r="503" spans="39:52" x14ac:dyDescent="0.2">
      <c r="AM503" s="63" t="s">
        <v>2015</v>
      </c>
      <c r="AN503" s="63" t="s">
        <v>2016</v>
      </c>
      <c r="AO503" s="63"/>
      <c r="AP503" s="63"/>
      <c r="AQ503" s="63"/>
      <c r="AR503" s="63"/>
      <c r="AS503" s="63"/>
      <c r="AT503" s="63"/>
      <c r="AV503" s="63"/>
      <c r="AW503" s="63"/>
      <c r="AX503" s="63">
        <f>--ISNUMBER(IFERROR(SEARCH(Tempset!$M$4,AM503,1),""))</f>
        <v>1</v>
      </c>
      <c r="AY503" s="63">
        <f>IF(AX503=1,COUNTIF($AX$3:AX503,1),"")</f>
        <v>501</v>
      </c>
      <c r="AZ503" s="63" t="str">
        <f>IFERROR(INDEX($AM$3:$AM$1165,MATCH(ROWS($AY$3:AY503),$AY$3:$AY$1165,0)),"")</f>
        <v>insurerAge</v>
      </c>
    </row>
    <row r="504" spans="39:52" x14ac:dyDescent="0.2">
      <c r="AM504" s="63" t="s">
        <v>2017</v>
      </c>
      <c r="AN504" s="63" t="s">
        <v>2018</v>
      </c>
      <c r="AO504" s="63"/>
      <c r="AP504" s="63"/>
      <c r="AQ504" s="63"/>
      <c r="AR504" s="63"/>
      <c r="AS504" s="63"/>
      <c r="AT504" s="63"/>
      <c r="AV504" s="63"/>
      <c r="AW504" s="63"/>
      <c r="AX504" s="63">
        <f>--ISNUMBER(IFERROR(SEARCH(Tempset!$M$4,AM504,1),""))</f>
        <v>1</v>
      </c>
      <c r="AY504" s="63">
        <f>IF(AX504=1,COUNTIF($AX$3:AX504,1),"")</f>
        <v>502</v>
      </c>
      <c r="AZ504" s="63" t="str">
        <f>IFERROR(INDEX($AM$3:$AM$1165,MATCH(ROWS($AY$3:AY504),$AY$3:$AY$1165,0)),"")</f>
        <v>interCompanyFundingPNLCCY</v>
      </c>
    </row>
    <row r="505" spans="39:52" x14ac:dyDescent="0.2">
      <c r="AM505" s="63" t="s">
        <v>2019</v>
      </c>
      <c r="AN505" s="63" t="s">
        <v>2020</v>
      </c>
      <c r="AO505" s="63"/>
      <c r="AP505" s="63"/>
      <c r="AQ505" s="63"/>
      <c r="AR505" s="63"/>
      <c r="AS505" s="63"/>
      <c r="AT505" s="63"/>
      <c r="AV505" s="63"/>
      <c r="AW505" s="63"/>
      <c r="AX505" s="63">
        <f>--ISNUMBER(IFERROR(SEARCH(Tempset!$M$4,AM505,1),""))</f>
        <v>1</v>
      </c>
      <c r="AY505" s="63">
        <f>IF(AX505=1,COUNTIF($AX$3:AX505,1),"")</f>
        <v>503</v>
      </c>
      <c r="AZ505" s="63" t="str">
        <f>IFERROR(INDEX($AM$3:$AM$1165,MATCH(ROWS($AY$3:AY505),$AY$3:$AY$1165,0)),"")</f>
        <v>interCompanyFundingPNLValue</v>
      </c>
    </row>
    <row r="506" spans="39:52" x14ac:dyDescent="0.2">
      <c r="AM506" s="63" t="s">
        <v>2021</v>
      </c>
      <c r="AN506" s="63" t="s">
        <v>2022</v>
      </c>
      <c r="AO506" s="63"/>
      <c r="AP506" s="63"/>
      <c r="AQ506" s="63"/>
      <c r="AR506" s="63"/>
      <c r="AS506" s="63"/>
      <c r="AT506" s="63"/>
      <c r="AV506" s="63"/>
      <c r="AW506" s="63"/>
      <c r="AX506" s="63">
        <f>--ISNUMBER(IFERROR(SEARCH(Tempset!$M$4,AM506,1),""))</f>
        <v>1</v>
      </c>
      <c r="AY506" s="63">
        <f>IF(AX506=1,COUNTIF($AX$3:AX506,1),"")</f>
        <v>504</v>
      </c>
      <c r="AZ506" s="63" t="str">
        <f>IFERROR(INDEX($AM$3:$AM$1165,MATCH(ROWS($AY$3:AY506),$AY$3:$AY$1165,0)),"")</f>
        <v>interestFeeDueDate</v>
      </c>
    </row>
    <row r="507" spans="39:52" x14ac:dyDescent="0.2">
      <c r="AM507" s="63" t="s">
        <v>2023</v>
      </c>
      <c r="AN507" s="63" t="s">
        <v>2024</v>
      </c>
      <c r="AO507" s="63"/>
      <c r="AP507" s="63"/>
      <c r="AQ507" s="63"/>
      <c r="AR507" s="63"/>
      <c r="AS507" s="63"/>
      <c r="AT507" s="63"/>
      <c r="AV507" s="63"/>
      <c r="AW507" s="63"/>
      <c r="AX507" s="63">
        <f>--ISNUMBER(IFERROR(SEARCH(Tempset!$M$4,AM507,1),""))</f>
        <v>1</v>
      </c>
      <c r="AY507" s="63">
        <f>IF(AX507=1,COUNTIF($AX$3:AX507,1),"")</f>
        <v>505</v>
      </c>
      <c r="AZ507" s="63" t="str">
        <f>IFERROR(INDEX($AM$3:$AM$1165,MATCH(ROWS($AY$3:AY507),$AY$3:$AY$1165,0)),"")</f>
        <v>interestPaymentFrequency</v>
      </c>
    </row>
    <row r="508" spans="39:52" x14ac:dyDescent="0.2">
      <c r="AM508" s="63" t="s">
        <v>2025</v>
      </c>
      <c r="AN508" s="63" t="s">
        <v>2026</v>
      </c>
      <c r="AO508" s="63"/>
      <c r="AP508" s="63"/>
      <c r="AQ508" s="63"/>
      <c r="AR508" s="63"/>
      <c r="AS508" s="63"/>
      <c r="AT508" s="63"/>
      <c r="AV508" s="63"/>
      <c r="AW508" s="63"/>
      <c r="AX508" s="63">
        <f>--ISNUMBER(IFERROR(SEARCH(Tempset!$M$4,AM508,1),""))</f>
        <v>1</v>
      </c>
      <c r="AY508" s="63">
        <f>IF(AX508=1,COUNTIF($AX$3:AX508,1),"")</f>
        <v>506</v>
      </c>
      <c r="AZ508" s="63" t="str">
        <f>IFERROR(INDEX($AM$3:$AM$1165,MATCH(ROWS($AY$3:AY508),$AY$3:$AY$1165,0)),"")</f>
        <v>interestRate</v>
      </c>
    </row>
    <row r="509" spans="39:52" x14ac:dyDescent="0.2">
      <c r="AM509" s="63" t="s">
        <v>2027</v>
      </c>
      <c r="AN509" s="63" t="s">
        <v>2028</v>
      </c>
      <c r="AO509" s="63"/>
      <c r="AP509" s="63"/>
      <c r="AQ509" s="63"/>
      <c r="AR509" s="63"/>
      <c r="AS509" s="63"/>
      <c r="AT509" s="63"/>
      <c r="AV509" s="63"/>
      <c r="AW509" s="63"/>
      <c r="AX509" s="63">
        <f>--ISNUMBER(IFERROR(SEARCH(Tempset!$M$4,AM509,1),""))</f>
        <v>1</v>
      </c>
      <c r="AY509" s="63">
        <f>IF(AX509=1,COUNTIF($AX$3:AX509,1),"")</f>
        <v>507</v>
      </c>
      <c r="AZ509" s="63" t="str">
        <f>IFERROR(INDEX($AM$3:$AM$1165,MATCH(ROWS($AY$3:AY509),$AY$3:$AY$1165,0)),"")</f>
        <v>interestRateCategoryType</v>
      </c>
    </row>
    <row r="510" spans="39:52" x14ac:dyDescent="0.2">
      <c r="AM510" s="63" t="s">
        <v>2029</v>
      </c>
      <c r="AN510" s="63" t="s">
        <v>2030</v>
      </c>
      <c r="AO510" s="63"/>
      <c r="AP510" s="63"/>
      <c r="AQ510" s="63"/>
      <c r="AR510" s="63"/>
      <c r="AS510" s="63"/>
      <c r="AT510" s="63"/>
      <c r="AV510" s="63"/>
      <c r="AW510" s="63"/>
      <c r="AX510" s="63">
        <f>--ISNUMBER(IFERROR(SEARCH(Tempset!$M$4,AM510,1),""))</f>
        <v>1</v>
      </c>
      <c r="AY510" s="63">
        <f>IF(AX510=1,COUNTIF($AX$3:AX510,1),"")</f>
        <v>508</v>
      </c>
      <c r="AZ510" s="63" t="str">
        <f>IFERROR(INDEX($AM$3:$AM$1165,MATCH(ROWS($AY$3:AY510),$AY$3:$AY$1165,0)),"")</f>
        <v>interestRateFactor</v>
      </c>
    </row>
    <row r="511" spans="39:52" x14ac:dyDescent="0.2">
      <c r="AM511" s="63" t="s">
        <v>2031</v>
      </c>
      <c r="AN511" s="63" t="s">
        <v>2032</v>
      </c>
      <c r="AO511" s="63"/>
      <c r="AP511" s="63"/>
      <c r="AQ511" s="63"/>
      <c r="AR511" s="63"/>
      <c r="AS511" s="63"/>
      <c r="AT511" s="63"/>
      <c r="AV511" s="63"/>
      <c r="AW511" s="63"/>
      <c r="AX511" s="63">
        <f>--ISNUMBER(IFERROR(SEARCH(Tempset!$M$4,AM511,1),""))</f>
        <v>1</v>
      </c>
      <c r="AY511" s="63">
        <f>IF(AX511=1,COUNTIF($AX$3:AX511,1),"")</f>
        <v>509</v>
      </c>
      <c r="AZ511" s="63" t="str">
        <f>IFERROR(INDEX($AM$3:$AM$1165,MATCH(ROWS($AY$3:AY511),$AY$3:$AY$1165,0)),"")</f>
        <v>interestRateSpread</v>
      </c>
    </row>
    <row r="512" spans="39:52" x14ac:dyDescent="0.2">
      <c r="AM512" s="63" t="s">
        <v>2033</v>
      </c>
      <c r="AN512" s="63" t="s">
        <v>2034</v>
      </c>
      <c r="AO512" s="63"/>
      <c r="AP512" s="63"/>
      <c r="AQ512" s="63"/>
      <c r="AR512" s="63"/>
      <c r="AS512" s="63"/>
      <c r="AT512" s="63"/>
      <c r="AV512" s="63"/>
      <c r="AW512" s="63"/>
      <c r="AX512" s="63">
        <f>--ISNUMBER(IFERROR(SEARCH(Tempset!$M$4,AM512,1),""))</f>
        <v>1</v>
      </c>
      <c r="AY512" s="63">
        <f>IF(AX512=1,COUNTIF($AX$3:AX512,1),"")</f>
        <v>510</v>
      </c>
      <c r="AZ512" s="63" t="str">
        <f>IFERROR(INDEX($AM$3:$AM$1165,MATCH(ROWS($AY$3:AY512),$AY$3:$AY$1165,0)),"")</f>
        <v>interimBaseNetIncome</v>
      </c>
    </row>
    <row r="513" spans="39:52" x14ac:dyDescent="0.2">
      <c r="AM513" s="63" t="s">
        <v>2035</v>
      </c>
      <c r="AN513" s="63" t="s">
        <v>2036</v>
      </c>
      <c r="AO513" s="63"/>
      <c r="AP513" s="63"/>
      <c r="AQ513" s="63"/>
      <c r="AR513" s="63"/>
      <c r="AS513" s="63"/>
      <c r="AT513" s="63"/>
      <c r="AV513" s="63"/>
      <c r="AW513" s="63"/>
      <c r="AX513" s="63">
        <f>--ISNUMBER(IFERROR(SEARCH(Tempset!$M$4,AM513,1),""))</f>
        <v>1</v>
      </c>
      <c r="AY513" s="63">
        <f>IF(AX513=1,COUNTIF($AX$3:AX513,1),"")</f>
        <v>511</v>
      </c>
      <c r="AZ513" s="63" t="str">
        <f>IFERROR(INDEX($AM$3:$AM$1165,MATCH(ROWS($AY$3:AY513),$AY$3:$AY$1165,0)),"")</f>
        <v>interimScenarioPTIValue</v>
      </c>
    </row>
    <row r="514" spans="39:52" x14ac:dyDescent="0.2">
      <c r="AM514" s="63" t="s">
        <v>2037</v>
      </c>
      <c r="AN514" s="63" t="s">
        <v>2038</v>
      </c>
      <c r="AO514" s="63"/>
      <c r="AP514" s="63"/>
      <c r="AQ514" s="63"/>
      <c r="AR514" s="63"/>
      <c r="AS514" s="63"/>
      <c r="AT514" s="63"/>
      <c r="AV514" s="63"/>
      <c r="AW514" s="63"/>
      <c r="AX514" s="63">
        <f>--ISNUMBER(IFERROR(SEARCH(Tempset!$M$4,AM514,1),""))</f>
        <v>1</v>
      </c>
      <c r="AY514" s="63">
        <f>IF(AX514=1,COUNTIF($AX$3:AX514,1),"")</f>
        <v>512</v>
      </c>
      <c r="AZ514" s="63" t="str">
        <f>IFERROR(INDEX($AM$3:$AM$1165,MATCH(ROWS($AY$3:AY514),$AY$3:$AY$1165,0)),"")</f>
        <v>interimStressedNetIncome</v>
      </c>
    </row>
    <row r="515" spans="39:52" x14ac:dyDescent="0.2">
      <c r="AM515" s="63" t="s">
        <v>2039</v>
      </c>
      <c r="AN515" s="63" t="s">
        <v>2040</v>
      </c>
      <c r="AO515" s="63"/>
      <c r="AP515" s="63"/>
      <c r="AQ515" s="63"/>
      <c r="AR515" s="63"/>
      <c r="AS515" s="63"/>
      <c r="AT515" s="63"/>
      <c r="AV515" s="63"/>
      <c r="AW515" s="63"/>
      <c r="AX515" s="63">
        <f>--ISNUMBER(IFERROR(SEARCH(Tempset!$M$4,AM515,1),""))</f>
        <v>1</v>
      </c>
      <c r="AY515" s="63">
        <f>IF(AX515=1,COUNTIF($AX$3:AX515,1),"")</f>
        <v>513</v>
      </c>
      <c r="AZ515" s="63" t="str">
        <f>IFERROR(INDEX($AM$3:$AM$1165,MATCH(ROWS($AY$3:AY515),$AY$3:$AY$1165,0)),"")</f>
        <v>internalCollectionId</v>
      </c>
    </row>
    <row r="516" spans="39:52" x14ac:dyDescent="0.2">
      <c r="AM516" s="63" t="s">
        <v>2041</v>
      </c>
      <c r="AN516" s="63" t="s">
        <v>2042</v>
      </c>
      <c r="AO516" s="63"/>
      <c r="AP516" s="63"/>
      <c r="AQ516" s="63"/>
      <c r="AR516" s="63"/>
      <c r="AS516" s="63"/>
      <c r="AT516" s="63"/>
      <c r="AV516" s="63"/>
      <c r="AW516" s="63"/>
      <c r="AX516" s="63">
        <f>--ISNUMBER(IFERROR(SEARCH(Tempset!$M$4,AM516,1),""))</f>
        <v>1</v>
      </c>
      <c r="AY516" s="63">
        <f>IF(AX516=1,COUNTIF($AX$3:AX516,1),"")</f>
        <v>514</v>
      </c>
      <c r="AZ516" s="63" t="str">
        <f>IFERROR(INDEX($AM$3:$AM$1165,MATCH(ROWS($AY$3:AY516),$AY$3:$AY$1165,0)),"")</f>
        <v>internalCreditRatingCode</v>
      </c>
    </row>
    <row r="517" spans="39:52" x14ac:dyDescent="0.2">
      <c r="AM517" s="63" t="s">
        <v>2043</v>
      </c>
      <c r="AN517" s="63" t="s">
        <v>2044</v>
      </c>
      <c r="AO517" s="63"/>
      <c r="AP517" s="63"/>
      <c r="AQ517" s="63"/>
      <c r="AR517" s="63"/>
      <c r="AS517" s="63"/>
      <c r="AT517" s="63"/>
      <c r="AV517" s="63"/>
      <c r="AW517" s="63"/>
      <c r="AX517" s="63">
        <f>--ISNUMBER(IFERROR(SEARCH(Tempset!$M$4,AM517,1),""))</f>
        <v>1</v>
      </c>
      <c r="AY517" s="63">
        <f>IF(AX517=1,COUNTIF($AX$3:AX517,1),"")</f>
        <v>515</v>
      </c>
      <c r="AZ517" s="63" t="str">
        <f>IFERROR(INDEX($AM$3:$AM$1165,MATCH(ROWS($AY$3:AY517),$AY$3:$AY$1165,0)),"")</f>
        <v>internalCreditRatingModelCode</v>
      </c>
    </row>
    <row r="518" spans="39:52" x14ac:dyDescent="0.2">
      <c r="AM518" s="63" t="s">
        <v>2045</v>
      </c>
      <c r="AN518" s="63" t="s">
        <v>2046</v>
      </c>
      <c r="AO518" s="63"/>
      <c r="AP518" s="63"/>
      <c r="AQ518" s="63"/>
      <c r="AR518" s="63"/>
      <c r="AS518" s="63"/>
      <c r="AT518" s="63"/>
      <c r="AV518" s="63"/>
      <c r="AW518" s="63"/>
      <c r="AX518" s="63">
        <f>--ISNUMBER(IFERROR(SEARCH(Tempset!$M$4,AM518,1),""))</f>
        <v>1</v>
      </c>
      <c r="AY518" s="63">
        <f>IF(AX518=1,COUNTIF($AX$3:AX518,1),"")</f>
        <v>516</v>
      </c>
      <c r="AZ518" s="63" t="str">
        <f>IFERROR(INDEX($AM$3:$AM$1165,MATCH(ROWS($AY$3:AY518),$AY$3:$AY$1165,0)),"")</f>
        <v>internalExternalIndicator</v>
      </c>
    </row>
    <row r="519" spans="39:52" x14ac:dyDescent="0.2">
      <c r="AM519" s="63" t="s">
        <v>2047</v>
      </c>
      <c r="AN519" s="63" t="s">
        <v>2048</v>
      </c>
      <c r="AO519" s="63"/>
      <c r="AP519" s="63"/>
      <c r="AQ519" s="63"/>
      <c r="AR519" s="63"/>
      <c r="AS519" s="63"/>
      <c r="AT519" s="63"/>
      <c r="AV519" s="63"/>
      <c r="AW519" s="63"/>
      <c r="AX519" s="63">
        <f>--ISNUMBER(IFERROR(SEARCH(Tempset!$M$4,AM519,1),""))</f>
        <v>1</v>
      </c>
      <c r="AY519" s="63">
        <f>IF(AX519=1,COUNTIF($AX$3:AX519,1),"")</f>
        <v>517</v>
      </c>
      <c r="AZ519" s="63" t="str">
        <f>IFERROR(INDEX($AM$3:$AM$1165,MATCH(ROWS($AY$3:AY519),$AY$3:$AY$1165,0)),"")</f>
        <v>internalTransactionRating</v>
      </c>
    </row>
    <row r="520" spans="39:52" x14ac:dyDescent="0.2">
      <c r="AM520" s="63" t="s">
        <v>2049</v>
      </c>
      <c r="AN520" s="63" t="s">
        <v>2050</v>
      </c>
      <c r="AO520" s="63"/>
      <c r="AP520" s="63"/>
      <c r="AQ520" s="63"/>
      <c r="AR520" s="63"/>
      <c r="AS520" s="63"/>
      <c r="AT520" s="63"/>
      <c r="AV520" s="63"/>
      <c r="AW520" s="63"/>
      <c r="AX520" s="63">
        <f>--ISNUMBER(IFERROR(SEARCH(Tempset!$M$4,AM520,1),""))</f>
        <v>1</v>
      </c>
      <c r="AY520" s="63">
        <f>IF(AX520=1,COUNTIF($AX$3:AX520,1),"")</f>
        <v>518</v>
      </c>
      <c r="AZ520" s="63" t="str">
        <f>IFERROR(INDEX($AM$3:$AM$1165,MATCH(ROWS($AY$3:AY520),$AY$3:$AY$1165,0)),"")</f>
        <v>intraTradeNettingFlag</v>
      </c>
    </row>
    <row r="521" spans="39:52" x14ac:dyDescent="0.2">
      <c r="AM521" s="63" t="s">
        <v>2051</v>
      </c>
      <c r="AN521" s="63" t="s">
        <v>2052</v>
      </c>
      <c r="AO521" s="63"/>
      <c r="AP521" s="63"/>
      <c r="AQ521" s="63"/>
      <c r="AR521" s="63"/>
      <c r="AS521" s="63"/>
      <c r="AT521" s="63"/>
      <c r="AV521" s="63"/>
      <c r="AW521" s="63"/>
      <c r="AX521" s="63">
        <f>--ISNUMBER(IFERROR(SEARCH(Tempset!$M$4,AM521,1),""))</f>
        <v>1</v>
      </c>
      <c r="AY521" s="63">
        <f>IF(AX521=1,COUNTIF($AX$3:AX521,1),"")</f>
        <v>519</v>
      </c>
      <c r="AZ521" s="63" t="str">
        <f>IFERROR(INDEX($AM$3:$AM$1165,MATCH(ROWS($AY$3:AY521),$AY$3:$AY$1165,0)),"")</f>
        <v>inventoryTypeId</v>
      </c>
    </row>
    <row r="522" spans="39:52" x14ac:dyDescent="0.2">
      <c r="AM522" s="63" t="s">
        <v>2053</v>
      </c>
      <c r="AN522" s="63" t="s">
        <v>2054</v>
      </c>
      <c r="AO522" s="63"/>
      <c r="AP522" s="63"/>
      <c r="AQ522" s="63"/>
      <c r="AR522" s="63"/>
      <c r="AS522" s="63"/>
      <c r="AT522" s="63"/>
      <c r="AV522" s="63"/>
      <c r="AW522" s="63"/>
      <c r="AX522" s="63">
        <f>--ISNUMBER(IFERROR(SEARCH(Tempset!$M$4,AM522,1),""))</f>
        <v>1</v>
      </c>
      <c r="AY522" s="63">
        <f>IF(AX522=1,COUNTIF($AX$3:AX522,1),"")</f>
        <v>520</v>
      </c>
      <c r="AZ522" s="63" t="str">
        <f>IFERROR(INDEX($AM$3:$AM$1165,MATCH(ROWS($AY$3:AY522),$AY$3:$AY$1165,0)),"")</f>
        <v>investementId</v>
      </c>
    </row>
    <row r="523" spans="39:52" x14ac:dyDescent="0.2">
      <c r="AM523" s="63" t="s">
        <v>2055</v>
      </c>
      <c r="AN523" s="63" t="s">
        <v>2056</v>
      </c>
      <c r="AO523" s="63"/>
      <c r="AP523" s="63"/>
      <c r="AQ523" s="63"/>
      <c r="AR523" s="63"/>
      <c r="AS523" s="63"/>
      <c r="AT523" s="63"/>
      <c r="AV523" s="63"/>
      <c r="AW523" s="63"/>
      <c r="AX523" s="63">
        <f>--ISNUMBER(IFERROR(SEARCH(Tempset!$M$4,AM523,1),""))</f>
        <v>1</v>
      </c>
      <c r="AY523" s="63">
        <f>IF(AX523=1,COUNTIF($AX$3:AX523,1),"")</f>
        <v>521</v>
      </c>
      <c r="AZ523" s="63" t="str">
        <f>IFERROR(INDEX($AM$3:$AM$1165,MATCH(ROWS($AY$3:AY523),$AY$3:$AY$1165,0)),"")</f>
        <v>investmentCurrency</v>
      </c>
    </row>
    <row r="524" spans="39:52" x14ac:dyDescent="0.2">
      <c r="AM524" s="63" t="s">
        <v>2057</v>
      </c>
      <c r="AN524" s="63" t="s">
        <v>2058</v>
      </c>
      <c r="AO524" s="63"/>
      <c r="AP524" s="63"/>
      <c r="AQ524" s="63"/>
      <c r="AR524" s="63"/>
      <c r="AS524" s="63"/>
      <c r="AT524" s="63"/>
      <c r="AV524" s="63"/>
      <c r="AW524" s="63"/>
      <c r="AX524" s="63">
        <f>--ISNUMBER(IFERROR(SEARCH(Tempset!$M$4,AM524,1),""))</f>
        <v>1</v>
      </c>
      <c r="AY524" s="63">
        <f>IF(AX524=1,COUNTIF($AX$3:AX524,1),"")</f>
        <v>522</v>
      </c>
      <c r="AZ524" s="63" t="str">
        <f>IFERROR(INDEX($AM$3:$AM$1165,MATCH(ROWS($AY$3:AY524),$AY$3:$AY$1165,0)),"")</f>
        <v>investmentExclVAT</v>
      </c>
    </row>
    <row r="525" spans="39:52" x14ac:dyDescent="0.2">
      <c r="AM525" s="63" t="s">
        <v>2059</v>
      </c>
      <c r="AN525" s="63" t="s">
        <v>2060</v>
      </c>
      <c r="AO525" s="63"/>
      <c r="AP525" s="63"/>
      <c r="AQ525" s="63"/>
      <c r="AR525" s="63"/>
      <c r="AS525" s="63"/>
      <c r="AT525" s="63"/>
      <c r="AV525" s="63"/>
      <c r="AW525" s="63"/>
      <c r="AX525" s="63">
        <f>--ISNUMBER(IFERROR(SEARCH(Tempset!$M$4,AM525,1),""))</f>
        <v>1</v>
      </c>
      <c r="AY525" s="63">
        <f>IF(AX525=1,COUNTIF($AX$3:AX525,1),"")</f>
        <v>523</v>
      </c>
      <c r="AZ525" s="63" t="str">
        <f>IFERROR(INDEX($AM$3:$AM$1165,MATCH(ROWS($AY$3:AY525),$AY$3:$AY$1165,0)),"")</f>
        <v>investmentFundName</v>
      </c>
    </row>
    <row r="526" spans="39:52" x14ac:dyDescent="0.2">
      <c r="AM526" s="63" t="s">
        <v>2061</v>
      </c>
      <c r="AN526" s="63" t="s">
        <v>2062</v>
      </c>
      <c r="AO526" s="63"/>
      <c r="AP526" s="63"/>
      <c r="AQ526" s="63"/>
      <c r="AR526" s="63"/>
      <c r="AS526" s="63"/>
      <c r="AT526" s="63"/>
      <c r="AV526" s="63"/>
      <c r="AW526" s="63"/>
      <c r="AX526" s="63">
        <f>--ISNUMBER(IFERROR(SEARCH(Tempset!$M$4,AM526,1),""))</f>
        <v>1</v>
      </c>
      <c r="AY526" s="63">
        <f>IF(AX526=1,COUNTIF($AX$3:AX526,1),"")</f>
        <v>524</v>
      </c>
      <c r="AZ526" s="63" t="str">
        <f>IFERROR(INDEX($AM$3:$AM$1165,MATCH(ROWS($AY$3:AY526),$AY$3:$AY$1165,0)),"")</f>
        <v>investmentGrade</v>
      </c>
    </row>
    <row r="527" spans="39:52" x14ac:dyDescent="0.2">
      <c r="AM527" s="63" t="s">
        <v>2063</v>
      </c>
      <c r="AN527" s="63" t="s">
        <v>2064</v>
      </c>
      <c r="AO527" s="63"/>
      <c r="AP527" s="63"/>
      <c r="AQ527" s="63"/>
      <c r="AR527" s="63"/>
      <c r="AS527" s="63"/>
      <c r="AT527" s="63"/>
      <c r="AV527" s="63"/>
      <c r="AW527" s="63"/>
      <c r="AX527" s="63">
        <f>--ISNUMBER(IFERROR(SEARCH(Tempset!$M$4,AM527,1),""))</f>
        <v>1</v>
      </c>
      <c r="AY527" s="63">
        <f>IF(AX527=1,COUNTIF($AX$3:AX527,1),"")</f>
        <v>525</v>
      </c>
      <c r="AZ527" s="63" t="str">
        <f>IFERROR(INDEX($AM$3:$AM$1165,MATCH(ROWS($AY$3:AY527),$AY$3:$AY$1165,0)),"")</f>
        <v>investorShareNtnl</v>
      </c>
    </row>
    <row r="528" spans="39:52" x14ac:dyDescent="0.2">
      <c r="AM528" s="63" t="s">
        <v>2065</v>
      </c>
      <c r="AN528" s="63" t="s">
        <v>2066</v>
      </c>
      <c r="AO528" s="63"/>
      <c r="AP528" s="63"/>
      <c r="AQ528" s="63"/>
      <c r="AR528" s="63"/>
      <c r="AS528" s="63"/>
      <c r="AT528" s="63"/>
      <c r="AV528" s="63"/>
      <c r="AW528" s="63"/>
      <c r="AX528" s="63">
        <f>--ISNUMBER(IFERROR(SEARCH(Tempset!$M$4,AM528,1),""))</f>
        <v>1</v>
      </c>
      <c r="AY528" s="63">
        <f>IF(AX528=1,COUNTIF($AX$3:AX528,1),"")</f>
        <v>526</v>
      </c>
      <c r="AZ528" s="63" t="str">
        <f>IFERROR(INDEX($AM$3:$AM$1165,MATCH(ROWS($AY$3:AY528),$AY$3:$AY$1165,0)),"")</f>
        <v>investorSharePc</v>
      </c>
    </row>
    <row r="529" spans="39:52" x14ac:dyDescent="0.2">
      <c r="AM529" s="63" t="s">
        <v>2067</v>
      </c>
      <c r="AN529" s="63" t="s">
        <v>2068</v>
      </c>
      <c r="AO529" s="63"/>
      <c r="AP529" s="63"/>
      <c r="AQ529" s="63"/>
      <c r="AR529" s="63"/>
      <c r="AS529" s="63"/>
      <c r="AT529" s="63"/>
      <c r="AV529" s="63"/>
      <c r="AW529" s="63"/>
      <c r="AX529" s="63">
        <f>--ISNUMBER(IFERROR(SEARCH(Tempset!$M$4,AM529,1),""))</f>
        <v>1</v>
      </c>
      <c r="AY529" s="63">
        <f>IF(AX529=1,COUNTIF($AX$3:AX529,1),"")</f>
        <v>527</v>
      </c>
      <c r="AZ529" s="63" t="str">
        <f>IFERROR(INDEX($AM$3:$AM$1165,MATCH(ROWS($AY$3:AY529),$AY$3:$AY$1165,0)),"")</f>
        <v>IRCAddonValue</v>
      </c>
    </row>
    <row r="530" spans="39:52" x14ac:dyDescent="0.2">
      <c r="AM530" s="63" t="s">
        <v>2069</v>
      </c>
      <c r="AN530" s="63" t="s">
        <v>2070</v>
      </c>
      <c r="AO530" s="63"/>
      <c r="AP530" s="63"/>
      <c r="AQ530" s="63"/>
      <c r="AR530" s="63"/>
      <c r="AS530" s="63"/>
      <c r="AT530" s="63"/>
      <c r="AV530" s="63"/>
      <c r="AW530" s="63"/>
      <c r="AX530" s="63">
        <f>--ISNUMBER(IFERROR(SEARCH(Tempset!$M$4,AM530,1),""))</f>
        <v>1</v>
      </c>
      <c r="AY530" s="63">
        <f>IF(AX530=1,COUNTIF($AX$3:AX530,1),"")</f>
        <v>528</v>
      </c>
      <c r="AZ530" s="63" t="str">
        <f>IFERROR(INDEX($AM$3:$AM$1165,MATCH(ROWS($AY$3:AY530),$AY$3:$AY$1165,0)),"")</f>
        <v>IRCAddonValueCcy</v>
      </c>
    </row>
    <row r="531" spans="39:52" x14ac:dyDescent="0.2">
      <c r="AM531" s="63" t="s">
        <v>2071</v>
      </c>
      <c r="AN531" s="63" t="s">
        <v>2072</v>
      </c>
      <c r="AO531" s="63"/>
      <c r="AP531" s="63"/>
      <c r="AQ531" s="63"/>
      <c r="AR531" s="63"/>
      <c r="AS531" s="63"/>
      <c r="AT531" s="63"/>
      <c r="AV531" s="63"/>
      <c r="AW531" s="63"/>
      <c r="AX531" s="63">
        <f>--ISNUMBER(IFERROR(SEARCH(Tempset!$M$4,AM531,1),""))</f>
        <v>1</v>
      </c>
      <c r="AY531" s="63">
        <f>IF(AX531=1,COUNTIF($AX$3:AX531,1),"")</f>
        <v>529</v>
      </c>
      <c r="AZ531" s="63" t="str">
        <f>IFERROR(INDEX($AM$3:$AM$1165,MATCH(ROWS($AY$3:AY531),$AY$3:$AY$1165,0)),"")</f>
        <v>IRCNotionalValue</v>
      </c>
    </row>
    <row r="532" spans="39:52" x14ac:dyDescent="0.2">
      <c r="AM532" s="63" t="s">
        <v>2073</v>
      </c>
      <c r="AN532" s="63" t="s">
        <v>2074</v>
      </c>
      <c r="AO532" s="63"/>
      <c r="AP532" s="63"/>
      <c r="AQ532" s="63"/>
      <c r="AR532" s="63"/>
      <c r="AS532" s="63"/>
      <c r="AT532" s="63"/>
      <c r="AV532" s="63"/>
      <c r="AW532" s="63"/>
      <c r="AX532" s="63">
        <f>--ISNUMBER(IFERROR(SEARCH(Tempset!$M$4,AM532,1),""))</f>
        <v>1</v>
      </c>
      <c r="AY532" s="63">
        <f>IF(AX532=1,COUNTIF($AX$3:AX532,1),"")</f>
        <v>530</v>
      </c>
      <c r="AZ532" s="63" t="str">
        <f>IFERROR(INDEX($AM$3:$AM$1165,MATCH(ROWS($AY$3:AY532),$AY$3:$AY$1165,0)),"")</f>
        <v>IRCRWAValue</v>
      </c>
    </row>
    <row r="533" spans="39:52" x14ac:dyDescent="0.2">
      <c r="AM533" s="63" t="s">
        <v>2075</v>
      </c>
      <c r="AN533" s="63" t="s">
        <v>2076</v>
      </c>
      <c r="AO533" s="63"/>
      <c r="AP533" s="63"/>
      <c r="AQ533" s="63"/>
      <c r="AR533" s="63"/>
      <c r="AS533" s="63"/>
      <c r="AT533" s="63"/>
      <c r="AV533" s="63"/>
      <c r="AW533" s="63"/>
      <c r="AX533" s="63">
        <f>--ISNUMBER(IFERROR(SEARCH(Tempset!$M$4,AM533,1),""))</f>
        <v>1</v>
      </c>
      <c r="AY533" s="63">
        <f>IF(AX533=1,COUNTIF($AX$3:AX533,1),"")</f>
        <v>531</v>
      </c>
      <c r="AZ533" s="63" t="str">
        <f>IFERROR(INDEX($AM$3:$AM$1165,MATCH(ROWS($AY$3:AY533),$AY$3:$AY$1165,0)),"")</f>
        <v>IRCValue</v>
      </c>
    </row>
    <row r="534" spans="39:52" x14ac:dyDescent="0.2">
      <c r="AM534" s="63" t="s">
        <v>2077</v>
      </c>
      <c r="AN534" s="63" t="s">
        <v>2078</v>
      </c>
      <c r="AO534" s="63"/>
      <c r="AP534" s="63"/>
      <c r="AQ534" s="63"/>
      <c r="AR534" s="63"/>
      <c r="AS534" s="63"/>
      <c r="AT534" s="63"/>
      <c r="AV534" s="63"/>
      <c r="AW534" s="63"/>
      <c r="AX534" s="63">
        <f>--ISNUMBER(IFERROR(SEARCH(Tempset!$M$4,AM534,1),""))</f>
        <v>1</v>
      </c>
      <c r="AY534" s="63">
        <f>IF(AX534=1,COUNTIF($AX$3:AX534,1),"")</f>
        <v>532</v>
      </c>
      <c r="AZ534" s="63" t="str">
        <f>IFERROR(INDEX($AM$3:$AM$1165,MATCH(ROWS($AY$3:AY534),$AY$3:$AY$1165,0)),"")</f>
        <v>IRCValueCurrency</v>
      </c>
    </row>
    <row r="535" spans="39:52" x14ac:dyDescent="0.2">
      <c r="AM535" s="63" t="s">
        <v>2079</v>
      </c>
      <c r="AN535" s="63" t="s">
        <v>2080</v>
      </c>
      <c r="AO535" s="63"/>
      <c r="AP535" s="63"/>
      <c r="AQ535" s="63"/>
      <c r="AR535" s="63"/>
      <c r="AS535" s="63"/>
      <c r="AT535" s="63"/>
      <c r="AV535" s="63"/>
      <c r="AW535" s="63"/>
      <c r="AX535" s="63">
        <f>--ISNUMBER(IFERROR(SEARCH(Tempset!$M$4,AM535,1),""))</f>
        <v>1</v>
      </c>
      <c r="AY535" s="63">
        <f>IF(AX535=1,COUNTIF($AX$3:AX535,1),"")</f>
        <v>533</v>
      </c>
      <c r="AZ535" s="63" t="str">
        <f>IFERROR(INDEX($AM$3:$AM$1165,MATCH(ROWS($AY$3:AY535),$AY$3:$AY$1165,0)),"")</f>
        <v>IRMAAnalysisId</v>
      </c>
    </row>
    <row r="536" spans="39:52" x14ac:dyDescent="0.2">
      <c r="AM536" s="63" t="s">
        <v>2081</v>
      </c>
      <c r="AN536" s="63" t="s">
        <v>2082</v>
      </c>
      <c r="AO536" s="63"/>
      <c r="AP536" s="63"/>
      <c r="AQ536" s="63"/>
      <c r="AR536" s="63"/>
      <c r="AS536" s="63"/>
      <c r="AT536" s="63"/>
      <c r="AV536" s="63"/>
      <c r="AW536" s="63"/>
      <c r="AX536" s="63">
        <f>--ISNUMBER(IFERROR(SEARCH(Tempset!$M$4,AM536,1),""))</f>
        <v>1</v>
      </c>
      <c r="AY536" s="63">
        <f>IF(AX536=1,COUNTIF($AX$3:AX536,1),"")</f>
        <v>534</v>
      </c>
      <c r="AZ536" s="63" t="str">
        <f>IFERROR(INDEX($AM$3:$AM$1165,MATCH(ROWS($AY$3:AY536),$AY$3:$AY$1165,0)),"")</f>
        <v>ISDA2003ModRestructuring</v>
      </c>
    </row>
    <row r="537" spans="39:52" x14ac:dyDescent="0.2">
      <c r="AM537" s="63" t="s">
        <v>2083</v>
      </c>
      <c r="AN537" s="63" t="s">
        <v>2084</v>
      </c>
      <c r="AO537" s="63"/>
      <c r="AP537" s="63"/>
      <c r="AQ537" s="63"/>
      <c r="AR537" s="63"/>
      <c r="AS537" s="63"/>
      <c r="AT537" s="63"/>
      <c r="AV537" s="63"/>
      <c r="AW537" s="63"/>
      <c r="AX537" s="63">
        <f>--ISNUMBER(IFERROR(SEARCH(Tempset!$M$4,AM537,1),""))</f>
        <v>1</v>
      </c>
      <c r="AY537" s="63">
        <f>IF(AX537=1,COUNTIF($AX$3:AX537,1),"")</f>
        <v>535</v>
      </c>
      <c r="AZ537" s="63" t="str">
        <f>IFERROR(INDEX($AM$3:$AM$1165,MATCH(ROWS($AY$3:AY537),$AY$3:$AY$1165,0)),"")</f>
        <v>ISDADefinition</v>
      </c>
    </row>
    <row r="538" spans="39:52" x14ac:dyDescent="0.2">
      <c r="AM538" s="63" t="s">
        <v>2085</v>
      </c>
      <c r="AN538" s="63" t="s">
        <v>2086</v>
      </c>
      <c r="AO538" s="63"/>
      <c r="AP538" s="63"/>
      <c r="AQ538" s="63"/>
      <c r="AR538" s="63"/>
      <c r="AS538" s="63"/>
      <c r="AT538" s="63"/>
      <c r="AV538" s="63"/>
      <c r="AW538" s="63"/>
      <c r="AX538" s="63">
        <f>--ISNUMBER(IFERROR(SEARCH(Tempset!$M$4,AM538,1),""))</f>
        <v>1</v>
      </c>
      <c r="AY538" s="63">
        <f>IF(AX538=1,COUNTIF($AX$3:AX538,1),"")</f>
        <v>536</v>
      </c>
      <c r="AZ538" s="63" t="str">
        <f>IFERROR(INDEX($AM$3:$AM$1165,MATCH(ROWS($AY$3:AY538),$AY$3:$AY$1165,0)),"")</f>
        <v>ISNIERCValue</v>
      </c>
    </row>
    <row r="539" spans="39:52" x14ac:dyDescent="0.2">
      <c r="AM539" s="63" t="s">
        <v>2087</v>
      </c>
      <c r="AN539" s="63" t="s">
        <v>2088</v>
      </c>
      <c r="AO539" s="63"/>
      <c r="AP539" s="63"/>
      <c r="AQ539" s="63"/>
      <c r="AR539" s="63"/>
      <c r="AS539" s="63"/>
      <c r="AT539" s="63"/>
      <c r="AV539" s="63"/>
      <c r="AW539" s="63"/>
      <c r="AX539" s="63">
        <f>--ISNUMBER(IFERROR(SEARCH(Tempset!$M$4,AM539,1),""))</f>
        <v>1</v>
      </c>
      <c r="AY539" s="63">
        <f>IF(AX539=1,COUNTIF($AX$3:AX539,1),"")</f>
        <v>537</v>
      </c>
      <c r="AZ539" s="63" t="str">
        <f>IFERROR(INDEX($AM$3:$AM$1165,MATCH(ROWS($AY$3:AY539),$AY$3:$AY$1165,0)),"")</f>
        <v>issueDate</v>
      </c>
    </row>
    <row r="540" spans="39:52" x14ac:dyDescent="0.2">
      <c r="AM540" s="63" t="s">
        <v>2089</v>
      </c>
      <c r="AN540" s="63" t="s">
        <v>2090</v>
      </c>
      <c r="AO540" s="63"/>
      <c r="AP540" s="63"/>
      <c r="AQ540" s="63"/>
      <c r="AR540" s="63"/>
      <c r="AS540" s="63"/>
      <c r="AT540" s="63"/>
      <c r="AV540" s="63"/>
      <c r="AW540" s="63"/>
      <c r="AX540" s="63">
        <f>--ISNUMBER(IFERROR(SEARCH(Tempset!$M$4,AM540,1),""))</f>
        <v>1</v>
      </c>
      <c r="AY540" s="63">
        <f>IF(AX540=1,COUNTIF($AX$3:AX540,1),"")</f>
        <v>538</v>
      </c>
      <c r="AZ540" s="63" t="str">
        <f>IFERROR(INDEX($AM$3:$AM$1165,MATCH(ROWS($AY$3:AY540),$AY$3:$AY$1165,0)),"")</f>
        <v>issueOutstanding</v>
      </c>
    </row>
    <row r="541" spans="39:52" x14ac:dyDescent="0.2">
      <c r="AM541" s="63" t="s">
        <v>2091</v>
      </c>
      <c r="AN541" s="63" t="s">
        <v>2092</v>
      </c>
      <c r="AO541" s="63"/>
      <c r="AP541" s="63"/>
      <c r="AQ541" s="63"/>
      <c r="AR541" s="63"/>
      <c r="AS541" s="63"/>
      <c r="AT541" s="63"/>
      <c r="AV541" s="63"/>
      <c r="AW541" s="63"/>
      <c r="AX541" s="63">
        <f>--ISNUMBER(IFERROR(SEARCH(Tempset!$M$4,AM541,1),""))</f>
        <v>1</v>
      </c>
      <c r="AY541" s="63">
        <f>IF(AX541=1,COUNTIF($AX$3:AX541,1),"")</f>
        <v>539</v>
      </c>
      <c r="AZ541" s="63" t="str">
        <f>IFERROR(INDEX($AM$3:$AM$1165,MATCH(ROWS($AY$3:AY541),$AY$3:$AY$1165,0)),"")</f>
        <v>issuerId</v>
      </c>
    </row>
    <row r="542" spans="39:52" x14ac:dyDescent="0.2">
      <c r="AM542" s="63" t="s">
        <v>2093</v>
      </c>
      <c r="AN542" s="63" t="s">
        <v>2094</v>
      </c>
      <c r="AO542" s="63"/>
      <c r="AP542" s="63"/>
      <c r="AQ542" s="63"/>
      <c r="AR542" s="63"/>
      <c r="AS542" s="63"/>
      <c r="AT542" s="63"/>
      <c r="AV542" s="63"/>
      <c r="AW542" s="63"/>
      <c r="AX542" s="63">
        <f>--ISNUMBER(IFERROR(SEARCH(Tempset!$M$4,AM542,1),""))</f>
        <v>1</v>
      </c>
      <c r="AY542" s="63">
        <f>IF(AX542=1,COUNTIF($AX$3:AX542,1),"")</f>
        <v>540</v>
      </c>
      <c r="AZ542" s="63" t="str">
        <f>IFERROR(INDEX($AM$3:$AM$1165,MATCH(ROWS($AY$3:AY542),$AY$3:$AY$1165,0)),"")</f>
        <v>issuerName</v>
      </c>
    </row>
    <row r="543" spans="39:52" x14ac:dyDescent="0.2">
      <c r="AM543" s="63" t="s">
        <v>2095</v>
      </c>
      <c r="AN543" s="63" t="s">
        <v>2096</v>
      </c>
      <c r="AO543" s="63"/>
      <c r="AP543" s="63"/>
      <c r="AQ543" s="63"/>
      <c r="AR543" s="63"/>
      <c r="AS543" s="63"/>
      <c r="AT543" s="63"/>
      <c r="AV543" s="63"/>
      <c r="AW543" s="63"/>
      <c r="AX543" s="63">
        <f>--ISNUMBER(IFERROR(SEARCH(Tempset!$M$4,AM543,1),""))</f>
        <v>1</v>
      </c>
      <c r="AY543" s="63">
        <f>IF(AX543=1,COUNTIF($AX$3:AX543,1),"")</f>
        <v>541</v>
      </c>
      <c r="AZ543" s="63" t="str">
        <f>IFERROR(INDEX($AM$3:$AM$1165,MATCH(ROWS($AY$3:AY543),$AY$3:$AY$1165,0)),"")</f>
        <v>issuerType</v>
      </c>
    </row>
    <row r="544" spans="39:52" x14ac:dyDescent="0.2">
      <c r="AM544" s="63" t="s">
        <v>2097</v>
      </c>
      <c r="AN544" s="63" t="s">
        <v>2098</v>
      </c>
      <c r="AO544" s="63"/>
      <c r="AP544" s="63"/>
      <c r="AQ544" s="63"/>
      <c r="AR544" s="63"/>
      <c r="AS544" s="63"/>
      <c r="AT544" s="63"/>
      <c r="AV544" s="63"/>
      <c r="AW544" s="63"/>
      <c r="AX544" s="63">
        <f>--ISNUMBER(IFERROR(SEARCH(Tempset!$M$4,AM544,1),""))</f>
        <v>1</v>
      </c>
      <c r="AY544" s="63">
        <f>IF(AX544=1,COUNTIF($AX$3:AX544,1),"")</f>
        <v>542</v>
      </c>
      <c r="AZ544" s="63" t="str">
        <f>IFERROR(INDEX($AM$3:$AM$1165,MATCH(ROWS($AY$3:AY544),$AY$3:$AY$1165,0)),"")</f>
        <v>ITSMemorandumOfUnderstanding</v>
      </c>
    </row>
    <row r="545" spans="39:52" x14ac:dyDescent="0.2">
      <c r="AM545" s="63" t="s">
        <v>2099</v>
      </c>
      <c r="AN545" s="63" t="s">
        <v>2100</v>
      </c>
      <c r="AO545" s="63"/>
      <c r="AP545" s="63"/>
      <c r="AQ545" s="63"/>
      <c r="AR545" s="63"/>
      <c r="AS545" s="63"/>
      <c r="AT545" s="63"/>
      <c r="AV545" s="63"/>
      <c r="AW545" s="63"/>
      <c r="AX545" s="63">
        <f>--ISNUMBER(IFERROR(SEARCH(Tempset!$M$4,AM545,1),""))</f>
        <v>1</v>
      </c>
      <c r="AY545" s="63">
        <f>IF(AX545=1,COUNTIF($AX$3:AX545,1),"")</f>
        <v>543</v>
      </c>
      <c r="AZ545" s="63" t="str">
        <f>IFERROR(INDEX($AM$3:$AM$1165,MATCH(ROWS($AY$3:AY545),$AY$3:$AY$1165,0)),"")</f>
        <v>ITSRevenuesForecast</v>
      </c>
    </row>
    <row r="546" spans="39:52" x14ac:dyDescent="0.2">
      <c r="AM546" s="63" t="s">
        <v>2101</v>
      </c>
      <c r="AN546" s="63" t="s">
        <v>2102</v>
      </c>
      <c r="AO546" s="63"/>
      <c r="AP546" s="63"/>
      <c r="AQ546" s="63"/>
      <c r="AR546" s="63"/>
      <c r="AS546" s="63"/>
      <c r="AT546" s="63"/>
      <c r="AV546" s="63"/>
      <c r="AW546" s="63"/>
      <c r="AX546" s="63">
        <f>--ISNUMBER(IFERROR(SEARCH(Tempset!$M$4,AM546,1),""))</f>
        <v>1</v>
      </c>
      <c r="AY546" s="63">
        <f>IF(AX546=1,COUNTIF($AX$3:AX546,1),"")</f>
        <v>544</v>
      </c>
      <c r="AZ546" s="63" t="str">
        <f>IFERROR(INDEX($AM$3:$AM$1165,MATCH(ROWS($AY$3:AY546),$AY$3:$AY$1165,0)),"")</f>
        <v>jointVenturePercent</v>
      </c>
    </row>
    <row r="547" spans="39:52" x14ac:dyDescent="0.2">
      <c r="AM547" s="63" t="s">
        <v>2103</v>
      </c>
      <c r="AN547" s="63" t="s">
        <v>2104</v>
      </c>
      <c r="AO547" s="63"/>
      <c r="AP547" s="63"/>
      <c r="AQ547" s="63"/>
      <c r="AR547" s="63"/>
      <c r="AS547" s="63"/>
      <c r="AT547" s="63"/>
      <c r="AV547" s="63"/>
      <c r="AW547" s="63"/>
      <c r="AX547" s="63">
        <f>--ISNUMBER(IFERROR(SEARCH(Tempset!$M$4,AM547,1),""))</f>
        <v>1</v>
      </c>
      <c r="AY547" s="63">
        <f>IF(AX547=1,COUNTIF($AX$3:AX547,1),"")</f>
        <v>545</v>
      </c>
      <c r="AZ547" s="63" t="str">
        <f>IFERROR(INDEX($AM$3:$AM$1165,MATCH(ROWS($AY$3:AY547),$AY$3:$AY$1165,0)),"")</f>
        <v>Kccp</v>
      </c>
    </row>
    <row r="548" spans="39:52" x14ac:dyDescent="0.2">
      <c r="AM548" s="63" t="s">
        <v>2105</v>
      </c>
      <c r="AN548" s="63" t="s">
        <v>2106</v>
      </c>
      <c r="AO548" s="63"/>
      <c r="AP548" s="63"/>
      <c r="AQ548" s="63"/>
      <c r="AR548" s="63"/>
      <c r="AS548" s="63"/>
      <c r="AT548" s="63"/>
      <c r="AV548" s="63"/>
      <c r="AW548" s="63"/>
      <c r="AX548" s="63">
        <f>--ISNUMBER(IFERROR(SEARCH(Tempset!$M$4,AM548,1),""))</f>
        <v>1</v>
      </c>
      <c r="AY548" s="63">
        <f>IF(AX548=1,COUNTIF($AX$3:AX548,1),"")</f>
        <v>546</v>
      </c>
      <c r="AZ548" s="63" t="str">
        <f>IFERROR(INDEX($AM$3:$AM$1165,MATCH(ROWS($AY$3:AY548),$AY$3:$AY$1165,0)),"")</f>
        <v>keyFlag</v>
      </c>
    </row>
    <row r="549" spans="39:52" x14ac:dyDescent="0.2">
      <c r="AM549" s="63" t="s">
        <v>2107</v>
      </c>
      <c r="AN549" s="63" t="s">
        <v>2108</v>
      </c>
      <c r="AO549" s="63"/>
      <c r="AP549" s="63"/>
      <c r="AQ549" s="63"/>
      <c r="AR549" s="63"/>
      <c r="AS549" s="63"/>
      <c r="AT549" s="63"/>
      <c r="AV549" s="63"/>
      <c r="AW549" s="63"/>
      <c r="AX549" s="63">
        <f>--ISNUMBER(IFERROR(SEARCH(Tempset!$M$4,AM549,1),""))</f>
        <v>1</v>
      </c>
      <c r="AY549" s="63">
        <f>IF(AX549=1,COUNTIF($AX$3:AX549,1),"")</f>
        <v>547</v>
      </c>
      <c r="AZ549" s="63" t="str">
        <f>IFERROR(INDEX($AM$3:$AM$1165,MATCH(ROWS($AY$3:AY549),$AY$3:$AY$1165,0)),"")</f>
        <v>KTBDerivativeFlag</v>
      </c>
    </row>
    <row r="550" spans="39:52" x14ac:dyDescent="0.2">
      <c r="AM550" s="63" t="s">
        <v>2109</v>
      </c>
      <c r="AN550" s="63" t="s">
        <v>2110</v>
      </c>
      <c r="AO550" s="63"/>
      <c r="AP550" s="63"/>
      <c r="AQ550" s="63"/>
      <c r="AR550" s="63"/>
      <c r="AS550" s="63"/>
      <c r="AT550" s="63"/>
      <c r="AV550" s="63"/>
      <c r="AW550" s="63"/>
      <c r="AX550" s="63">
        <f>--ISNUMBER(IFERROR(SEARCH(Tempset!$M$4,AM550,1),""))</f>
        <v>1</v>
      </c>
      <c r="AY550" s="63">
        <f>IF(AX550=1,COUNTIF($AX$3:AX550,1),"")</f>
        <v>548</v>
      </c>
      <c r="AZ550" s="63" t="str">
        <f>IFERROR(INDEX($AM$3:$AM$1165,MATCH(ROWS($AY$3:AY550),$AY$3:$AY$1165,0)),"")</f>
        <v>largeExposureInclusionIndicator</v>
      </c>
    </row>
    <row r="551" spans="39:52" x14ac:dyDescent="0.2">
      <c r="AM551" s="63" t="s">
        <v>2111</v>
      </c>
      <c r="AN551" s="63" t="s">
        <v>2112</v>
      </c>
      <c r="AO551" s="63"/>
      <c r="AP551" s="63"/>
      <c r="AQ551" s="63"/>
      <c r="AR551" s="63"/>
      <c r="AS551" s="63"/>
      <c r="AT551" s="63"/>
      <c r="AV551" s="63"/>
      <c r="AW551" s="63"/>
      <c r="AX551" s="63">
        <f>--ISNUMBER(IFERROR(SEARCH(Tempset!$M$4,AM551,1),""))</f>
        <v>1</v>
      </c>
      <c r="AY551" s="63">
        <f>IF(AX551=1,COUNTIF($AX$3:AX551,1),"")</f>
        <v>549</v>
      </c>
      <c r="AZ551" s="63" t="str">
        <f>IFERROR(INDEX($AM$3:$AM$1165,MATCH(ROWS($AY$3:AY551),$AY$3:$AY$1165,0)),"")</f>
        <v>LCRExcessOutflow</v>
      </c>
    </row>
    <row r="552" spans="39:52" x14ac:dyDescent="0.2">
      <c r="AM552" s="63" t="s">
        <v>2113</v>
      </c>
      <c r="AN552" s="63" t="s">
        <v>2114</v>
      </c>
      <c r="AO552" s="63"/>
      <c r="AP552" s="63"/>
      <c r="AQ552" s="63"/>
      <c r="AR552" s="63"/>
      <c r="AS552" s="63"/>
      <c r="AT552" s="63"/>
      <c r="AV552" s="63"/>
      <c r="AW552" s="63"/>
      <c r="AX552" s="63">
        <f>--ISNUMBER(IFERROR(SEARCH(Tempset!$M$4,AM552,1),""))</f>
        <v>1</v>
      </c>
      <c r="AY552" s="63">
        <f>IF(AX552=1,COUNTIF($AX$3:AX552,1),"")</f>
        <v>550</v>
      </c>
      <c r="AZ552" s="63" t="str">
        <f>IFERROR(INDEX($AM$3:$AM$1165,MATCH(ROWS($AY$3:AY552),$AY$3:$AY$1165,0)),"")</f>
        <v>leadSubParticipationAccountNumber</v>
      </c>
    </row>
    <row r="553" spans="39:52" x14ac:dyDescent="0.2">
      <c r="AM553" s="63" t="s">
        <v>2115</v>
      </c>
      <c r="AN553" s="63" t="s">
        <v>2116</v>
      </c>
      <c r="AO553" s="63"/>
      <c r="AP553" s="63"/>
      <c r="AQ553" s="63"/>
      <c r="AR553" s="63"/>
      <c r="AS553" s="63"/>
      <c r="AT553" s="63"/>
      <c r="AV553" s="63"/>
      <c r="AW553" s="63"/>
      <c r="AX553" s="63">
        <f>--ISNUMBER(IFERROR(SEARCH(Tempset!$M$4,AM553,1),""))</f>
        <v>1</v>
      </c>
      <c r="AY553" s="63">
        <f>IF(AX553=1,COUNTIF($AX$3:AX553,1),"")</f>
        <v>551</v>
      </c>
      <c r="AZ553" s="63" t="str">
        <f>IFERROR(INDEX($AM$3:$AM$1165,MATCH(ROWS($AY$3:AY553),$AY$3:$AY$1165,0)),"")</f>
        <v>leasingInvestmentValueExVAT</v>
      </c>
    </row>
    <row r="554" spans="39:52" x14ac:dyDescent="0.2">
      <c r="AM554" s="63" t="s">
        <v>2117</v>
      </c>
      <c r="AN554" s="63" t="s">
        <v>2118</v>
      </c>
      <c r="AO554" s="63"/>
      <c r="AP554" s="63"/>
      <c r="AQ554" s="63"/>
      <c r="AR554" s="63"/>
      <c r="AS554" s="63"/>
      <c r="AT554" s="63"/>
      <c r="AV554" s="63"/>
      <c r="AW554" s="63"/>
      <c r="AX554" s="63">
        <f>--ISNUMBER(IFERROR(SEARCH(Tempset!$M$4,AM554,1),""))</f>
        <v>1</v>
      </c>
      <c r="AY554" s="63">
        <f>IF(AX554=1,COUNTIF($AX$3:AX554,1),"")</f>
        <v>552</v>
      </c>
      <c r="AZ554" s="63" t="str">
        <f>IFERROR(INDEX($AM$3:$AM$1165,MATCH(ROWS($AY$3:AY554),$AY$3:$AY$1165,0)),"")</f>
        <v>leasingObjectCategory</v>
      </c>
    </row>
    <row r="555" spans="39:52" x14ac:dyDescent="0.2">
      <c r="AM555" s="63" t="s">
        <v>2119</v>
      </c>
      <c r="AN555" s="63" t="s">
        <v>2120</v>
      </c>
      <c r="AO555" s="63"/>
      <c r="AP555" s="63"/>
      <c r="AQ555" s="63"/>
      <c r="AR555" s="63"/>
      <c r="AS555" s="63"/>
      <c r="AT555" s="63"/>
      <c r="AV555" s="63"/>
      <c r="AW555" s="63"/>
      <c r="AX555" s="63">
        <f>--ISNUMBER(IFERROR(SEARCH(Tempset!$M$4,AM555,1),""))</f>
        <v>1</v>
      </c>
      <c r="AY555" s="63">
        <f>IF(AX555=1,COUNTIF($AX$3:AX555,1),"")</f>
        <v>553</v>
      </c>
      <c r="AZ555" s="63" t="str">
        <f>IFERROR(INDEX($AM$3:$AM$1165,MATCH(ROWS($AY$3:AY555),$AY$3:$AY$1165,0)),"")</f>
        <v>leasingPaymentToSupplier</v>
      </c>
    </row>
    <row r="556" spans="39:52" x14ac:dyDescent="0.2">
      <c r="AM556" s="63" t="s">
        <v>2121</v>
      </c>
      <c r="AN556" s="63" t="s">
        <v>2122</v>
      </c>
      <c r="AO556" s="63"/>
      <c r="AP556" s="63"/>
      <c r="AQ556" s="63"/>
      <c r="AR556" s="63"/>
      <c r="AS556" s="63"/>
      <c r="AT556" s="63"/>
      <c r="AV556" s="63"/>
      <c r="AW556" s="63"/>
      <c r="AX556" s="63">
        <f>--ISNUMBER(IFERROR(SEARCH(Tempset!$M$4,AM556,1),""))</f>
        <v>1</v>
      </c>
      <c r="AY556" s="63">
        <f>IF(AX556=1,COUNTIF($AX$3:AX556,1),"")</f>
        <v>554</v>
      </c>
      <c r="AZ556" s="63" t="str">
        <f>IFERROR(INDEX($AM$3:$AM$1165,MATCH(ROWS($AY$3:AY556),$AY$3:$AY$1165,0)),"")</f>
        <v>LEBaseValuationParameters</v>
      </c>
    </row>
    <row r="557" spans="39:52" x14ac:dyDescent="0.2">
      <c r="AM557" s="63" t="s">
        <v>2123</v>
      </c>
      <c r="AN557" s="63" t="s">
        <v>2124</v>
      </c>
      <c r="AO557" s="63"/>
      <c r="AP557" s="63"/>
      <c r="AQ557" s="63"/>
      <c r="AR557" s="63"/>
      <c r="AS557" s="63"/>
      <c r="AT557" s="63"/>
      <c r="AV557" s="63"/>
      <c r="AW557" s="63"/>
      <c r="AX557" s="63">
        <f>--ISNUMBER(IFERROR(SEARCH(Tempset!$M$4,AM557,1),""))</f>
        <v>1</v>
      </c>
      <c r="AY557" s="63">
        <f>IF(AX557=1,COUNTIF($AX$3:AX557,1),"")</f>
        <v>555</v>
      </c>
      <c r="AZ557" s="63" t="str">
        <f>IFERROR(INDEX($AM$3:$AM$1165,MATCH(ROWS($AY$3:AY557),$AY$3:$AY$1165,0)),"")</f>
        <v>legalEntitiesDividendstToParent</v>
      </c>
    </row>
    <row r="558" spans="39:52" x14ac:dyDescent="0.2">
      <c r="AM558" s="63" t="s">
        <v>2125</v>
      </c>
      <c r="AN558" s="63" t="s">
        <v>2126</v>
      </c>
      <c r="AO558" s="63"/>
      <c r="AP558" s="63"/>
      <c r="AQ558" s="63"/>
      <c r="AR558" s="63"/>
      <c r="AS558" s="63"/>
      <c r="AT558" s="63"/>
      <c r="AV558" s="63"/>
      <c r="AW558" s="63"/>
      <c r="AX558" s="63">
        <f>--ISNUMBER(IFERROR(SEARCH(Tempset!$M$4,AM558,1),""))</f>
        <v>1</v>
      </c>
      <c r="AY558" s="63">
        <f>IF(AX558=1,COUNTIF($AX$3:AX558,1),"")</f>
        <v>556</v>
      </c>
      <c r="AZ558" s="63" t="str">
        <f>IFERROR(INDEX($AM$3:$AM$1165,MATCH(ROWS($AY$3:AY558),$AY$3:$AY$1165,0)),"")</f>
        <v>legalEntityId</v>
      </c>
    </row>
    <row r="559" spans="39:52" x14ac:dyDescent="0.2">
      <c r="AM559" s="63" t="s">
        <v>2127</v>
      </c>
      <c r="AN559" s="63" t="s">
        <v>2128</v>
      </c>
      <c r="AO559" s="63"/>
      <c r="AP559" s="63"/>
      <c r="AQ559" s="63"/>
      <c r="AR559" s="63"/>
      <c r="AS559" s="63"/>
      <c r="AT559" s="63"/>
      <c r="AV559" s="63"/>
      <c r="AW559" s="63"/>
      <c r="AX559" s="63">
        <f>--ISNUMBER(IFERROR(SEARCH(Tempset!$M$4,AM559,1),""))</f>
        <v>1</v>
      </c>
      <c r="AY559" s="63">
        <f>IF(AX559=1,COUNTIF($AX$3:AX559,1),"")</f>
        <v>557</v>
      </c>
      <c r="AZ559" s="63" t="str">
        <f>IFERROR(INDEX($AM$3:$AM$1165,MATCH(ROWS($AY$3:AY559),$AY$3:$AY$1165,0)),"")</f>
        <v>legEffectiveDate</v>
      </c>
    </row>
    <row r="560" spans="39:52" x14ac:dyDescent="0.2">
      <c r="AM560" s="63" t="s">
        <v>2129</v>
      </c>
      <c r="AN560" s="63" t="s">
        <v>2130</v>
      </c>
      <c r="AO560" s="63"/>
      <c r="AP560" s="63"/>
      <c r="AQ560" s="63"/>
      <c r="AR560" s="63"/>
      <c r="AS560" s="63"/>
      <c r="AT560" s="63"/>
      <c r="AV560" s="63"/>
      <c r="AW560" s="63"/>
      <c r="AX560" s="63">
        <f>--ISNUMBER(IFERROR(SEARCH(Tempset!$M$4,AM560,1),""))</f>
        <v>1</v>
      </c>
      <c r="AY560" s="63">
        <f>IF(AX560=1,COUNTIF($AX$3:AX560,1),"")</f>
        <v>558</v>
      </c>
      <c r="AZ560" s="63" t="str">
        <f>IFERROR(INDEX($AM$3:$AM$1165,MATCH(ROWS($AY$3:AY560),$AY$3:$AY$1165,0)),"")</f>
        <v>LESpecificCalculationFlag</v>
      </c>
    </row>
    <row r="561" spans="39:52" x14ac:dyDescent="0.2">
      <c r="AM561" s="63" t="s">
        <v>2131</v>
      </c>
      <c r="AN561" s="63" t="s">
        <v>2132</v>
      </c>
      <c r="AO561" s="63"/>
      <c r="AP561" s="63"/>
      <c r="AQ561" s="63"/>
      <c r="AR561" s="63"/>
      <c r="AS561" s="63"/>
      <c r="AT561" s="63"/>
      <c r="AV561" s="63"/>
      <c r="AW561" s="63"/>
      <c r="AX561" s="63">
        <f>--ISNUMBER(IFERROR(SEARCH(Tempset!$M$4,AM561,1),""))</f>
        <v>1</v>
      </c>
      <c r="AY561" s="63">
        <f>IF(AX561=1,COUNTIF($AX$3:AX561,1),"")</f>
        <v>559</v>
      </c>
      <c r="AZ561" s="63" t="str">
        <f>IFERROR(INDEX($AM$3:$AM$1165,MATCH(ROWS($AY$3:AY561),$AY$3:$AY$1165,0)),"")</f>
        <v>leverageuplift</v>
      </c>
    </row>
    <row r="562" spans="39:52" x14ac:dyDescent="0.2">
      <c r="AM562" s="63" t="s">
        <v>2133</v>
      </c>
      <c r="AN562" s="63" t="s">
        <v>2134</v>
      </c>
      <c r="AO562" s="63"/>
      <c r="AP562" s="63"/>
      <c r="AQ562" s="63"/>
      <c r="AR562" s="63"/>
      <c r="AS562" s="63"/>
      <c r="AT562" s="63"/>
      <c r="AV562" s="63"/>
      <c r="AW562" s="63"/>
      <c r="AX562" s="63">
        <f>--ISNUMBER(IFERROR(SEARCH(Tempset!$M$4,AM562,1),""))</f>
        <v>1</v>
      </c>
      <c r="AY562" s="63">
        <f>IF(AX562=1,COUNTIF($AX$3:AX562,1),"")</f>
        <v>560</v>
      </c>
      <c r="AZ562" s="63" t="str">
        <f>IFERROR(INDEX($AM$3:$AM$1165,MATCH(ROWS($AY$3:AY562),$AY$3:$AY$1165,0)),"")</f>
        <v>LGDparameters</v>
      </c>
    </row>
    <row r="563" spans="39:52" x14ac:dyDescent="0.2">
      <c r="AM563" s="63" t="s">
        <v>2135</v>
      </c>
      <c r="AN563" s="63" t="s">
        <v>2136</v>
      </c>
      <c r="AO563" s="63"/>
      <c r="AP563" s="63"/>
      <c r="AQ563" s="63"/>
      <c r="AR563" s="63"/>
      <c r="AS563" s="63"/>
      <c r="AT563" s="63"/>
      <c r="AV563" s="63"/>
      <c r="AW563" s="63"/>
      <c r="AX563" s="63">
        <f>--ISNUMBER(IFERROR(SEARCH(Tempset!$M$4,AM563,1),""))</f>
        <v>1</v>
      </c>
      <c r="AY563" s="63">
        <f>IF(AX563=1,COUNTIF($AX$3:AX563,1),"")</f>
        <v>561</v>
      </c>
      <c r="AZ563" s="63" t="str">
        <f>IFERROR(INDEX($AM$3:$AM$1165,MATCH(ROWS($AY$3:AY563),$AY$3:$AY$1165,0)),"")</f>
        <v>LGDPercentageValue</v>
      </c>
    </row>
    <row r="564" spans="39:52" x14ac:dyDescent="0.2">
      <c r="AM564" s="63" t="s">
        <v>2137</v>
      </c>
      <c r="AN564" s="63" t="s">
        <v>2138</v>
      </c>
      <c r="AO564" s="63"/>
      <c r="AP564" s="63"/>
      <c r="AQ564" s="63"/>
      <c r="AR564" s="63"/>
      <c r="AS564" s="63"/>
      <c r="AT564" s="63"/>
      <c r="AV564" s="63"/>
      <c r="AW564" s="63"/>
      <c r="AX564" s="63">
        <f>--ISNUMBER(IFERROR(SEARCH(Tempset!$M$4,AM564,1),""))</f>
        <v>1</v>
      </c>
      <c r="AY564" s="63">
        <f>IF(AX564=1,COUNTIF($AX$3:AX564,1),"")</f>
        <v>562</v>
      </c>
      <c r="AZ564" s="63" t="str">
        <f>IFERROR(INDEX($AM$3:$AM$1165,MATCH(ROWS($AY$3:AY564),$AY$3:$AY$1165,0)),"")</f>
        <v>LGDScopeIndicator</v>
      </c>
    </row>
    <row r="565" spans="39:52" x14ac:dyDescent="0.2">
      <c r="AM565" s="63" t="s">
        <v>2139</v>
      </c>
      <c r="AN565" s="63" t="s">
        <v>2140</v>
      </c>
      <c r="AO565" s="63"/>
      <c r="AP565" s="63"/>
      <c r="AQ565" s="63"/>
      <c r="AR565" s="63"/>
      <c r="AS565" s="63"/>
      <c r="AT565" s="63"/>
      <c r="AV565" s="63"/>
      <c r="AW565" s="63"/>
      <c r="AX565" s="63">
        <f>--ISNUMBER(IFERROR(SEARCH(Tempset!$M$4,AM565,1),""))</f>
        <v>1</v>
      </c>
      <c r="AY565" s="63">
        <f>IF(AX565=1,COUNTIF($AX$3:AX565,1),"")</f>
        <v>563</v>
      </c>
      <c r="AZ565" s="63" t="str">
        <f>IFERROR(INDEX($AM$3:$AM$1165,MATCH(ROWS($AY$3:AY565),$AY$3:$AY$1165,0)),"")</f>
        <v>LGDUplift</v>
      </c>
    </row>
    <row r="566" spans="39:52" x14ac:dyDescent="0.2">
      <c r="AM566" s="63" t="s">
        <v>2141</v>
      </c>
      <c r="AN566" s="63" t="s">
        <v>2142</v>
      </c>
      <c r="AO566" s="63"/>
      <c r="AP566" s="63"/>
      <c r="AQ566" s="63"/>
      <c r="AR566" s="63"/>
      <c r="AS566" s="63"/>
      <c r="AT566" s="63"/>
      <c r="AV566" s="63"/>
      <c r="AW566" s="63"/>
      <c r="AX566" s="63">
        <f>--ISNUMBER(IFERROR(SEARCH(Tempset!$M$4,AM566,1),""))</f>
        <v>1</v>
      </c>
      <c r="AY566" s="63">
        <f>IF(AX566=1,COUNTIF($AX$3:AX566,1),"")</f>
        <v>564</v>
      </c>
      <c r="AZ566" s="63" t="str">
        <f>IFERROR(INDEX($AM$3:$AM$1165,MATCH(ROWS($AY$3:AY566),$AY$3:$AY$1165,0)),"")</f>
        <v>LGDVolatility</v>
      </c>
    </row>
    <row r="567" spans="39:52" x14ac:dyDescent="0.2">
      <c r="AM567" s="63" t="s">
        <v>2143</v>
      </c>
      <c r="AN567" s="63" t="s">
        <v>2144</v>
      </c>
      <c r="AO567" s="63"/>
      <c r="AP567" s="63"/>
      <c r="AQ567" s="63"/>
      <c r="AR567" s="63"/>
      <c r="AS567" s="63"/>
      <c r="AT567" s="63"/>
      <c r="AV567" s="63"/>
      <c r="AW567" s="63"/>
      <c r="AX567" s="63">
        <f>--ISNUMBER(IFERROR(SEARCH(Tempset!$M$4,AM567,1),""))</f>
        <v>1</v>
      </c>
      <c r="AY567" s="63">
        <f>IF(AX567=1,COUNTIF($AX$3:AX567,1),"")</f>
        <v>565</v>
      </c>
      <c r="AZ567" s="63" t="str">
        <f>IFERROR(INDEX($AM$3:$AM$1165,MATCH(ROWS($AY$3:AY567),$AY$3:$AY$1165,0)),"")</f>
        <v>liabilityDuration</v>
      </c>
    </row>
    <row r="568" spans="39:52" x14ac:dyDescent="0.2">
      <c r="AM568" s="63" t="s">
        <v>2145</v>
      </c>
      <c r="AN568" s="63" t="s">
        <v>2146</v>
      </c>
      <c r="AO568" s="63"/>
      <c r="AP568" s="63"/>
      <c r="AQ568" s="63"/>
      <c r="AR568" s="63"/>
      <c r="AS568" s="63"/>
      <c r="AT568" s="63"/>
      <c r="AV568" s="63"/>
      <c r="AW568" s="63"/>
      <c r="AX568" s="63">
        <f>--ISNUMBER(IFERROR(SEARCH(Tempset!$M$4,AM568,1),""))</f>
        <v>1</v>
      </c>
      <c r="AY568" s="63">
        <f>IF(AX568=1,COUNTIF($AX$3:AX568,1),"")</f>
        <v>566</v>
      </c>
      <c r="AZ568" s="63" t="str">
        <f>IFERROR(INDEX($AM$3:$AM$1165,MATCH(ROWS($AY$3:AY568),$AY$3:$AY$1165,0)),"")</f>
        <v>liabilityGrowth</v>
      </c>
    </row>
    <row r="569" spans="39:52" x14ac:dyDescent="0.2">
      <c r="AM569" s="63" t="s">
        <v>2147</v>
      </c>
      <c r="AN569" s="63" t="s">
        <v>2148</v>
      </c>
      <c r="AO569" s="63"/>
      <c r="AP569" s="63"/>
      <c r="AQ569" s="63"/>
      <c r="AR569" s="63"/>
      <c r="AS569" s="63"/>
      <c r="AT569" s="63"/>
      <c r="AV569" s="63"/>
      <c r="AW569" s="63"/>
      <c r="AX569" s="63">
        <f>--ISNUMBER(IFERROR(SEARCH(Tempset!$M$4,AM569,1),""))</f>
        <v>1</v>
      </c>
      <c r="AY569" s="63">
        <f>IF(AX569=1,COUNTIF($AX$3:AX569,1),"")</f>
        <v>567</v>
      </c>
      <c r="AZ569" s="63" t="str">
        <f>IFERROR(INDEX($AM$3:$AM$1165,MATCH(ROWS($AY$3:AY569),$AY$3:$AY$1165,0)),"")</f>
        <v>liabilityOverlayFactor</v>
      </c>
    </row>
    <row r="570" spans="39:52" x14ac:dyDescent="0.2">
      <c r="AM570" s="63" t="s">
        <v>2149</v>
      </c>
      <c r="AN570" s="63" t="s">
        <v>2150</v>
      </c>
      <c r="AO570" s="63"/>
      <c r="AP570" s="63"/>
      <c r="AQ570" s="63"/>
      <c r="AR570" s="63"/>
      <c r="AS570" s="63"/>
      <c r="AT570" s="63"/>
      <c r="AV570" s="63"/>
      <c r="AW570" s="63"/>
      <c r="AX570" s="63">
        <f>--ISNUMBER(IFERROR(SEARCH(Tempset!$M$4,AM570,1),""))</f>
        <v>1</v>
      </c>
      <c r="AY570" s="63">
        <f>IF(AX570=1,COUNTIF($AX$3:AX570,1),"")</f>
        <v>568</v>
      </c>
      <c r="AZ570" s="63" t="str">
        <f>IFERROR(INDEX($AM$3:$AM$1165,MATCH(ROWS($AY$3:AY570),$AY$3:$AY$1165,0)),"")</f>
        <v>lifeInsuranceERCValue</v>
      </c>
    </row>
    <row r="571" spans="39:52" x14ac:dyDescent="0.2">
      <c r="AM571" s="63" t="s">
        <v>2151</v>
      </c>
      <c r="AN571" s="63" t="s">
        <v>2152</v>
      </c>
      <c r="AO571" s="63"/>
      <c r="AP571" s="63"/>
      <c r="AQ571" s="63"/>
      <c r="AR571" s="63"/>
      <c r="AS571" s="63"/>
      <c r="AT571" s="63"/>
      <c r="AV571" s="63"/>
      <c r="AW571" s="63"/>
      <c r="AX571" s="63">
        <f>--ISNUMBER(IFERROR(SEARCH(Tempset!$M$4,AM571,1),""))</f>
        <v>1</v>
      </c>
      <c r="AY571" s="63">
        <f>IF(AX571=1,COUNTIF($AX$3:AX571,1),"")</f>
        <v>569</v>
      </c>
      <c r="AZ571" s="63" t="str">
        <f>IFERROR(INDEX($AM$3:$AM$1165,MATCH(ROWS($AY$3:AY571),$AY$3:$AY$1165,0)),"")</f>
        <v>limitCarrierLimitValue</v>
      </c>
    </row>
    <row r="572" spans="39:52" x14ac:dyDescent="0.2">
      <c r="AM572" s="63" t="s">
        <v>2153</v>
      </c>
      <c r="AN572" s="63" t="s">
        <v>2154</v>
      </c>
      <c r="AO572" s="63"/>
      <c r="AP572" s="63"/>
      <c r="AQ572" s="63"/>
      <c r="AR572" s="63"/>
      <c r="AS572" s="63"/>
      <c r="AT572" s="63"/>
      <c r="AV572" s="63"/>
      <c r="AW572" s="63"/>
      <c r="AX572" s="63">
        <f>--ISNUMBER(IFERROR(SEARCH(Tempset!$M$4,AM572,1),""))</f>
        <v>1</v>
      </c>
      <c r="AY572" s="63">
        <f>IF(AX572=1,COUNTIF($AX$3:AX572,1),"")</f>
        <v>570</v>
      </c>
      <c r="AZ572" s="63" t="str">
        <f>IFERROR(INDEX($AM$3:$AM$1165,MATCH(ROWS($AY$3:AY572),$AY$3:$AY$1165,0)),"")</f>
        <v>limitStatus</v>
      </c>
    </row>
    <row r="573" spans="39:52" x14ac:dyDescent="0.2">
      <c r="AM573" s="63" t="s">
        <v>2155</v>
      </c>
      <c r="AN573" s="63" t="s">
        <v>2156</v>
      </c>
      <c r="AO573" s="63"/>
      <c r="AP573" s="63"/>
      <c r="AQ573" s="63"/>
      <c r="AR573" s="63"/>
      <c r="AS573" s="63"/>
      <c r="AT573" s="63"/>
      <c r="AV573" s="63"/>
      <c r="AW573" s="63"/>
      <c r="AX573" s="63">
        <f>--ISNUMBER(IFERROR(SEARCH(Tempset!$M$4,AM573,1),""))</f>
        <v>1</v>
      </c>
      <c r="AY573" s="63">
        <f>IF(AX573=1,COUNTIF($AX$3:AX573,1),"")</f>
        <v>571</v>
      </c>
      <c r="AZ573" s="63" t="str">
        <f>IFERROR(INDEX($AM$3:$AM$1165,MATCH(ROWS($AY$3:AY573),$AY$3:$AY$1165,0)),"")</f>
        <v>limitType</v>
      </c>
    </row>
    <row r="574" spans="39:52" x14ac:dyDescent="0.2">
      <c r="AM574" s="63" t="s">
        <v>2157</v>
      </c>
      <c r="AN574" s="63" t="s">
        <v>2158</v>
      </c>
      <c r="AO574" s="63"/>
      <c r="AP574" s="63"/>
      <c r="AQ574" s="63"/>
      <c r="AR574" s="63"/>
      <c r="AS574" s="63"/>
      <c r="AT574" s="63"/>
      <c r="AV574" s="63"/>
      <c r="AW574" s="63"/>
      <c r="AX574" s="63">
        <f>--ISNUMBER(IFERROR(SEARCH(Tempset!$M$4,AM574,1),""))</f>
        <v>1</v>
      </c>
      <c r="AY574" s="63">
        <f>IF(AX574=1,COUNTIF($AX$3:AX574,1),"")</f>
        <v>572</v>
      </c>
      <c r="AZ574" s="63" t="str">
        <f>IFERROR(INDEX($AM$3:$AM$1165,MATCH(ROWS($AY$3:AY574),$AY$3:$AY$1165,0)),"")</f>
        <v>limitValue</v>
      </c>
    </row>
    <row r="575" spans="39:52" x14ac:dyDescent="0.2">
      <c r="AM575" s="63" t="s">
        <v>2159</v>
      </c>
      <c r="AN575" s="63" t="s">
        <v>2160</v>
      </c>
      <c r="AO575" s="63"/>
      <c r="AP575" s="63"/>
      <c r="AQ575" s="63"/>
      <c r="AR575" s="63"/>
      <c r="AS575" s="63"/>
      <c r="AT575" s="63"/>
      <c r="AV575" s="63"/>
      <c r="AW575" s="63"/>
      <c r="AX575" s="63">
        <f>--ISNUMBER(IFERROR(SEARCH(Tempset!$M$4,AM575,1),""))</f>
        <v>1</v>
      </c>
      <c r="AY575" s="63">
        <f>IF(AX575=1,COUNTIF($AX$3:AX575,1),"")</f>
        <v>573</v>
      </c>
      <c r="AZ575" s="63" t="str">
        <f>IFERROR(INDEX($AM$3:$AM$1165,MATCH(ROWS($AY$3:AY575),$AY$3:$AY$1165,0)),"")</f>
        <v>linearityIndicator</v>
      </c>
    </row>
    <row r="576" spans="39:52" x14ac:dyDescent="0.2">
      <c r="AM576" s="63" t="s">
        <v>2161</v>
      </c>
      <c r="AN576" s="63" t="s">
        <v>2162</v>
      </c>
      <c r="AO576" s="63"/>
      <c r="AP576" s="63"/>
      <c r="AQ576" s="63"/>
      <c r="AR576" s="63"/>
      <c r="AS576" s="63"/>
      <c r="AT576" s="63"/>
      <c r="AV576" s="63"/>
      <c r="AW576" s="63"/>
      <c r="AX576" s="63">
        <f>--ISNUMBER(IFERROR(SEARCH(Tempset!$M$4,AM576,1),""))</f>
        <v>1</v>
      </c>
      <c r="AY576" s="63">
        <f>IF(AX576=1,COUNTIF($AX$3:AX576,1),"")</f>
        <v>574</v>
      </c>
      <c r="AZ576" s="63" t="str">
        <f>IFERROR(INDEX($AM$3:$AM$1165,MATCH(ROWS($AY$3:AY576),$AY$3:$AY$1165,0)),"")</f>
        <v>liquidityBarometerValue</v>
      </c>
    </row>
    <row r="577" spans="39:52" x14ac:dyDescent="0.2">
      <c r="AM577" s="63" t="s">
        <v>2163</v>
      </c>
      <c r="AN577" s="63" t="s">
        <v>2164</v>
      </c>
      <c r="AO577" s="63"/>
      <c r="AP577" s="63"/>
      <c r="AQ577" s="63"/>
      <c r="AR577" s="63"/>
      <c r="AS577" s="63"/>
      <c r="AT577" s="63"/>
      <c r="AV577" s="63"/>
      <c r="AW577" s="63"/>
      <c r="AX577" s="63">
        <f>--ISNUMBER(IFERROR(SEARCH(Tempset!$M$4,AM577,1),""))</f>
        <v>1</v>
      </c>
      <c r="AY577" s="63">
        <f>IF(AX577=1,COUNTIF($AX$3:AX577,1),"")</f>
        <v>575</v>
      </c>
      <c r="AZ577" s="63" t="str">
        <f>IFERROR(INDEX($AM$3:$AM$1165,MATCH(ROWS($AY$3:AY577),$AY$3:$AY$1165,0)),"")</f>
        <v>liquidityCoverageRatioValue</v>
      </c>
    </row>
    <row r="578" spans="39:52" x14ac:dyDescent="0.2">
      <c r="AM578" s="63" t="s">
        <v>2165</v>
      </c>
      <c r="AN578" s="63" t="s">
        <v>2166</v>
      </c>
      <c r="AO578" s="63"/>
      <c r="AP578" s="63"/>
      <c r="AQ578" s="63"/>
      <c r="AR578" s="63"/>
      <c r="AS578" s="63"/>
      <c r="AT578" s="63"/>
      <c r="AV578" s="63"/>
      <c r="AW578" s="63"/>
      <c r="AX578" s="63">
        <f>--ISNUMBER(IFERROR(SEARCH(Tempset!$M$4,AM578,1),""))</f>
        <v>1</v>
      </c>
      <c r="AY578" s="63">
        <f>IF(AX578=1,COUNTIF($AX$3:AX578,1),"")</f>
        <v>576</v>
      </c>
      <c r="AZ578" s="63" t="str">
        <f>IFERROR(INDEX($AM$3:$AM$1165,MATCH(ROWS($AY$3:AY578),$AY$3:$AY$1165,0)),"")</f>
        <v>liquidityFlag</v>
      </c>
    </row>
    <row r="579" spans="39:52" x14ac:dyDescent="0.2">
      <c r="AM579" s="63" t="s">
        <v>2167</v>
      </c>
      <c r="AN579" s="63" t="s">
        <v>2168</v>
      </c>
      <c r="AO579" s="63"/>
      <c r="AP579" s="63"/>
      <c r="AQ579" s="63"/>
      <c r="AR579" s="63"/>
      <c r="AS579" s="63"/>
      <c r="AT579" s="63"/>
      <c r="AV579" s="63"/>
      <c r="AW579" s="63"/>
      <c r="AX579" s="63">
        <f>--ISNUMBER(IFERROR(SEARCH(Tempset!$M$4,AM579,1),""))</f>
        <v>1</v>
      </c>
      <c r="AY579" s="63">
        <f>IF(AX579=1,COUNTIF($AX$3:AX579,1),"")</f>
        <v>577</v>
      </c>
      <c r="AZ579" s="63" t="str">
        <f>IFERROR(INDEX($AM$3:$AM$1165,MATCH(ROWS($AY$3:AY579),$AY$3:$AY$1165,0)),"")</f>
        <v>liquidityHorizon</v>
      </c>
    </row>
    <row r="580" spans="39:52" x14ac:dyDescent="0.2">
      <c r="AM580" s="63" t="s">
        <v>2169</v>
      </c>
      <c r="AN580" s="63" t="s">
        <v>2170</v>
      </c>
      <c r="AO580" s="63"/>
      <c r="AP580" s="63"/>
      <c r="AQ580" s="63"/>
      <c r="AR580" s="63"/>
      <c r="AS580" s="63"/>
      <c r="AT580" s="63"/>
      <c r="AV580" s="63"/>
      <c r="AW580" s="63"/>
      <c r="AX580" s="63">
        <f>--ISNUMBER(IFERROR(SEARCH(Tempset!$M$4,AM580,1),""))</f>
        <v>1</v>
      </c>
      <c r="AY580" s="63">
        <f>IF(AX580=1,COUNTIF($AX$3:AX580,1),"")</f>
        <v>578</v>
      </c>
      <c r="AZ580" s="63" t="str">
        <f>IFERROR(INDEX($AM$3:$AM$1165,MATCH(ROWS($AY$3:AY580),$AY$3:$AY$1165,0)),"")</f>
        <v>liquidityProductTypeCode</v>
      </c>
    </row>
    <row r="581" spans="39:52" x14ac:dyDescent="0.2">
      <c r="AM581" s="63" t="s">
        <v>2171</v>
      </c>
      <c r="AN581" s="63" t="s">
        <v>2172</v>
      </c>
      <c r="AO581" s="63"/>
      <c r="AP581" s="63"/>
      <c r="AQ581" s="63"/>
      <c r="AR581" s="63"/>
      <c r="AS581" s="63"/>
      <c r="AT581" s="63"/>
      <c r="AV581" s="63"/>
      <c r="AW581" s="63"/>
      <c r="AX581" s="63">
        <f>--ISNUMBER(IFERROR(SEARCH(Tempset!$M$4,AM581,1),""))</f>
        <v>1</v>
      </c>
      <c r="AY581" s="63">
        <f>IF(AX581=1,COUNTIF($AX$3:AX581,1),"")</f>
        <v>579</v>
      </c>
      <c r="AZ581" s="63" t="str">
        <f>IFERROR(INDEX($AM$3:$AM$1165,MATCH(ROWS($AY$3:AY581),$AY$3:$AY$1165,0)),"")</f>
        <v>liquidTradedRiskERCValue</v>
      </c>
    </row>
    <row r="582" spans="39:52" x14ac:dyDescent="0.2">
      <c r="AM582" s="63" t="s">
        <v>2173</v>
      </c>
      <c r="AN582" s="63" t="s">
        <v>2174</v>
      </c>
      <c r="AO582" s="63"/>
      <c r="AP582" s="63"/>
      <c r="AQ582" s="63"/>
      <c r="AR582" s="63"/>
      <c r="AS582" s="63"/>
      <c r="AT582" s="63"/>
      <c r="AV582" s="63"/>
      <c r="AW582" s="63"/>
      <c r="AX582" s="63">
        <f>--ISNUMBER(IFERROR(SEARCH(Tempset!$M$4,AM582,1),""))</f>
        <v>1</v>
      </c>
      <c r="AY582" s="63">
        <f>IF(AX582=1,COUNTIF($AX$3:AX582,1),"")</f>
        <v>580</v>
      </c>
      <c r="AZ582" s="63" t="str">
        <f>IFERROR(INDEX($AM$3:$AM$1165,MATCH(ROWS($AY$3:AY582),$AY$3:$AY$1165,0)),"")</f>
        <v>listedOnStockExchangeFlag</v>
      </c>
    </row>
    <row r="583" spans="39:52" x14ac:dyDescent="0.2">
      <c r="AM583" s="63" t="s">
        <v>2175</v>
      </c>
      <c r="AN583" s="63" t="s">
        <v>2176</v>
      </c>
      <c r="AO583" s="63"/>
      <c r="AP583" s="63"/>
      <c r="AQ583" s="63"/>
      <c r="AR583" s="63"/>
      <c r="AS583" s="63"/>
      <c r="AT583" s="63"/>
      <c r="AV583" s="63"/>
      <c r="AW583" s="63"/>
      <c r="AX583" s="63">
        <f>--ISNUMBER(IFERROR(SEARCH(Tempset!$M$4,AM583,1),""))</f>
        <v>1</v>
      </c>
      <c r="AY583" s="63">
        <f>IF(AX583=1,COUNTIF($AX$3:AX583,1),"")</f>
        <v>581</v>
      </c>
      <c r="AZ583" s="63" t="str">
        <f>IFERROR(INDEX($AM$3:$AM$1165,MATCH(ROWS($AY$3:AY583),$AY$3:$AY$1165,0)),"")</f>
        <v>litigationCaseGroupingID</v>
      </c>
    </row>
    <row r="584" spans="39:52" x14ac:dyDescent="0.2">
      <c r="AM584" s="63" t="s">
        <v>2177</v>
      </c>
      <c r="AN584" s="63" t="s">
        <v>2178</v>
      </c>
      <c r="AO584" s="63"/>
      <c r="AP584" s="63"/>
      <c r="AQ584" s="63"/>
      <c r="AR584" s="63"/>
      <c r="AS584" s="63"/>
      <c r="AT584" s="63"/>
      <c r="AV584" s="63"/>
      <c r="AW584" s="63"/>
      <c r="AX584" s="63">
        <f>--ISNUMBER(IFERROR(SEARCH(Tempset!$M$4,AM584,1),""))</f>
        <v>1</v>
      </c>
      <c r="AY584" s="63">
        <f>IF(AX584=1,COUNTIF($AX$3:AX584,1),"")</f>
        <v>582</v>
      </c>
      <c r="AZ584" s="63" t="str">
        <f>IFERROR(INDEX($AM$3:$AM$1165,MATCH(ROWS($AY$3:AY584),$AY$3:$AY$1165,0)),"")</f>
        <v>litigationFlag</v>
      </c>
    </row>
    <row r="585" spans="39:52" x14ac:dyDescent="0.2">
      <c r="AM585" s="63" t="s">
        <v>2179</v>
      </c>
      <c r="AN585" s="63" t="s">
        <v>2180</v>
      </c>
      <c r="AO585" s="63"/>
      <c r="AP585" s="63"/>
      <c r="AQ585" s="63"/>
      <c r="AR585" s="63"/>
      <c r="AS585" s="63"/>
      <c r="AT585" s="63"/>
      <c r="AV585" s="63"/>
      <c r="AW585" s="63"/>
      <c r="AX585" s="63">
        <f>--ISNUMBER(IFERROR(SEARCH(Tempset!$M$4,AM585,1),""))</f>
        <v>1</v>
      </c>
      <c r="AY585" s="63">
        <f>IF(AX585=1,COUNTIF($AX$3:AX585,1),"")</f>
        <v>583</v>
      </c>
      <c r="AZ585" s="63" t="str">
        <f>IFERROR(INDEX($AM$3:$AM$1165,MATCH(ROWS($AY$3:AY585),$AY$3:$AY$1165,0)),"")</f>
        <v>litigationProvisionAmount</v>
      </c>
    </row>
    <row r="586" spans="39:52" x14ac:dyDescent="0.2">
      <c r="AM586" s="63" t="s">
        <v>2181</v>
      </c>
      <c r="AN586" s="63" t="s">
        <v>2182</v>
      </c>
      <c r="AO586" s="63"/>
      <c r="AP586" s="63"/>
      <c r="AQ586" s="63"/>
      <c r="AR586" s="63"/>
      <c r="AS586" s="63"/>
      <c r="AT586" s="63"/>
      <c r="AV586" s="63"/>
      <c r="AW586" s="63"/>
      <c r="AX586" s="63">
        <f>--ISNUMBER(IFERROR(SEARCH(Tempset!$M$4,AM586,1),""))</f>
        <v>1</v>
      </c>
      <c r="AY586" s="63">
        <f>IF(AX586=1,COUNTIF($AX$3:AX586,1),"")</f>
        <v>584</v>
      </c>
      <c r="AZ586" s="63" t="str">
        <f>IFERROR(INDEX($AM$3:$AM$1165,MATCH(ROWS($AY$3:AY586),$AY$3:$AY$1165,0)),"")</f>
        <v>loanCommitmentAmount</v>
      </c>
    </row>
    <row r="587" spans="39:52" x14ac:dyDescent="0.2">
      <c r="AM587" s="63" t="s">
        <v>2183</v>
      </c>
      <c r="AN587" s="63" t="s">
        <v>2184</v>
      </c>
      <c r="AO587" s="63"/>
      <c r="AP587" s="63"/>
      <c r="AQ587" s="63"/>
      <c r="AR587" s="63"/>
      <c r="AS587" s="63"/>
      <c r="AT587" s="63"/>
      <c r="AV587" s="63"/>
      <c r="AW587" s="63"/>
      <c r="AX587" s="63">
        <f>--ISNUMBER(IFERROR(SEARCH(Tempset!$M$4,AM587,1),""))</f>
        <v>1</v>
      </c>
      <c r="AY587" s="63">
        <f>IF(AX587=1,COUNTIF($AX$3:AX587,1),"")</f>
        <v>585</v>
      </c>
      <c r="AZ587" s="63" t="str">
        <f>IFERROR(INDEX($AM$3:$AM$1165,MATCH(ROWS($AY$3:AY587),$AY$3:$AY$1165,0)),"")</f>
        <v>loanInDefaultFlag</v>
      </c>
    </row>
    <row r="588" spans="39:52" x14ac:dyDescent="0.2">
      <c r="AM588" s="63" t="s">
        <v>2185</v>
      </c>
      <c r="AN588" s="63" t="s">
        <v>2186</v>
      </c>
      <c r="AO588" s="63"/>
      <c r="AP588" s="63"/>
      <c r="AQ588" s="63"/>
      <c r="AR588" s="63"/>
      <c r="AS588" s="63"/>
      <c r="AT588" s="63"/>
      <c r="AV588" s="63"/>
      <c r="AW588" s="63"/>
      <c r="AX588" s="63">
        <f>--ISNUMBER(IFERROR(SEARCH(Tempset!$M$4,AM588,1),""))</f>
        <v>1</v>
      </c>
      <c r="AY588" s="63">
        <f>IF(AX588=1,COUNTIF($AX$3:AX588,1),"")</f>
        <v>586</v>
      </c>
      <c r="AZ588" s="63" t="str">
        <f>IFERROR(INDEX($AM$3:$AM$1165,MATCH(ROWS($AY$3:AY588),$AY$3:$AY$1165,0)),"")</f>
        <v>loanMitigationFlag</v>
      </c>
    </row>
    <row r="589" spans="39:52" x14ac:dyDescent="0.2">
      <c r="AM589" s="63" t="s">
        <v>2187</v>
      </c>
      <c r="AN589" s="63" t="s">
        <v>2188</v>
      </c>
      <c r="AO589" s="63"/>
      <c r="AP589" s="63"/>
      <c r="AQ589" s="63"/>
      <c r="AR589" s="63"/>
      <c r="AS589" s="63"/>
      <c r="AT589" s="63"/>
      <c r="AV589" s="63"/>
      <c r="AW589" s="63"/>
      <c r="AX589" s="63">
        <f>--ISNUMBER(IFERROR(SEARCH(Tempset!$M$4,AM589,1),""))</f>
        <v>1</v>
      </c>
      <c r="AY589" s="63">
        <f>IF(AX589=1,COUNTIF($AX$3:AX589,1),"")</f>
        <v>587</v>
      </c>
      <c r="AZ589" s="63" t="str">
        <f>IFERROR(INDEX($AM$3:$AM$1165,MATCH(ROWS($AY$3:AY589),$AY$3:$AY$1165,0)),"")</f>
        <v>loanPurposeCode</v>
      </c>
    </row>
    <row r="590" spans="39:52" x14ac:dyDescent="0.2">
      <c r="AM590" s="63" t="s">
        <v>2189</v>
      </c>
      <c r="AN590" s="63" t="s">
        <v>2190</v>
      </c>
      <c r="AO590" s="63"/>
      <c r="AP590" s="63"/>
      <c r="AQ590" s="63"/>
      <c r="AR590" s="63"/>
      <c r="AS590" s="63"/>
      <c r="AT590" s="63"/>
      <c r="AV590" s="63"/>
      <c r="AW590" s="63"/>
      <c r="AX590" s="63">
        <f>--ISNUMBER(IFERROR(SEARCH(Tempset!$M$4,AM590,1),""))</f>
        <v>1</v>
      </c>
      <c r="AY590" s="63">
        <f>IF(AX590=1,COUNTIF($AX$3:AX590,1),"")</f>
        <v>588</v>
      </c>
      <c r="AZ590" s="63" t="str">
        <f>IFERROR(INDEX($AM$3:$AM$1165,MATCH(ROWS($AY$3:AY590),$AY$3:$AY$1165,0)),"")</f>
        <v>loansAndDepositsCategory</v>
      </c>
    </row>
    <row r="591" spans="39:52" x14ac:dyDescent="0.2">
      <c r="AM591" s="63" t="s">
        <v>2191</v>
      </c>
      <c r="AN591" s="63" t="s">
        <v>2192</v>
      </c>
      <c r="AO591" s="63"/>
      <c r="AP591" s="63"/>
      <c r="AQ591" s="63"/>
      <c r="AR591" s="63"/>
      <c r="AS591" s="63"/>
      <c r="AT591" s="63"/>
      <c r="AV591" s="63"/>
      <c r="AW591" s="63"/>
      <c r="AX591" s="63">
        <f>--ISNUMBER(IFERROR(SEARCH(Tempset!$M$4,AM591,1),""))</f>
        <v>1</v>
      </c>
      <c r="AY591" s="63">
        <f>IF(AX591=1,COUNTIF($AX$3:AX591,1),"")</f>
        <v>589</v>
      </c>
      <c r="AZ591" s="63" t="str">
        <f>IFERROR(INDEX($AM$3:$AM$1165,MATCH(ROWS($AY$3:AY591),$AY$3:$AY$1165,0)),"")</f>
        <v>loanToValue</v>
      </c>
    </row>
    <row r="592" spans="39:52" x14ac:dyDescent="0.2">
      <c r="AM592" s="63" t="s">
        <v>2193</v>
      </c>
      <c r="AN592" s="63" t="s">
        <v>2194</v>
      </c>
      <c r="AO592" s="63"/>
      <c r="AP592" s="63"/>
      <c r="AQ592" s="63"/>
      <c r="AR592" s="63"/>
      <c r="AS592" s="63"/>
      <c r="AT592" s="63"/>
      <c r="AV592" s="63"/>
      <c r="AW592" s="63"/>
      <c r="AX592" s="63">
        <f>--ISNUMBER(IFERROR(SEARCH(Tempset!$M$4,AM592,1),""))</f>
        <v>1</v>
      </c>
      <c r="AY592" s="63">
        <f>IF(AX592=1,COUNTIF($AX$3:AX592,1),"")</f>
        <v>590</v>
      </c>
      <c r="AZ592" s="63" t="str">
        <f>IFERROR(INDEX($AM$3:$AM$1165,MATCH(ROWS($AY$3:AY592),$AY$3:$AY$1165,0)),"")</f>
        <v>loanType</v>
      </c>
    </row>
    <row r="593" spans="39:52" x14ac:dyDescent="0.2">
      <c r="AM593" s="63" t="s">
        <v>2195</v>
      </c>
      <c r="AN593" s="63" t="s">
        <v>2196</v>
      </c>
      <c r="AO593" s="63"/>
      <c r="AP593" s="63"/>
      <c r="AQ593" s="63"/>
      <c r="AR593" s="63"/>
      <c r="AS593" s="63"/>
      <c r="AT593" s="63"/>
      <c r="AV593" s="63"/>
      <c r="AW593" s="63"/>
      <c r="AX593" s="63">
        <f>--ISNUMBER(IFERROR(SEARCH(Tempset!$M$4,AM593,1),""))</f>
        <v>1</v>
      </c>
      <c r="AY593" s="63">
        <f>IF(AX593=1,COUNTIF($AX$3:AX593,1),"")</f>
        <v>591</v>
      </c>
      <c r="AZ593" s="63" t="str">
        <f>IFERROR(INDEX($AM$3:$AM$1165,MATCH(ROWS($AY$3:AY593),$AY$3:$AY$1165,0)),"")</f>
        <v>loanTypeCode</v>
      </c>
    </row>
    <row r="594" spans="39:52" x14ac:dyDescent="0.2">
      <c r="AM594" s="63" t="s">
        <v>2197</v>
      </c>
      <c r="AN594" s="63" t="s">
        <v>2198</v>
      </c>
      <c r="AO594" s="63"/>
      <c r="AP594" s="63"/>
      <c r="AQ594" s="63"/>
      <c r="AR594" s="63"/>
      <c r="AS594" s="63"/>
      <c r="AT594" s="63"/>
      <c r="AV594" s="63"/>
      <c r="AW594" s="63"/>
      <c r="AX594" s="63">
        <f>--ISNUMBER(IFERROR(SEARCH(Tempset!$M$4,AM594,1),""))</f>
        <v>1</v>
      </c>
      <c r="AY594" s="63">
        <f>IF(AX594=1,COUNTIF($AX$3:AX594,1),"")</f>
        <v>592</v>
      </c>
      <c r="AZ594" s="63" t="str">
        <f>IFERROR(INDEX($AM$3:$AM$1165,MATCH(ROWS($AY$3:AY594),$AY$3:$AY$1165,0)),"")</f>
        <v>localCurrency</v>
      </c>
    </row>
    <row r="595" spans="39:52" x14ac:dyDescent="0.2">
      <c r="AM595" s="63" t="s">
        <v>2199</v>
      </c>
      <c r="AN595" s="63" t="s">
        <v>2200</v>
      </c>
      <c r="AO595" s="63"/>
      <c r="AP595" s="63"/>
      <c r="AQ595" s="63"/>
      <c r="AR595" s="63"/>
      <c r="AS595" s="63"/>
      <c r="AT595" s="63"/>
      <c r="AV595" s="63"/>
      <c r="AW595" s="63"/>
      <c r="AX595" s="63">
        <f>--ISNUMBER(IFERROR(SEARCH(Tempset!$M$4,AM595,1),""))</f>
        <v>1</v>
      </c>
      <c r="AY595" s="63">
        <f>IF(AX595=1,COUNTIF($AX$3:AX595,1),"")</f>
        <v>593</v>
      </c>
      <c r="AZ595" s="63" t="str">
        <f>IFERROR(INDEX($AM$3:$AM$1165,MATCH(ROWS($AY$3:AY595),$AY$3:$AY$1165,0)),"")</f>
        <v>locationName</v>
      </c>
    </row>
    <row r="596" spans="39:52" x14ac:dyDescent="0.2">
      <c r="AM596" s="63" t="s">
        <v>2201</v>
      </c>
      <c r="AN596" s="63" t="s">
        <v>2202</v>
      </c>
      <c r="AO596" s="63"/>
      <c r="AP596" s="63"/>
      <c r="AQ596" s="63"/>
      <c r="AR596" s="63"/>
      <c r="AS596" s="63"/>
      <c r="AT596" s="63"/>
      <c r="AV596" s="63"/>
      <c r="AW596" s="63"/>
      <c r="AX596" s="63">
        <f>--ISNUMBER(IFERROR(SEARCH(Tempset!$M$4,AM596,1),""))</f>
        <v>1</v>
      </c>
      <c r="AY596" s="63">
        <f>IF(AX596=1,COUNTIF($AX$3:AX596,1),"")</f>
        <v>594</v>
      </c>
      <c r="AZ596" s="63" t="str">
        <f>IFERROR(INDEX($AM$3:$AM$1165,MATCH(ROWS($AY$3:AY596),$AY$3:$AY$1165,0)),"")</f>
        <v>lombardCollateralCarrierLimitValue</v>
      </c>
    </row>
    <row r="597" spans="39:52" x14ac:dyDescent="0.2">
      <c r="AM597" s="63" t="s">
        <v>2203</v>
      </c>
      <c r="AN597" s="63" t="s">
        <v>2204</v>
      </c>
      <c r="AO597" s="63"/>
      <c r="AP597" s="63"/>
      <c r="AQ597" s="63"/>
      <c r="AR597" s="63"/>
      <c r="AS597" s="63"/>
      <c r="AT597" s="63"/>
      <c r="AV597" s="63"/>
      <c r="AW597" s="63"/>
      <c r="AX597" s="63">
        <f>--ISNUMBER(IFERROR(SEARCH(Tempset!$M$4,AM597,1),""))</f>
        <v>1</v>
      </c>
      <c r="AY597" s="63">
        <f>IF(AX597=1,COUNTIF($AX$3:AX597,1),"")</f>
        <v>595</v>
      </c>
      <c r="AZ597" s="63" t="str">
        <f>IFERROR(INDEX($AM$3:$AM$1165,MATCH(ROWS($AY$3:AY597),$AY$3:$AY$1165,0)),"")</f>
        <v>longMarketValue</v>
      </c>
    </row>
    <row r="598" spans="39:52" x14ac:dyDescent="0.2">
      <c r="AM598" s="63" t="s">
        <v>2205</v>
      </c>
      <c r="AN598" s="63" t="s">
        <v>2206</v>
      </c>
      <c r="AO598" s="63"/>
      <c r="AP598" s="63"/>
      <c r="AQ598" s="63"/>
      <c r="AR598" s="63"/>
      <c r="AS598" s="63"/>
      <c r="AT598" s="63"/>
      <c r="AV598" s="63"/>
      <c r="AW598" s="63"/>
      <c r="AX598" s="63">
        <f>--ISNUMBER(IFERROR(SEARCH(Tempset!$M$4,AM598,1),""))</f>
        <v>1</v>
      </c>
      <c r="AY598" s="63">
        <f>IF(AX598=1,COUNTIF($AX$3:AX598,1),"")</f>
        <v>596</v>
      </c>
      <c r="AZ598" s="63" t="str">
        <f>IFERROR(INDEX($AM$3:$AM$1165,MATCH(ROWS($AY$3:AY598),$AY$3:$AY$1165,0)),"")</f>
        <v>longShortIndicator</v>
      </c>
    </row>
    <row r="599" spans="39:52" x14ac:dyDescent="0.2">
      <c r="AM599" s="63" t="s">
        <v>2207</v>
      </c>
      <c r="AN599" s="63" t="s">
        <v>2208</v>
      </c>
      <c r="AO599" s="63"/>
      <c r="AP599" s="63"/>
      <c r="AQ599" s="63"/>
      <c r="AR599" s="63"/>
      <c r="AS599" s="63"/>
      <c r="AT599" s="63"/>
      <c r="AV599" s="63"/>
      <c r="AW599" s="63"/>
      <c r="AX599" s="63">
        <f>--ISNUMBER(IFERROR(SEARCH(Tempset!$M$4,AM599,1),""))</f>
        <v>1</v>
      </c>
      <c r="AY599" s="63">
        <f>IF(AX599=1,COUNTIF($AX$3:AX599,1),"")</f>
        <v>597</v>
      </c>
      <c r="AZ599" s="63" t="str">
        <f>IFERROR(INDEX($AM$3:$AM$1165,MATCH(ROWS($AY$3:AY599),$AY$3:$AY$1165,0)),"")</f>
        <v>longtermFlag</v>
      </c>
    </row>
    <row r="600" spans="39:52" x14ac:dyDescent="0.2">
      <c r="AM600" s="63" t="s">
        <v>2209</v>
      </c>
      <c r="AN600" s="63" t="s">
        <v>2210</v>
      </c>
      <c r="AO600" s="63"/>
      <c r="AP600" s="63"/>
      <c r="AQ600" s="63"/>
      <c r="AR600" s="63"/>
      <c r="AS600" s="63"/>
      <c r="AT600" s="63"/>
      <c r="AV600" s="63"/>
      <c r="AW600" s="63"/>
      <c r="AX600" s="63">
        <f>--ISNUMBER(IFERROR(SEARCH(Tempset!$M$4,AM600,1),""))</f>
        <v>1</v>
      </c>
      <c r="AY600" s="63">
        <f>IF(AX600=1,COUNTIF($AX$3:AX600,1),"")</f>
        <v>598</v>
      </c>
      <c r="AZ600" s="63" t="str">
        <f>IFERROR(INDEX($AM$3:$AM$1165,MATCH(ROWS($AY$3:AY600),$AY$3:$AY$1165,0)),"")</f>
        <v>lossGivenBreakup</v>
      </c>
    </row>
    <row r="601" spans="39:52" x14ac:dyDescent="0.2">
      <c r="AM601" s="63" t="s">
        <v>2211</v>
      </c>
      <c r="AN601" s="63" t="s">
        <v>2212</v>
      </c>
      <c r="AO601" s="63"/>
      <c r="AP601" s="63"/>
      <c r="AQ601" s="63"/>
      <c r="AR601" s="63"/>
      <c r="AS601" s="63"/>
      <c r="AT601" s="63"/>
      <c r="AV601" s="63"/>
      <c r="AW601" s="63"/>
      <c r="AX601" s="63">
        <f>--ISNUMBER(IFERROR(SEARCH(Tempset!$M$4,AM601,1),""))</f>
        <v>1</v>
      </c>
      <c r="AY601" s="63">
        <f>IF(AX601=1,COUNTIF($AX$3:AX601,1),"")</f>
        <v>599</v>
      </c>
      <c r="AZ601" s="63" t="str">
        <f>IFERROR(INDEX($AM$3:$AM$1165,MATCH(ROWS($AY$3:AY601),$AY$3:$AY$1165,0)),"")</f>
        <v>lossRecognitionDate</v>
      </c>
    </row>
    <row r="602" spans="39:52" x14ac:dyDescent="0.2">
      <c r="AM602" s="63" t="s">
        <v>2213</v>
      </c>
      <c r="AN602" s="63" t="s">
        <v>2214</v>
      </c>
      <c r="AO602" s="63"/>
      <c r="AP602" s="63"/>
      <c r="AQ602" s="63"/>
      <c r="AR602" s="63"/>
      <c r="AS602" s="63"/>
      <c r="AT602" s="63"/>
      <c r="AV602" s="63"/>
      <c r="AW602" s="63"/>
      <c r="AX602" s="63">
        <f>--ISNUMBER(IFERROR(SEARCH(Tempset!$M$4,AM602,1),""))</f>
        <v>1</v>
      </c>
      <c r="AY602" s="63">
        <f>IF(AX602=1,COUNTIF($AX$3:AX602,1),"")</f>
        <v>600</v>
      </c>
      <c r="AZ602" s="63" t="str">
        <f>IFERROR(INDEX($AM$3:$AM$1165,MATCH(ROWS($AY$3:AY602),$AY$3:$AY$1165,0)),"")</f>
        <v>LPAScenarioPTIValueExtrapolated</v>
      </c>
    </row>
    <row r="603" spans="39:52" x14ac:dyDescent="0.2">
      <c r="AM603" s="63" t="s">
        <v>2215</v>
      </c>
      <c r="AN603" s="63" t="s">
        <v>2216</v>
      </c>
      <c r="AO603" s="63"/>
      <c r="AP603" s="63"/>
      <c r="AQ603" s="63"/>
      <c r="AR603" s="63"/>
      <c r="AS603" s="63"/>
      <c r="AT603" s="63"/>
      <c r="AV603" s="63"/>
      <c r="AW603" s="63"/>
      <c r="AX603" s="63">
        <f>--ISNUMBER(IFERROR(SEARCH(Tempset!$M$4,AM603,1),""))</f>
        <v>1</v>
      </c>
      <c r="AY603" s="63">
        <f>IF(AX603=1,COUNTIF($AX$3:AX603,1),"")</f>
        <v>601</v>
      </c>
      <c r="AZ603" s="63" t="str">
        <f>IFERROR(INDEX($AM$3:$AM$1165,MATCH(ROWS($AY$3:AY603),$AY$3:$AY$1165,0)),"")</f>
        <v>LTorST</v>
      </c>
    </row>
    <row r="604" spans="39:52" x14ac:dyDescent="0.2">
      <c r="AM604" s="63" t="s">
        <v>2217</v>
      </c>
      <c r="AN604" s="63" t="s">
        <v>2218</v>
      </c>
      <c r="AO604" s="63"/>
      <c r="AP604" s="63"/>
      <c r="AQ604" s="63"/>
      <c r="AR604" s="63"/>
      <c r="AS604" s="63"/>
      <c r="AT604" s="63"/>
      <c r="AV604" s="63"/>
      <c r="AW604" s="63"/>
      <c r="AX604" s="63">
        <f>--ISNUMBER(IFERROR(SEARCH(Tempset!$M$4,AM604,1),""))</f>
        <v>1</v>
      </c>
      <c r="AY604" s="63">
        <f>IF(AX604=1,COUNTIF($AX$3:AX604,1),"")</f>
        <v>602</v>
      </c>
      <c r="AZ604" s="63" t="str">
        <f>IFERROR(INDEX($AM$3:$AM$1165,MATCH(ROWS($AY$3:AY604),$AY$3:$AY$1165,0)),"")</f>
        <v>macaulayDuration</v>
      </c>
    </row>
    <row r="605" spans="39:52" x14ac:dyDescent="0.2">
      <c r="AM605" s="63" t="s">
        <v>2219</v>
      </c>
      <c r="AN605" s="63" t="s">
        <v>2220</v>
      </c>
      <c r="AO605" s="63"/>
      <c r="AP605" s="63"/>
      <c r="AQ605" s="63"/>
      <c r="AR605" s="63"/>
      <c r="AS605" s="63"/>
      <c r="AT605" s="63"/>
      <c r="AV605" s="63"/>
      <c r="AW605" s="63"/>
      <c r="AX605" s="63">
        <f>--ISNUMBER(IFERROR(SEARCH(Tempset!$M$4,AM605,1),""))</f>
        <v>1</v>
      </c>
      <c r="AY605" s="63">
        <f>IF(AX605=1,COUNTIF($AX$3:AX605,1),"")</f>
        <v>603</v>
      </c>
      <c r="AZ605" s="63" t="str">
        <f>IFERROR(INDEX($AM$3:$AM$1165,MATCH(ROWS($AY$3:AY605),$AY$3:$AY$1165,0)),"")</f>
        <v>MacroSensitive</v>
      </c>
    </row>
    <row r="606" spans="39:52" x14ac:dyDescent="0.2">
      <c r="AM606" s="63" t="s">
        <v>2221</v>
      </c>
      <c r="AN606" s="63" t="s">
        <v>2222</v>
      </c>
      <c r="AO606" s="63"/>
      <c r="AP606" s="63"/>
      <c r="AQ606" s="63"/>
      <c r="AR606" s="63"/>
      <c r="AS606" s="63"/>
      <c r="AT606" s="63"/>
      <c r="AV606" s="63"/>
      <c r="AW606" s="63"/>
      <c r="AX606" s="63">
        <f>--ISNUMBER(IFERROR(SEARCH(Tempset!$M$4,AM606,1),""))</f>
        <v>1</v>
      </c>
      <c r="AY606" s="63">
        <f>IF(AX606=1,COUNTIF($AX$3:AX606,1),"")</f>
        <v>604</v>
      </c>
      <c r="AZ606" s="63" t="str">
        <f>IFERROR(INDEX($AM$3:$AM$1165,MATCH(ROWS($AY$3:AY606),$AY$3:$AY$1165,0)),"")</f>
        <v>macroVariableHistoricalQuarterDate</v>
      </c>
    </row>
    <row r="607" spans="39:52" x14ac:dyDescent="0.2">
      <c r="AM607" s="63" t="s">
        <v>2223</v>
      </c>
      <c r="AN607" s="63" t="s">
        <v>2224</v>
      </c>
      <c r="AO607" s="63"/>
      <c r="AP607" s="63"/>
      <c r="AQ607" s="63"/>
      <c r="AR607" s="63"/>
      <c r="AS607" s="63"/>
      <c r="AT607" s="63"/>
      <c r="AV607" s="63"/>
      <c r="AW607" s="63"/>
      <c r="AX607" s="63">
        <f>--ISNUMBER(IFERROR(SEARCH(Tempset!$M$4,AM607,1),""))</f>
        <v>1</v>
      </c>
      <c r="AY607" s="63">
        <f>IF(AX607=1,COUNTIF($AX$3:AX607,1),"")</f>
        <v>605</v>
      </c>
      <c r="AZ607" s="63" t="str">
        <f>IFERROR(INDEX($AM$3:$AM$1165,MATCH(ROWS($AY$3:AY607),$AY$3:$AY$1165,0)),"")</f>
        <v>macroVariableHistoricalValue</v>
      </c>
    </row>
    <row r="608" spans="39:52" x14ac:dyDescent="0.2">
      <c r="AM608" s="63" t="s">
        <v>2225</v>
      </c>
      <c r="AN608" s="63" t="s">
        <v>2226</v>
      </c>
      <c r="AO608" s="63"/>
      <c r="AP608" s="63"/>
      <c r="AQ608" s="63"/>
      <c r="AR608" s="63"/>
      <c r="AS608" s="63"/>
      <c r="AT608" s="63"/>
      <c r="AV608" s="63"/>
      <c r="AW608" s="63"/>
      <c r="AX608" s="63">
        <f>--ISNUMBER(IFERROR(SEARCH(Tempset!$M$4,AM608,1),""))</f>
        <v>1</v>
      </c>
      <c r="AY608" s="63">
        <f>IF(AX608=1,COUNTIF($AX$3:AX608,1),"")</f>
        <v>606</v>
      </c>
      <c r="AZ608" s="63" t="str">
        <f>IFERROR(INDEX($AM$3:$AM$1165,MATCH(ROWS($AY$3:AY608),$AY$3:$AY$1165,0)),"")</f>
        <v>macroVariableProjectedQuarterDate</v>
      </c>
    </row>
    <row r="609" spans="39:52" x14ac:dyDescent="0.2">
      <c r="AM609" s="63" t="s">
        <v>2227</v>
      </c>
      <c r="AN609" s="63" t="s">
        <v>2228</v>
      </c>
      <c r="AO609" s="63"/>
      <c r="AP609" s="63"/>
      <c r="AQ609" s="63"/>
      <c r="AR609" s="63"/>
      <c r="AS609" s="63"/>
      <c r="AT609" s="63"/>
      <c r="AV609" s="63"/>
      <c r="AW609" s="63"/>
      <c r="AX609" s="63">
        <f>--ISNUMBER(IFERROR(SEARCH(Tempset!$M$4,AM609,1),""))</f>
        <v>1</v>
      </c>
      <c r="AY609" s="63">
        <f>IF(AX609=1,COUNTIF($AX$3:AX609,1),"")</f>
        <v>607</v>
      </c>
      <c r="AZ609" s="63" t="str">
        <f>IFERROR(INDEX($AM$3:$AM$1165,MATCH(ROWS($AY$3:AY609),$AY$3:$AY$1165,0)),"")</f>
        <v>macroVariableProjectedValue</v>
      </c>
    </row>
    <row r="610" spans="39:52" x14ac:dyDescent="0.2">
      <c r="AM610" s="63" t="s">
        <v>2229</v>
      </c>
      <c r="AN610" s="63" t="s">
        <v>2230</v>
      </c>
      <c r="AO610" s="63"/>
      <c r="AP610" s="63"/>
      <c r="AQ610" s="63"/>
      <c r="AR610" s="63"/>
      <c r="AS610" s="63"/>
      <c r="AT610" s="63"/>
      <c r="AV610" s="63"/>
      <c r="AW610" s="63"/>
      <c r="AX610" s="63">
        <f>--ISNUMBER(IFERROR(SEARCH(Tempset!$M$4,AM610,1),""))</f>
        <v>1</v>
      </c>
      <c r="AY610" s="63">
        <f>IF(AX610=1,COUNTIF($AX$3:AX610,1),"")</f>
        <v>608</v>
      </c>
      <c r="AZ610" s="63" t="str">
        <f>IFERROR(INDEX($AM$3:$AM$1165,MATCH(ROWS($AY$3:AY610),$AY$3:$AY$1165,0)),"")</f>
        <v>macroVariableProjectedValueFormat</v>
      </c>
    </row>
    <row r="611" spans="39:52" x14ac:dyDescent="0.2">
      <c r="AM611" s="63" t="s">
        <v>2231</v>
      </c>
      <c r="AN611" s="63" t="s">
        <v>2232</v>
      </c>
      <c r="AO611" s="63"/>
      <c r="AP611" s="63"/>
      <c r="AQ611" s="63"/>
      <c r="AR611" s="63"/>
      <c r="AS611" s="63"/>
      <c r="AT611" s="63"/>
      <c r="AV611" s="63"/>
      <c r="AW611" s="63"/>
      <c r="AX611" s="63">
        <f>--ISNUMBER(IFERROR(SEARCH(Tempset!$M$4,AM611,1),""))</f>
        <v>1</v>
      </c>
      <c r="AY611" s="63">
        <f>IF(AX611=1,COUNTIF($AX$3:AX611,1),"")</f>
        <v>609</v>
      </c>
      <c r="AZ611" s="63" t="str">
        <f>IFERROR(INDEX($AM$3:$AM$1165,MATCH(ROWS($AY$3:AY611),$AY$3:$AY$1165,0)),"")</f>
        <v>macroVariableTicker</v>
      </c>
    </row>
    <row r="612" spans="39:52" x14ac:dyDescent="0.2">
      <c r="AM612" s="63" t="s">
        <v>2233</v>
      </c>
      <c r="AN612" s="63" t="s">
        <v>2234</v>
      </c>
      <c r="AO612" s="63"/>
      <c r="AP612" s="63"/>
      <c r="AQ612" s="63"/>
      <c r="AR612" s="63"/>
      <c r="AS612" s="63"/>
      <c r="AT612" s="63"/>
      <c r="AV612" s="63"/>
      <c r="AW612" s="63"/>
      <c r="AX612" s="63">
        <f>--ISNUMBER(IFERROR(SEARCH(Tempset!$M$4,AM612,1),""))</f>
        <v>1</v>
      </c>
      <c r="AY612" s="63">
        <f>IF(AX612=1,COUNTIF($AX$3:AX612,1),"")</f>
        <v>610</v>
      </c>
      <c r="AZ612" s="63" t="str">
        <f>IFERROR(INDEX($AM$3:$AM$1165,MATCH(ROWS($AY$3:AY612),$AY$3:$AY$1165,0)),"")</f>
        <v>macroVariableTickerValueType</v>
      </c>
    </row>
    <row r="613" spans="39:52" x14ac:dyDescent="0.2">
      <c r="AM613" s="63" t="s">
        <v>2235</v>
      </c>
      <c r="AN613" s="63" t="s">
        <v>2236</v>
      </c>
      <c r="AO613" s="63"/>
      <c r="AP613" s="63"/>
      <c r="AQ613" s="63"/>
      <c r="AR613" s="63"/>
      <c r="AS613" s="63"/>
      <c r="AT613" s="63"/>
      <c r="AV613" s="63"/>
      <c r="AW613" s="63"/>
      <c r="AX613" s="63">
        <f>--ISNUMBER(IFERROR(SEARCH(Tempset!$M$4,AM613,1),""))</f>
        <v>1</v>
      </c>
      <c r="AY613" s="63">
        <f>IF(AX613=1,COUNTIF($AX$3:AX613,1),"")</f>
        <v>611</v>
      </c>
      <c r="AZ613" s="63" t="str">
        <f>IFERROR(INDEX($AM$3:$AM$1165,MATCH(ROWS($AY$3:AY613),$AY$3:$AY$1165,0)),"")</f>
        <v>mainIndexFlag</v>
      </c>
    </row>
    <row r="614" spans="39:52" x14ac:dyDescent="0.2">
      <c r="AM614" s="63" t="s">
        <v>2237</v>
      </c>
      <c r="AN614" s="63" t="s">
        <v>2238</v>
      </c>
      <c r="AO614" s="63"/>
      <c r="AP614" s="63"/>
      <c r="AQ614" s="63"/>
      <c r="AR614" s="63"/>
      <c r="AS614" s="63"/>
      <c r="AT614" s="63"/>
      <c r="AV614" s="63"/>
      <c r="AW614" s="63"/>
      <c r="AX614" s="63">
        <f>--ISNUMBER(IFERROR(SEARCH(Tempset!$M$4,AM614,1),""))</f>
        <v>1</v>
      </c>
      <c r="AY614" s="63">
        <f>IF(AX614=1,COUNTIF($AX$3:AX614,1),"")</f>
        <v>612</v>
      </c>
      <c r="AZ614" s="63" t="str">
        <f>IFERROR(INDEX($AM$3:$AM$1165,MATCH(ROWS($AY$3:AY614),$AY$3:$AY$1165,0)),"")</f>
        <v>majorEquityIndexFlag</v>
      </c>
    </row>
    <row r="615" spans="39:52" x14ac:dyDescent="0.2">
      <c r="AM615" s="63" t="s">
        <v>2239</v>
      </c>
      <c r="AN615" s="63" t="s">
        <v>2240</v>
      </c>
      <c r="AO615" s="63"/>
      <c r="AP615" s="63"/>
      <c r="AQ615" s="63"/>
      <c r="AR615" s="63"/>
      <c r="AS615" s="63"/>
      <c r="AT615" s="63"/>
      <c r="AV615" s="63"/>
      <c r="AW615" s="63"/>
      <c r="AX615" s="63">
        <f>--ISNUMBER(IFERROR(SEARCH(Tempset!$M$4,AM615,1),""))</f>
        <v>1</v>
      </c>
      <c r="AY615" s="63">
        <f>IF(AX615=1,COUNTIF($AX$3:AX615,1),"")</f>
        <v>613</v>
      </c>
      <c r="AZ615" s="63" t="str">
        <f>IFERROR(INDEX($AM$3:$AM$1165,MATCH(ROWS($AY$3:AY615),$AY$3:$AY$1165,0)),"")</f>
        <v>managementActionsPnLValue</v>
      </c>
    </row>
    <row r="616" spans="39:52" x14ac:dyDescent="0.2">
      <c r="AM616" s="63" t="s">
        <v>2241</v>
      </c>
      <c r="AN616" s="63" t="s">
        <v>2242</v>
      </c>
      <c r="AO616" s="63"/>
      <c r="AP616" s="63"/>
      <c r="AQ616" s="63"/>
      <c r="AR616" s="63"/>
      <c r="AS616" s="63"/>
      <c r="AT616" s="63"/>
      <c r="AV616" s="63"/>
      <c r="AW616" s="63"/>
      <c r="AX616" s="63">
        <f>--ISNUMBER(IFERROR(SEARCH(Tempset!$M$4,AM616,1),""))</f>
        <v>1</v>
      </c>
      <c r="AY616" s="63">
        <f>IF(AX616=1,COUNTIF($AX$3:AX616,1),"")</f>
        <v>614</v>
      </c>
      <c r="AZ616" s="63" t="str">
        <f>IFERROR(INDEX($AM$3:$AM$1165,MATCH(ROWS($AY$3:AY616),$AY$3:$AY$1165,0)),"")</f>
        <v>managementActionsRWAValue</v>
      </c>
    </row>
    <row r="617" spans="39:52" x14ac:dyDescent="0.2">
      <c r="AM617" s="63" t="s">
        <v>2243</v>
      </c>
      <c r="AN617" s="63" t="s">
        <v>2244</v>
      </c>
      <c r="AO617" s="63"/>
      <c r="AP617" s="63"/>
      <c r="AQ617" s="63"/>
      <c r="AR617" s="63"/>
      <c r="AS617" s="63"/>
      <c r="AT617" s="63"/>
      <c r="AV617" s="63"/>
      <c r="AW617" s="63"/>
      <c r="AX617" s="63">
        <f>--ISNUMBER(IFERROR(SEARCH(Tempset!$M$4,AM617,1),""))</f>
        <v>1</v>
      </c>
      <c r="AY617" s="63">
        <f>IF(AX617=1,COUNTIF($AX$3:AX617,1),"")</f>
        <v>615</v>
      </c>
      <c r="AZ617" s="63" t="str">
        <f>IFERROR(INDEX($AM$3:$AM$1165,MATCH(ROWS($AY$3:AY617),$AY$3:$AY$1165,0)),"")</f>
        <v>marginAccountIndicator</v>
      </c>
    </row>
    <row r="618" spans="39:52" x14ac:dyDescent="0.2">
      <c r="AM618" s="63" t="s">
        <v>2245</v>
      </c>
      <c r="AN618" s="63" t="s">
        <v>2246</v>
      </c>
      <c r="AO618" s="63"/>
      <c r="AP618" s="63"/>
      <c r="AQ618" s="63"/>
      <c r="AR618" s="63"/>
      <c r="AS618" s="63"/>
      <c r="AT618" s="63"/>
      <c r="AV618" s="63"/>
      <c r="AW618" s="63"/>
      <c r="AX618" s="63">
        <f>--ISNUMBER(IFERROR(SEARCH(Tempset!$M$4,AM618,1),""))</f>
        <v>1</v>
      </c>
      <c r="AY618" s="63">
        <f>IF(AX618=1,COUNTIF($AX$3:AX618,1),"")</f>
        <v>616</v>
      </c>
      <c r="AZ618" s="63" t="str">
        <f>IFERROR(INDEX($AM$3:$AM$1165,MATCH(ROWS($AY$3:AY618),$AY$3:$AY$1165,0)),"")</f>
        <v>marginalContribution</v>
      </c>
    </row>
    <row r="619" spans="39:52" x14ac:dyDescent="0.2">
      <c r="AM619" s="63" t="s">
        <v>2247</v>
      </c>
      <c r="AN619" s="63" t="s">
        <v>2248</v>
      </c>
      <c r="AO619" s="63"/>
      <c r="AP619" s="63"/>
      <c r="AQ619" s="63"/>
      <c r="AR619" s="63"/>
      <c r="AS619" s="63"/>
      <c r="AT619" s="63"/>
      <c r="AV619" s="63"/>
      <c r="AW619" s="63"/>
      <c r="AX619" s="63">
        <f>--ISNUMBER(IFERROR(SEARCH(Tempset!$M$4,AM619,1),""))</f>
        <v>1</v>
      </c>
      <c r="AY619" s="63">
        <f>IF(AX619=1,COUNTIF($AX$3:AX619,1),"")</f>
        <v>617</v>
      </c>
      <c r="AZ619" s="63" t="str">
        <f>IFERROR(INDEX($AM$3:$AM$1165,MATCH(ROWS($AY$3:AY619),$AY$3:$AY$1165,0)),"")</f>
        <v>marginFlag</v>
      </c>
    </row>
    <row r="620" spans="39:52" x14ac:dyDescent="0.2">
      <c r="AM620" s="63" t="s">
        <v>2249</v>
      </c>
      <c r="AN620" s="63" t="s">
        <v>2250</v>
      </c>
      <c r="AO620" s="63"/>
      <c r="AP620" s="63"/>
      <c r="AQ620" s="63"/>
      <c r="AR620" s="63"/>
      <c r="AS620" s="63"/>
      <c r="AT620" s="63"/>
      <c r="AV620" s="63"/>
      <c r="AW620" s="63"/>
      <c r="AX620" s="63">
        <f>--ISNUMBER(IFERROR(SEARCH(Tempset!$M$4,AM620,1),""))</f>
        <v>1</v>
      </c>
      <c r="AY620" s="63">
        <f>IF(AX620=1,COUNTIF($AX$3:AX620,1),"")</f>
        <v>618</v>
      </c>
      <c r="AZ620" s="63" t="str">
        <f>IFERROR(INDEX($AM$3:$AM$1165,MATCH(ROWS($AY$3:AY620),$AY$3:$AY$1165,0)),"")</f>
        <v>marginPeriodOfRisk</v>
      </c>
    </row>
    <row r="621" spans="39:52" x14ac:dyDescent="0.2">
      <c r="AM621" s="63" t="s">
        <v>2251</v>
      </c>
      <c r="AN621" s="63" t="s">
        <v>2252</v>
      </c>
      <c r="AO621" s="63"/>
      <c r="AP621" s="63"/>
      <c r="AQ621" s="63"/>
      <c r="AR621" s="63"/>
      <c r="AS621" s="63"/>
      <c r="AT621" s="63"/>
      <c r="AV621" s="63"/>
      <c r="AW621" s="63"/>
      <c r="AX621" s="63">
        <f>--ISNUMBER(IFERROR(SEARCH(Tempset!$M$4,AM621,1),""))</f>
        <v>1</v>
      </c>
      <c r="AY621" s="63">
        <f>IF(AX621=1,COUNTIF($AX$3:AX621,1),"")</f>
        <v>619</v>
      </c>
      <c r="AZ621" s="63" t="str">
        <f>IFERROR(INDEX($AM$3:$AM$1165,MATCH(ROWS($AY$3:AY621),$AY$3:$AY$1165,0)),"")</f>
        <v>marketDataIdentifier</v>
      </c>
    </row>
    <row r="622" spans="39:52" x14ac:dyDescent="0.2">
      <c r="AM622" s="63" t="s">
        <v>2253</v>
      </c>
      <c r="AN622" s="63" t="s">
        <v>2254</v>
      </c>
      <c r="AO622" s="63"/>
      <c r="AP622" s="63"/>
      <c r="AQ622" s="63"/>
      <c r="AR622" s="63"/>
      <c r="AS622" s="63"/>
      <c r="AT622" s="63"/>
      <c r="AV622" s="63"/>
      <c r="AW622" s="63"/>
      <c r="AX622" s="63">
        <f>--ISNUMBER(IFERROR(SEARCH(Tempset!$M$4,AM622,1),""))</f>
        <v>1</v>
      </c>
      <c r="AY622" s="63">
        <f>IF(AX622=1,COUNTIF($AX$3:AX622,1),"")</f>
        <v>620</v>
      </c>
      <c r="AZ622" s="63" t="str">
        <f>IFERROR(INDEX($AM$3:$AM$1165,MATCH(ROWS($AY$3:AY622),$AY$3:$AY$1165,0)),"")</f>
        <v>marketDataType</v>
      </c>
    </row>
    <row r="623" spans="39:52" x14ac:dyDescent="0.2">
      <c r="AM623" s="63" t="s">
        <v>2255</v>
      </c>
      <c r="AN623" s="63" t="s">
        <v>2256</v>
      </c>
      <c r="AO623" s="63"/>
      <c r="AP623" s="63"/>
      <c r="AQ623" s="63"/>
      <c r="AR623" s="63"/>
      <c r="AS623" s="63"/>
      <c r="AT623" s="63"/>
      <c r="AV623" s="63"/>
      <c r="AW623" s="63"/>
      <c r="AX623" s="63">
        <f>--ISNUMBER(IFERROR(SEARCH(Tempset!$M$4,AM623,1),""))</f>
        <v>1</v>
      </c>
      <c r="AY623" s="63">
        <f>IF(AX623=1,COUNTIF($AX$3:AX623,1),"")</f>
        <v>621</v>
      </c>
      <c r="AZ623" s="63" t="str">
        <f>IFERROR(INDEX($AM$3:$AM$1165,MATCH(ROWS($AY$3:AY623),$AY$3:$AY$1165,0)),"")</f>
        <v>marketDataValue</v>
      </c>
    </row>
    <row r="624" spans="39:52" x14ac:dyDescent="0.2">
      <c r="AM624" s="63" t="s">
        <v>2257</v>
      </c>
      <c r="AN624" s="63" t="s">
        <v>2258</v>
      </c>
      <c r="AO624" s="63"/>
      <c r="AP624" s="63"/>
      <c r="AQ624" s="63"/>
      <c r="AR624" s="63"/>
      <c r="AS624" s="63"/>
      <c r="AT624" s="63"/>
      <c r="AV624" s="63"/>
      <c r="AW624" s="63"/>
      <c r="AX624" s="63">
        <f>--ISNUMBER(IFERROR(SEARCH(Tempset!$M$4,AM624,1),""))</f>
        <v>1</v>
      </c>
      <c r="AY624" s="63">
        <f>IF(AX624=1,COUNTIF($AX$3:AX624,1),"")</f>
        <v>622</v>
      </c>
      <c r="AZ624" s="63" t="str">
        <f>IFERROR(INDEX($AM$3:$AM$1165,MATCH(ROWS($AY$3:AY624),$AY$3:$AY$1165,0)),"")</f>
        <v>marketRiskCapitalMultiplier</v>
      </c>
    </row>
    <row r="625" spans="39:52" x14ac:dyDescent="0.2">
      <c r="AM625" s="63" t="s">
        <v>2259</v>
      </c>
      <c r="AN625" s="63" t="s">
        <v>2260</v>
      </c>
      <c r="AO625" s="63"/>
      <c r="AP625" s="63"/>
      <c r="AQ625" s="63"/>
      <c r="AR625" s="63"/>
      <c r="AS625" s="63"/>
      <c r="AT625" s="63"/>
      <c r="AV625" s="63"/>
      <c r="AW625" s="63"/>
      <c r="AX625" s="63">
        <f>--ISNUMBER(IFERROR(SEARCH(Tempset!$M$4,AM625,1),""))</f>
        <v>1</v>
      </c>
      <c r="AY625" s="63">
        <f>IF(AX625=1,COUNTIF($AX$3:AX625,1),"")</f>
        <v>623</v>
      </c>
      <c r="AZ625" s="63" t="str">
        <f>IFERROR(INDEX($AM$3:$AM$1165,MATCH(ROWS($AY$3:AY625),$AY$3:$AY$1165,0)),"")</f>
        <v>marketRiskCVAStressRWAValue</v>
      </c>
    </row>
    <row r="626" spans="39:52" x14ac:dyDescent="0.2">
      <c r="AM626" s="63" t="s">
        <v>2261</v>
      </c>
      <c r="AN626" s="63" t="s">
        <v>2262</v>
      </c>
      <c r="AO626" s="63"/>
      <c r="AP626" s="63"/>
      <c r="AQ626" s="63"/>
      <c r="AR626" s="63"/>
      <c r="AS626" s="63"/>
      <c r="AT626" s="63"/>
      <c r="AV626" s="63"/>
      <c r="AW626" s="63"/>
      <c r="AX626" s="63">
        <f>--ISNUMBER(IFERROR(SEARCH(Tempset!$M$4,AM626,1),""))</f>
        <v>1</v>
      </c>
      <c r="AY626" s="63">
        <f>IF(AX626=1,COUNTIF($AX$3:AX626,1),"")</f>
        <v>624</v>
      </c>
      <c r="AZ626" s="63" t="str">
        <f>IFERROR(INDEX($AM$3:$AM$1165,MATCH(ROWS($AY$3:AY626),$AY$3:$AY$1165,0)),"")</f>
        <v>marketRiskRWAValue</v>
      </c>
    </row>
    <row r="627" spans="39:52" x14ac:dyDescent="0.2">
      <c r="AM627" s="63" t="s">
        <v>2263</v>
      </c>
      <c r="AN627" s="63" t="s">
        <v>2264</v>
      </c>
      <c r="AO627" s="63"/>
      <c r="AP627" s="63"/>
      <c r="AQ627" s="63"/>
      <c r="AR627" s="63"/>
      <c r="AS627" s="63"/>
      <c r="AT627" s="63"/>
      <c r="AV627" s="63"/>
      <c r="AW627" s="63"/>
      <c r="AX627" s="63">
        <f>--ISNUMBER(IFERROR(SEARCH(Tempset!$M$4,AM627,1),""))</f>
        <v>1</v>
      </c>
      <c r="AY627" s="63">
        <f>IF(AX627=1,COUNTIF($AX$3:AX627,1),"")</f>
        <v>625</v>
      </c>
      <c r="AZ627" s="63" t="str">
        <f>IFERROR(INDEX($AM$3:$AM$1165,MATCH(ROWS($AY$3:AY627),$AY$3:$AY$1165,0)),"")</f>
        <v>marketTriggerableFlag</v>
      </c>
    </row>
    <row r="628" spans="39:52" x14ac:dyDescent="0.2">
      <c r="AM628" s="63" t="s">
        <v>2265</v>
      </c>
      <c r="AN628" s="63" t="s">
        <v>2266</v>
      </c>
      <c r="AO628" s="63"/>
      <c r="AP628" s="63"/>
      <c r="AQ628" s="63"/>
      <c r="AR628" s="63"/>
      <c r="AS628" s="63"/>
      <c r="AT628" s="63"/>
      <c r="AV628" s="63"/>
      <c r="AW628" s="63"/>
      <c r="AX628" s="63">
        <f>--ISNUMBER(IFERROR(SEARCH(Tempset!$M$4,AM628,1),""))</f>
        <v>1</v>
      </c>
      <c r="AY628" s="63">
        <f>IF(AX628=1,COUNTIF($AX$3:AX628,1),"")</f>
        <v>626</v>
      </c>
      <c r="AZ628" s="63" t="str">
        <f>IFERROR(INDEX($AM$3:$AM$1165,MATCH(ROWS($AY$3:AY628),$AY$3:$AY$1165,0)),"")</f>
        <v>marketValuationAmount</v>
      </c>
    </row>
    <row r="629" spans="39:52" x14ac:dyDescent="0.2">
      <c r="AM629" s="63" t="s">
        <v>2267</v>
      </c>
      <c r="AN629" s="63" t="s">
        <v>2268</v>
      </c>
      <c r="AO629" s="63"/>
      <c r="AP629" s="63"/>
      <c r="AQ629" s="63"/>
      <c r="AR629" s="63"/>
      <c r="AS629" s="63"/>
      <c r="AT629" s="63"/>
      <c r="AV629" s="63"/>
      <c r="AW629" s="63"/>
      <c r="AX629" s="63">
        <f>--ISNUMBER(IFERROR(SEARCH(Tempset!$M$4,AM629,1),""))</f>
        <v>1</v>
      </c>
      <c r="AY629" s="63">
        <f>IF(AX629=1,COUNTIF($AX$3:AX629,1),"")</f>
        <v>627</v>
      </c>
      <c r="AZ629" s="63" t="str">
        <f>IFERROR(INDEX($AM$3:$AM$1165,MATCH(ROWS($AY$3:AY629),$AY$3:$AY$1165,0)),"")</f>
        <v>marketValuationDate</v>
      </c>
    </row>
    <row r="630" spans="39:52" x14ac:dyDescent="0.2">
      <c r="AM630" s="63" t="s">
        <v>2269</v>
      </c>
      <c r="AN630" s="63" t="s">
        <v>2270</v>
      </c>
      <c r="AO630" s="63"/>
      <c r="AP630" s="63"/>
      <c r="AQ630" s="63"/>
      <c r="AR630" s="63"/>
      <c r="AS630" s="63"/>
      <c r="AT630" s="63"/>
      <c r="AV630" s="63"/>
      <c r="AW630" s="63"/>
      <c r="AX630" s="63">
        <f>--ISNUMBER(IFERROR(SEARCH(Tempset!$M$4,AM630,1),""))</f>
        <v>1</v>
      </c>
      <c r="AY630" s="63">
        <f>IF(AX630=1,COUNTIF($AX$3:AX630,1),"")</f>
        <v>628</v>
      </c>
      <c r="AZ630" s="63" t="str">
        <f>IFERROR(INDEX($AM$3:$AM$1165,MATCH(ROWS($AY$3:AY630),$AY$3:$AY$1165,0)),"")</f>
        <v>MARSBusinessHierarchy</v>
      </c>
    </row>
    <row r="631" spans="39:52" x14ac:dyDescent="0.2">
      <c r="AM631" s="63" t="s">
        <v>2271</v>
      </c>
      <c r="AN631" s="63" t="s">
        <v>2272</v>
      </c>
      <c r="AO631" s="63"/>
      <c r="AP631" s="63"/>
      <c r="AQ631" s="63"/>
      <c r="AR631" s="63"/>
      <c r="AS631" s="63"/>
      <c r="AT631" s="63"/>
      <c r="AV631" s="63"/>
      <c r="AW631" s="63"/>
      <c r="AX631" s="63">
        <f>--ISNUMBER(IFERROR(SEARCH(Tempset!$M$4,AM631,1),""))</f>
        <v>1</v>
      </c>
      <c r="AY631" s="63">
        <f>IF(AX631=1,COUNTIF($AX$3:AX631,1),"")</f>
        <v>629</v>
      </c>
      <c r="AZ631" s="63" t="str">
        <f>IFERROR(INDEX($AM$3:$AM$1165,MATCH(ROWS($AY$3:AY631),$AY$3:$AY$1165,0)),"")</f>
        <v>masterAgreementCode</v>
      </c>
    </row>
    <row r="632" spans="39:52" x14ac:dyDescent="0.2">
      <c r="AM632" s="63" t="s">
        <v>2273</v>
      </c>
      <c r="AN632" s="63" t="s">
        <v>2274</v>
      </c>
      <c r="AO632" s="63"/>
      <c r="AP632" s="63"/>
      <c r="AQ632" s="63"/>
      <c r="AR632" s="63"/>
      <c r="AS632" s="63"/>
      <c r="AT632" s="63"/>
      <c r="AV632" s="63"/>
      <c r="AW632" s="63"/>
      <c r="AX632" s="63">
        <f>--ISNUMBER(IFERROR(SEARCH(Tempset!$M$4,AM632,1),""))</f>
        <v>1</v>
      </c>
      <c r="AY632" s="63">
        <f>IF(AX632=1,COUNTIF($AX$3:AX632,1),"")</f>
        <v>630</v>
      </c>
      <c r="AZ632" s="63" t="str">
        <f>IFERROR(INDEX($AM$3:$AM$1165,MATCH(ROWS($AY$3:AY632),$AY$3:$AY$1165,0)),"")</f>
        <v>masterAgreementLLK</v>
      </c>
    </row>
    <row r="633" spans="39:52" x14ac:dyDescent="0.2">
      <c r="AM633" s="63" t="s">
        <v>2275</v>
      </c>
      <c r="AN633" s="63" t="s">
        <v>2276</v>
      </c>
      <c r="AO633" s="63"/>
      <c r="AP633" s="63"/>
      <c r="AQ633" s="63"/>
      <c r="AR633" s="63"/>
      <c r="AS633" s="63"/>
      <c r="AT633" s="63"/>
      <c r="AV633" s="63"/>
      <c r="AW633" s="63"/>
      <c r="AX633" s="63">
        <f>--ISNUMBER(IFERROR(SEARCH(Tempset!$M$4,AM633,1),""))</f>
        <v>1</v>
      </c>
      <c r="AY633" s="63">
        <f>IF(AX633=1,COUNTIF($AX$3:AX633,1),"")</f>
        <v>631</v>
      </c>
      <c r="AZ633" s="63" t="str">
        <f>IFERROR(INDEX($AM$3:$AM$1165,MATCH(ROWS($AY$3:AY633),$AY$3:$AY$1165,0)),"")</f>
        <v>masterIndexId</v>
      </c>
    </row>
    <row r="634" spans="39:52" x14ac:dyDescent="0.2">
      <c r="AM634" s="63" t="s">
        <v>2277</v>
      </c>
      <c r="AN634" s="63" t="s">
        <v>2278</v>
      </c>
      <c r="AO634" s="63"/>
      <c r="AP634" s="63"/>
      <c r="AQ634" s="63"/>
      <c r="AR634" s="63"/>
      <c r="AS634" s="63"/>
      <c r="AT634" s="63"/>
      <c r="AV634" s="63"/>
      <c r="AW634" s="63"/>
      <c r="AX634" s="63">
        <f>--ISNUMBER(IFERROR(SEARCH(Tempset!$M$4,AM634,1),""))</f>
        <v>1</v>
      </c>
      <c r="AY634" s="63">
        <f>IF(AX634=1,COUNTIF($AX$3:AX634,1),"")</f>
        <v>632</v>
      </c>
      <c r="AZ634" s="63" t="str">
        <f>IFERROR(INDEX($AM$3:$AM$1165,MATCH(ROWS($AY$3:AY634),$AY$3:$AY$1165,0)),"")</f>
        <v>maturityDate</v>
      </c>
    </row>
    <row r="635" spans="39:52" x14ac:dyDescent="0.2">
      <c r="AM635" s="63" t="s">
        <v>2279</v>
      </c>
      <c r="AN635" s="63" t="s">
        <v>2280</v>
      </c>
      <c r="AO635" s="63"/>
      <c r="AP635" s="63"/>
      <c r="AQ635" s="63"/>
      <c r="AR635" s="63"/>
      <c r="AS635" s="63"/>
      <c r="AT635" s="63"/>
      <c r="AV635" s="63"/>
      <c r="AW635" s="63"/>
      <c r="AX635" s="63">
        <f>--ISNUMBER(IFERROR(SEARCH(Tempset!$M$4,AM635,1),""))</f>
        <v>1</v>
      </c>
      <c r="AY635" s="63">
        <f>IF(AX635=1,COUNTIF($AX$3:AX635,1),"")</f>
        <v>633</v>
      </c>
      <c r="AZ635" s="63" t="str">
        <f>IFERROR(INDEX($AM$3:$AM$1165,MATCH(ROWS($AY$3:AY635),$AY$3:$AY$1165,0)),"")</f>
        <v>maturityFactor</v>
      </c>
    </row>
    <row r="636" spans="39:52" x14ac:dyDescent="0.2">
      <c r="AM636" s="63" t="s">
        <v>2281</v>
      </c>
      <c r="AN636" s="63" t="s">
        <v>2282</v>
      </c>
      <c r="AO636" s="63"/>
      <c r="AP636" s="63"/>
      <c r="AQ636" s="63"/>
      <c r="AR636" s="63"/>
      <c r="AS636" s="63"/>
      <c r="AT636" s="63"/>
      <c r="AV636" s="63"/>
      <c r="AW636" s="63"/>
      <c r="AX636" s="63">
        <f>--ISNUMBER(IFERROR(SEARCH(Tempset!$M$4,AM636,1),""))</f>
        <v>1</v>
      </c>
      <c r="AY636" s="63">
        <f>IF(AX636=1,COUNTIF($AX$3:AX636,1),"")</f>
        <v>634</v>
      </c>
      <c r="AZ636" s="63" t="str">
        <f>IFERROR(INDEX($AM$3:$AM$1165,MATCH(ROWS($AY$3:AY636),$AY$3:$AY$1165,0)),"")</f>
        <v>maturityProfileOfTreasuryProductValue</v>
      </c>
    </row>
    <row r="637" spans="39:52" x14ac:dyDescent="0.2">
      <c r="AM637" s="63" t="s">
        <v>2283</v>
      </c>
      <c r="AN637" s="63" t="s">
        <v>2284</v>
      </c>
      <c r="AO637" s="63"/>
      <c r="AP637" s="63"/>
      <c r="AQ637" s="63"/>
      <c r="AR637" s="63"/>
      <c r="AS637" s="63"/>
      <c r="AT637" s="63"/>
      <c r="AV637" s="63"/>
      <c r="AW637" s="63"/>
      <c r="AX637" s="63">
        <f>--ISNUMBER(IFERROR(SEARCH(Tempset!$M$4,AM637,1),""))</f>
        <v>1</v>
      </c>
      <c r="AY637" s="63">
        <f>IF(AX637=1,COUNTIF($AX$3:AX637,1),"")</f>
        <v>635</v>
      </c>
      <c r="AZ637" s="63" t="str">
        <f>IFERROR(INDEX($AM$3:$AM$1165,MATCH(ROWS($AY$3:AY637),$AY$3:$AY$1165,0)),"")</f>
        <v>maxDecayDays</v>
      </c>
    </row>
    <row r="638" spans="39:52" x14ac:dyDescent="0.2">
      <c r="AM638" s="63" t="s">
        <v>2285</v>
      </c>
      <c r="AN638" s="63" t="s">
        <v>2286</v>
      </c>
      <c r="AO638" s="63"/>
      <c r="AP638" s="63"/>
      <c r="AQ638" s="63"/>
      <c r="AR638" s="63"/>
      <c r="AS638" s="63"/>
      <c r="AT638" s="63"/>
      <c r="AV638" s="63"/>
      <c r="AW638" s="63"/>
      <c r="AX638" s="63">
        <f>--ISNUMBER(IFERROR(SEARCH(Tempset!$M$4,AM638,1),""))</f>
        <v>1</v>
      </c>
      <c r="AY638" s="63">
        <f>IF(AX638=1,COUNTIF($AX$3:AX638,1),"")</f>
        <v>636</v>
      </c>
      <c r="AZ638" s="63" t="str">
        <f>IFERROR(INDEX($AM$3:$AM$1165,MATCH(ROWS($AY$3:AY638),$AY$3:$AY$1165,0)),"")</f>
        <v>MBSCCEligibilityFlag</v>
      </c>
    </row>
    <row r="639" spans="39:52" x14ac:dyDescent="0.2">
      <c r="AM639" s="63" t="s">
        <v>2287</v>
      </c>
      <c r="AN639" s="63" t="s">
        <v>2288</v>
      </c>
      <c r="AO639" s="63"/>
      <c r="AP639" s="63"/>
      <c r="AQ639" s="63"/>
      <c r="AR639" s="63"/>
      <c r="AS639" s="63"/>
      <c r="AT639" s="63"/>
      <c r="AV639" s="63"/>
      <c r="AW639" s="63"/>
      <c r="AX639" s="63">
        <f>--ISNUMBER(IFERROR(SEARCH(Tempset!$M$4,AM639,1),""))</f>
        <v>1</v>
      </c>
      <c r="AY639" s="63">
        <f>IF(AX639=1,COUNTIF($AX$3:AX639,1),"")</f>
        <v>637</v>
      </c>
      <c r="AZ639" s="63" t="str">
        <f>IFERROR(INDEX($AM$3:$AM$1165,MATCH(ROWS($AY$3:AY639),$AY$3:$AY$1165,0)),"")</f>
        <v>MDARValue</v>
      </c>
    </row>
    <row r="640" spans="39:52" x14ac:dyDescent="0.2">
      <c r="AM640" s="63" t="s">
        <v>2289</v>
      </c>
      <c r="AN640" s="63" t="s">
        <v>2290</v>
      </c>
      <c r="AO640" s="63"/>
      <c r="AP640" s="63"/>
      <c r="AQ640" s="63"/>
      <c r="AR640" s="63"/>
      <c r="AS640" s="63"/>
      <c r="AT640" s="63"/>
      <c r="AV640" s="63"/>
      <c r="AW640" s="63"/>
      <c r="AX640" s="63">
        <f>--ISNUMBER(IFERROR(SEARCH(Tempset!$M$4,AM640,1),""))</f>
        <v>1</v>
      </c>
      <c r="AY640" s="63">
        <f>IF(AX640=1,COUNTIF($AX$3:AX640,1),"")</f>
        <v>638</v>
      </c>
      <c r="AZ640" s="63" t="str">
        <f>IFERROR(INDEX($AM$3:$AM$1165,MATCH(ROWS($AY$3:AY640),$AY$3:$AY$1165,0)),"")</f>
        <v>mediumAndLongTermDebts</v>
      </c>
    </row>
    <row r="641" spans="39:52" x14ac:dyDescent="0.2">
      <c r="AM641" s="63" t="s">
        <v>2291</v>
      </c>
      <c r="AN641" s="63" t="s">
        <v>2292</v>
      </c>
      <c r="AO641" s="63"/>
      <c r="AP641" s="63"/>
      <c r="AQ641" s="63"/>
      <c r="AR641" s="63"/>
      <c r="AS641" s="63"/>
      <c r="AT641" s="63"/>
      <c r="AV641" s="63"/>
      <c r="AW641" s="63"/>
      <c r="AX641" s="63">
        <f>--ISNUMBER(IFERROR(SEARCH(Tempset!$M$4,AM641,1),""))</f>
        <v>1</v>
      </c>
      <c r="AY641" s="63">
        <f>IF(AX641=1,COUNTIF($AX$3:AX641,1),"")</f>
        <v>639</v>
      </c>
      <c r="AZ641" s="63" t="str">
        <f>IFERROR(INDEX($AM$3:$AM$1165,MATCH(ROWS($AY$3:AY641),$AY$3:$AY$1165,0)),"")</f>
        <v>mergerDealId</v>
      </c>
    </row>
    <row r="642" spans="39:52" x14ac:dyDescent="0.2">
      <c r="AM642" s="63" t="s">
        <v>2293</v>
      </c>
      <c r="AN642" s="63" t="s">
        <v>2294</v>
      </c>
      <c r="AO642" s="63"/>
      <c r="AP642" s="63"/>
      <c r="AQ642" s="63"/>
      <c r="AR642" s="63"/>
      <c r="AS642" s="63"/>
      <c r="AT642" s="63"/>
      <c r="AV642" s="63"/>
      <c r="AW642" s="63"/>
      <c r="AX642" s="63">
        <f>--ISNUMBER(IFERROR(SEARCH(Tempset!$M$4,AM642,1),""))</f>
        <v>1</v>
      </c>
      <c r="AY642" s="63">
        <f>IF(AX642=1,COUNTIF($AX$3:AX642,1),"")</f>
        <v>640</v>
      </c>
      <c r="AZ642" s="63" t="str">
        <f>IFERROR(INDEX($AM$3:$AM$1165,MATCH(ROWS($AY$3:AY642),$AY$3:$AY$1165,0)),"")</f>
        <v>mergerOfferType</v>
      </c>
    </row>
    <row r="643" spans="39:52" x14ac:dyDescent="0.2">
      <c r="AM643" s="63" t="s">
        <v>2295</v>
      </c>
      <c r="AN643" s="63" t="s">
        <v>2296</v>
      </c>
      <c r="AO643" s="63"/>
      <c r="AP643" s="63"/>
      <c r="AQ643" s="63"/>
      <c r="AR643" s="63"/>
      <c r="AS643" s="63"/>
      <c r="AT643" s="63"/>
      <c r="AV643" s="63"/>
      <c r="AW643" s="63"/>
      <c r="AX643" s="63">
        <f>--ISNUMBER(IFERROR(SEARCH(Tempset!$M$4,AM643,1),""))</f>
        <v>1</v>
      </c>
      <c r="AY643" s="63">
        <f>IF(AX643=1,COUNTIF($AX$3:AX643,1),"")</f>
        <v>641</v>
      </c>
      <c r="AZ643" s="63" t="str">
        <f>IFERROR(INDEX($AM$3:$AM$1165,MATCH(ROWS($AY$3:AY643),$AY$3:$AY$1165,0)),"")</f>
        <v>mezzCDSCltrlAmtCHF</v>
      </c>
    </row>
    <row r="644" spans="39:52" x14ac:dyDescent="0.2">
      <c r="AM644" s="63" t="s">
        <v>2297</v>
      </c>
      <c r="AN644" s="63" t="s">
        <v>2298</v>
      </c>
      <c r="AO644" s="63"/>
      <c r="AP644" s="63"/>
      <c r="AQ644" s="63"/>
      <c r="AR644" s="63"/>
      <c r="AS644" s="63"/>
      <c r="AT644" s="63"/>
      <c r="AV644" s="63"/>
      <c r="AW644" s="63"/>
      <c r="AX644" s="63">
        <f>--ISNUMBER(IFERROR(SEARCH(Tempset!$M$4,AM644,1),""))</f>
        <v>1</v>
      </c>
      <c r="AY644" s="63">
        <f>IF(AX644=1,COUNTIF($AX$3:AX644,1),"")</f>
        <v>642</v>
      </c>
      <c r="AZ644" s="63" t="str">
        <f>IFERROR(INDEX($AM$3:$AM$1165,MATCH(ROWS($AY$3:AY644),$AY$3:$AY$1165,0)),"")</f>
        <v>mezzCDSCurrencyCd</v>
      </c>
    </row>
    <row r="645" spans="39:52" x14ac:dyDescent="0.2">
      <c r="AM645" s="63" t="s">
        <v>2299</v>
      </c>
      <c r="AN645" s="63" t="s">
        <v>2300</v>
      </c>
      <c r="AO645" s="63"/>
      <c r="AP645" s="63"/>
      <c r="AQ645" s="63"/>
      <c r="AR645" s="63"/>
      <c r="AS645" s="63"/>
      <c r="AT645" s="63"/>
      <c r="AV645" s="63"/>
      <c r="AW645" s="63"/>
      <c r="AX645" s="63">
        <f>--ISNUMBER(IFERROR(SEARCH(Tempset!$M$4,AM645,1),""))</f>
        <v>1</v>
      </c>
      <c r="AY645" s="63">
        <f>IF(AX645=1,COUNTIF($AX$3:AX645,1),"")</f>
        <v>643</v>
      </c>
      <c r="AZ645" s="63" t="str">
        <f>IFERROR(INDEX($AM$3:$AM$1165,MATCH(ROWS($AY$3:AY645),$AY$3:$AY$1165,0)),"")</f>
        <v>mezzCDSMaturityDt</v>
      </c>
    </row>
    <row r="646" spans="39:52" x14ac:dyDescent="0.2">
      <c r="AM646" s="63" t="s">
        <v>2301</v>
      </c>
      <c r="AN646" s="63" t="s">
        <v>2302</v>
      </c>
      <c r="AO646" s="63"/>
      <c r="AP646" s="63"/>
      <c r="AQ646" s="63"/>
      <c r="AR646" s="63"/>
      <c r="AS646" s="63"/>
      <c r="AT646" s="63"/>
      <c r="AV646" s="63"/>
      <c r="AW646" s="63"/>
      <c r="AX646" s="63">
        <f>--ISNUMBER(IFERROR(SEARCH(Tempset!$M$4,AM646,1),""))</f>
        <v>1</v>
      </c>
      <c r="AY646" s="63">
        <f>IF(AX646=1,COUNTIF($AX$3:AX646,1),"")</f>
        <v>644</v>
      </c>
      <c r="AZ646" s="63" t="str">
        <f>IFERROR(INDEX($AM$3:$AM$1165,MATCH(ROWS($AY$3:AY646),$AY$3:$AY$1165,0)),"")</f>
        <v>mezzCDSMtmAmtCHF</v>
      </c>
    </row>
    <row r="647" spans="39:52" x14ac:dyDescent="0.2">
      <c r="AM647" s="63" t="s">
        <v>2303</v>
      </c>
      <c r="AN647" s="63" t="s">
        <v>2304</v>
      </c>
      <c r="AO647" s="63"/>
      <c r="AP647" s="63"/>
      <c r="AQ647" s="63"/>
      <c r="AR647" s="63"/>
      <c r="AS647" s="63"/>
      <c r="AT647" s="63"/>
      <c r="AV647" s="63"/>
      <c r="AW647" s="63"/>
      <c r="AX647" s="63">
        <f>--ISNUMBER(IFERROR(SEARCH(Tempset!$M$4,AM647,1),""))</f>
        <v>1</v>
      </c>
      <c r="AY647" s="63">
        <f>IF(AX647=1,COUNTIF($AX$3:AX647,1),"")</f>
        <v>645</v>
      </c>
      <c r="AZ647" s="63" t="str">
        <f>IFERROR(INDEX($AM$3:$AM$1165,MATCH(ROWS($AY$3:AY647),$AY$3:$AY$1165,0)),"")</f>
        <v>mezzCDSNtnlAmtCHF</v>
      </c>
    </row>
    <row r="648" spans="39:52" x14ac:dyDescent="0.2">
      <c r="AM648" s="63" t="s">
        <v>2305</v>
      </c>
      <c r="AN648" s="63" t="s">
        <v>2306</v>
      </c>
      <c r="AO648" s="63"/>
      <c r="AP648" s="63"/>
      <c r="AQ648" s="63"/>
      <c r="AR648" s="63"/>
      <c r="AS648" s="63"/>
      <c r="AT648" s="63"/>
      <c r="AV648" s="63"/>
      <c r="AW648" s="63"/>
      <c r="AX648" s="63">
        <f>--ISNUMBER(IFERROR(SEARCH(Tempset!$M$4,AM648,1),""))</f>
        <v>1</v>
      </c>
      <c r="AY648" s="63">
        <f>IF(AX648=1,COUNTIF($AX$3:AX648,1),"")</f>
        <v>646</v>
      </c>
      <c r="AZ648" s="63" t="str">
        <f>IFERROR(INDEX($AM$3:$AM$1165,MATCH(ROWS($AY$3:AY648),$AY$3:$AY$1165,0)),"")</f>
        <v>mezzCDSOrigExposureID</v>
      </c>
    </row>
    <row r="649" spans="39:52" x14ac:dyDescent="0.2">
      <c r="AM649" s="63" t="s">
        <v>2307</v>
      </c>
      <c r="AN649" s="63" t="s">
        <v>2308</v>
      </c>
      <c r="AO649" s="63"/>
      <c r="AP649" s="63"/>
      <c r="AQ649" s="63"/>
      <c r="AR649" s="63"/>
      <c r="AS649" s="63"/>
      <c r="AT649" s="63"/>
      <c r="AV649" s="63"/>
      <c r="AW649" s="63"/>
      <c r="AX649" s="63">
        <f>--ISNUMBER(IFERROR(SEARCH(Tempset!$M$4,AM649,1),""))</f>
        <v>1</v>
      </c>
      <c r="AY649" s="63">
        <f>IF(AX649=1,COUNTIF($AX$3:AX649,1),"")</f>
        <v>647</v>
      </c>
      <c r="AZ649" s="63" t="str">
        <f>IFERROR(INDEX($AM$3:$AM$1165,MATCH(ROWS($AY$3:AY649),$AY$3:$AY$1165,0)),"")</f>
        <v>mezzPercentage</v>
      </c>
    </row>
    <row r="650" spans="39:52" x14ac:dyDescent="0.2">
      <c r="AM650" s="63" t="s">
        <v>2309</v>
      </c>
      <c r="AN650" s="63" t="s">
        <v>2310</v>
      </c>
      <c r="AO650" s="63"/>
      <c r="AP650" s="63"/>
      <c r="AQ650" s="63"/>
      <c r="AR650" s="63"/>
      <c r="AS650" s="63"/>
      <c r="AT650" s="63"/>
      <c r="AV650" s="63"/>
      <c r="AW650" s="63"/>
      <c r="AX650" s="63">
        <f>--ISNUMBER(IFERROR(SEARCH(Tempset!$M$4,AM650,1),""))</f>
        <v>1</v>
      </c>
      <c r="AY650" s="63">
        <f>IF(AX650=1,COUNTIF($AX$3:AX650,1),"")</f>
        <v>648</v>
      </c>
      <c r="AZ650" s="63" t="str">
        <f>IFERROR(INDEX($AM$3:$AM$1165,MATCH(ROWS($AY$3:AY650),$AY$3:$AY$1165,0)),"")</f>
        <v>mezzTrnchCptyID</v>
      </c>
    </row>
    <row r="651" spans="39:52" x14ac:dyDescent="0.2">
      <c r="AM651" s="63" t="s">
        <v>2311</v>
      </c>
      <c r="AN651" s="63" t="s">
        <v>2312</v>
      </c>
      <c r="AO651" s="63"/>
      <c r="AP651" s="63"/>
      <c r="AQ651" s="63"/>
      <c r="AR651" s="63"/>
      <c r="AS651" s="63"/>
      <c r="AT651" s="63"/>
      <c r="AV651" s="63"/>
      <c r="AW651" s="63"/>
      <c r="AX651" s="63">
        <f>--ISNUMBER(IFERROR(SEARCH(Tempset!$M$4,AM651,1),""))</f>
        <v>1</v>
      </c>
      <c r="AY651" s="63">
        <f>IF(AX651=1,COUNTIF($AX$3:AX651,1),"")</f>
        <v>649</v>
      </c>
      <c r="AZ651" s="63" t="str">
        <f>IFERROR(INDEX($AM$3:$AM$1165,MATCH(ROWS($AY$3:AY651),$AY$3:$AY$1165,0)),"")</f>
        <v>mezzTrnchNetAmtCHF</v>
      </c>
    </row>
    <row r="652" spans="39:52" x14ac:dyDescent="0.2">
      <c r="AM652" s="63" t="s">
        <v>2313</v>
      </c>
      <c r="AN652" s="63" t="s">
        <v>2314</v>
      </c>
      <c r="AO652" s="63"/>
      <c r="AP652" s="63"/>
      <c r="AQ652" s="63"/>
      <c r="AR652" s="63"/>
      <c r="AS652" s="63"/>
      <c r="AT652" s="63"/>
      <c r="AV652" s="63"/>
      <c r="AW652" s="63"/>
      <c r="AX652" s="63">
        <f>--ISNUMBER(IFERROR(SEARCH(Tempset!$M$4,AM652,1),""))</f>
        <v>1</v>
      </c>
      <c r="AY652" s="63">
        <f>IF(AX652=1,COUNTIF($AX$3:AX652,1),"")</f>
        <v>650</v>
      </c>
      <c r="AZ652" s="63" t="str">
        <f>IFERROR(INDEX($AM$3:$AM$1165,MATCH(ROWS($AY$3:AY652),$AY$3:$AY$1165,0)),"")</f>
        <v>migrationAndDefaultProbablityParameters</v>
      </c>
    </row>
    <row r="653" spans="39:52" x14ac:dyDescent="0.2">
      <c r="AM653" s="63" t="s">
        <v>2315</v>
      </c>
      <c r="AN653" s="63" t="s">
        <v>2316</v>
      </c>
      <c r="AO653" s="63"/>
      <c r="AP653" s="63"/>
      <c r="AQ653" s="63"/>
      <c r="AR653" s="63"/>
      <c r="AS653" s="63"/>
      <c r="AT653" s="63"/>
      <c r="AV653" s="63"/>
      <c r="AW653" s="63"/>
      <c r="AX653" s="63">
        <f>--ISNUMBER(IFERROR(SEARCH(Tempset!$M$4,AM653,1),""))</f>
        <v>1</v>
      </c>
      <c r="AY653" s="63">
        <f>IF(AX653=1,COUNTIF($AX$3:AX653,1),"")</f>
        <v>651</v>
      </c>
      <c r="AZ653" s="63" t="str">
        <f>IFERROR(INDEX($AM$3:$AM$1165,MATCH(ROWS($AY$3:AY653),$AY$3:$AY$1165,0)),"")</f>
        <v>migrationCCFValue</v>
      </c>
    </row>
    <row r="654" spans="39:52" x14ac:dyDescent="0.2">
      <c r="AM654" s="63" t="s">
        <v>2317</v>
      </c>
      <c r="AN654" s="63" t="s">
        <v>2318</v>
      </c>
      <c r="AO654" s="63"/>
      <c r="AP654" s="63"/>
      <c r="AQ654" s="63"/>
      <c r="AR654" s="63"/>
      <c r="AS654" s="63"/>
      <c r="AT654" s="63"/>
      <c r="AV654" s="63"/>
      <c r="AW654" s="63"/>
      <c r="AX654" s="63">
        <f>--ISNUMBER(IFERROR(SEARCH(Tempset!$M$4,AM654,1),""))</f>
        <v>1</v>
      </c>
      <c r="AY654" s="63">
        <f>IF(AX654=1,COUNTIF($AX$3:AX654,1),"")</f>
        <v>652</v>
      </c>
      <c r="AZ654" s="63" t="str">
        <f>IFERROR(INDEX($AM$3:$AM$1165,MATCH(ROWS($AY$3:AY654),$AY$3:$AY$1165,0)),"")</f>
        <v>migrationDelta</v>
      </c>
    </row>
    <row r="655" spans="39:52" x14ac:dyDescent="0.2">
      <c r="AM655" s="63" t="s">
        <v>2319</v>
      </c>
      <c r="AN655" s="63" t="s">
        <v>2320</v>
      </c>
      <c r="AO655" s="63"/>
      <c r="AP655" s="63"/>
      <c r="AQ655" s="63"/>
      <c r="AR655" s="63"/>
      <c r="AS655" s="63"/>
      <c r="AT655" s="63"/>
      <c r="AV655" s="63"/>
      <c r="AW655" s="63"/>
      <c r="AX655" s="63">
        <f>--ISNUMBER(IFERROR(SEARCH(Tempset!$M$4,AM655,1),""))</f>
        <v>1</v>
      </c>
      <c r="AY655" s="63">
        <f>IF(AX655=1,COUNTIF($AX$3:AX655,1),"")</f>
        <v>653</v>
      </c>
      <c r="AZ655" s="63" t="str">
        <f>IFERROR(INDEX($AM$3:$AM$1165,MATCH(ROWS($AY$3:AY655),$AY$3:$AY$1165,0)),"")</f>
        <v>minimumTransferAmount</v>
      </c>
    </row>
    <row r="656" spans="39:52" x14ac:dyDescent="0.2">
      <c r="AM656" s="63" t="s">
        <v>2321</v>
      </c>
      <c r="AN656" s="63" t="s">
        <v>2322</v>
      </c>
      <c r="AO656" s="63"/>
      <c r="AP656" s="63"/>
      <c r="AQ656" s="63"/>
      <c r="AR656" s="63"/>
      <c r="AS656" s="63"/>
      <c r="AT656" s="63"/>
      <c r="AV656" s="63"/>
      <c r="AW656" s="63"/>
      <c r="AX656" s="63">
        <f>--ISNUMBER(IFERROR(SEARCH(Tempset!$M$4,AM656,1),""))</f>
        <v>1</v>
      </c>
      <c r="AY656" s="63">
        <f>IF(AX656=1,COUNTIF($AX$3:AX656,1),"")</f>
        <v>654</v>
      </c>
      <c r="AZ656" s="63" t="str">
        <f>IFERROR(INDEX($AM$3:$AM$1165,MATCH(ROWS($AY$3:AY656),$AY$3:$AY$1165,0)),"")</f>
        <v>MISOfficeCode</v>
      </c>
    </row>
    <row r="657" spans="39:52" x14ac:dyDescent="0.2">
      <c r="AM657" s="63" t="s">
        <v>2323</v>
      </c>
      <c r="AN657" s="63" t="s">
        <v>2324</v>
      </c>
      <c r="AO657" s="63"/>
      <c r="AP657" s="63"/>
      <c r="AQ657" s="63"/>
      <c r="AR657" s="63"/>
      <c r="AS657" s="63"/>
      <c r="AT657" s="63"/>
      <c r="AV657" s="63"/>
      <c r="AW657" s="63"/>
      <c r="AX657" s="63">
        <f>--ISNUMBER(IFERROR(SEARCH(Tempset!$M$4,AM657,1),""))</f>
        <v>1</v>
      </c>
      <c r="AY657" s="63">
        <f>IF(AX657=1,COUNTIF($AX$3:AX657,1),"")</f>
        <v>655</v>
      </c>
      <c r="AZ657" s="63" t="str">
        <f>IFERROR(INDEX($AM$3:$AM$1165,MATCH(ROWS($AY$3:AY657),$AY$3:$AY$1165,0)),"")</f>
        <v>misOrgUnitId</v>
      </c>
    </row>
    <row r="658" spans="39:52" x14ac:dyDescent="0.2">
      <c r="AM658" s="63" t="s">
        <v>2325</v>
      </c>
      <c r="AN658" s="63" t="s">
        <v>2326</v>
      </c>
      <c r="AO658" s="63"/>
      <c r="AP658" s="63"/>
      <c r="AQ658" s="63"/>
      <c r="AR658" s="63"/>
      <c r="AS658" s="63"/>
      <c r="AT658" s="63"/>
      <c r="AV658" s="63"/>
      <c r="AW658" s="63"/>
      <c r="AX658" s="63">
        <f>--ISNUMBER(IFERROR(SEARCH(Tempset!$M$4,AM658,1),""))</f>
        <v>1</v>
      </c>
      <c r="AY658" s="63">
        <f>IF(AX658=1,COUNTIF($AX$3:AX658,1),"")</f>
        <v>656</v>
      </c>
      <c r="AZ658" s="63" t="str">
        <f>IFERROR(INDEX($AM$3:$AM$1165,MATCH(ROWS($AY$3:AY658),$AY$3:$AY$1165,0)),"")</f>
        <v>MISProduct</v>
      </c>
    </row>
    <row r="659" spans="39:52" x14ac:dyDescent="0.2">
      <c r="AM659" s="63" t="s">
        <v>2327</v>
      </c>
      <c r="AN659" s="63" t="s">
        <v>2328</v>
      </c>
      <c r="AO659" s="63"/>
      <c r="AP659" s="63"/>
      <c r="AQ659" s="63"/>
      <c r="AR659" s="63"/>
      <c r="AS659" s="63"/>
      <c r="AT659" s="63"/>
      <c r="AV659" s="63"/>
      <c r="AW659" s="63"/>
      <c r="AX659" s="63">
        <f>--ISNUMBER(IFERROR(SEARCH(Tempset!$M$4,AM659,1),""))</f>
        <v>1</v>
      </c>
      <c r="AY659" s="63">
        <f>IF(AX659=1,COUNTIF($AX$3:AX659,1),"")</f>
        <v>657</v>
      </c>
      <c r="AZ659" s="63" t="str">
        <f>IFERROR(INDEX($AM$3:$AM$1165,MATCH(ROWS($AY$3:AY659),$AY$3:$AY$1165,0)),"")</f>
        <v>MMLERCValue</v>
      </c>
    </row>
    <row r="660" spans="39:52" x14ac:dyDescent="0.2">
      <c r="AM660" s="63" t="s">
        <v>2329</v>
      </c>
      <c r="AN660" s="63" t="s">
        <v>2330</v>
      </c>
      <c r="AO660" s="63"/>
      <c r="AP660" s="63"/>
      <c r="AQ660" s="63"/>
      <c r="AR660" s="63"/>
      <c r="AS660" s="63"/>
      <c r="AT660" s="63"/>
      <c r="AV660" s="63"/>
      <c r="AW660" s="63"/>
      <c r="AX660" s="63">
        <f>--ISNUMBER(IFERROR(SEARCH(Tempset!$M$4,AM660,1),""))</f>
        <v>1</v>
      </c>
      <c r="AY660" s="63">
        <f>IF(AX660=1,COUNTIF($AX$3:AX660,1),"")</f>
        <v>658</v>
      </c>
      <c r="AZ660" s="63" t="str">
        <f>IFERROR(INDEX($AM$3:$AM$1165,MATCH(ROWS($AY$3:AY660),$AY$3:$AY$1165,0)),"")</f>
        <v>modifiedDurationValue</v>
      </c>
    </row>
    <row r="661" spans="39:52" x14ac:dyDescent="0.2">
      <c r="AM661" s="63" t="s">
        <v>2331</v>
      </c>
      <c r="AN661" s="63" t="s">
        <v>2332</v>
      </c>
      <c r="AO661" s="63"/>
      <c r="AP661" s="63"/>
      <c r="AQ661" s="63"/>
      <c r="AR661" s="63"/>
      <c r="AS661" s="63"/>
      <c r="AT661" s="63"/>
      <c r="AV661" s="63"/>
      <c r="AW661" s="63"/>
      <c r="AX661" s="63">
        <f>--ISNUMBER(IFERROR(SEARCH(Tempset!$M$4,AM661,1),""))</f>
        <v>1</v>
      </c>
      <c r="AY661" s="63">
        <f>IF(AX661=1,COUNTIF($AX$3:AX661,1),"")</f>
        <v>659</v>
      </c>
      <c r="AZ661" s="63" t="str">
        <f>IFERROR(INDEX($AM$3:$AM$1165,MATCH(ROWS($AY$3:AY661),$AY$3:$AY$1165,0)),"")</f>
        <v>modifiedModifiedRestructuring</v>
      </c>
    </row>
    <row r="662" spans="39:52" x14ac:dyDescent="0.2">
      <c r="AM662" s="63" t="s">
        <v>2333</v>
      </c>
      <c r="AN662" s="63" t="s">
        <v>2334</v>
      </c>
      <c r="AO662" s="63"/>
      <c r="AP662" s="63"/>
      <c r="AQ662" s="63"/>
      <c r="AR662" s="63"/>
      <c r="AS662" s="63"/>
      <c r="AT662" s="63"/>
      <c r="AV662" s="63"/>
      <c r="AW662" s="63"/>
      <c r="AX662" s="63">
        <f>--ISNUMBER(IFERROR(SEARCH(Tempset!$M$4,AM662,1),""))</f>
        <v>1</v>
      </c>
      <c r="AY662" s="63">
        <f>IF(AX662=1,COUNTIF($AX$3:AX662,1),"")</f>
        <v>660</v>
      </c>
      <c r="AZ662" s="63" t="str">
        <f>IFERROR(INDEX($AM$3:$AM$1165,MATCH(ROWS($AY$3:AY662),$AY$3:$AY$1165,0)),"")</f>
        <v>mostLikelySettlementDate</v>
      </c>
    </row>
    <row r="663" spans="39:52" x14ac:dyDescent="0.2">
      <c r="AM663" s="63" t="s">
        <v>2335</v>
      </c>
      <c r="AN663" s="63" t="s">
        <v>2336</v>
      </c>
      <c r="AO663" s="63"/>
      <c r="AP663" s="63"/>
      <c r="AQ663" s="63"/>
      <c r="AR663" s="63"/>
      <c r="AS663" s="63"/>
      <c r="AT663" s="63"/>
      <c r="AV663" s="63"/>
      <c r="AW663" s="63"/>
      <c r="AX663" s="63">
        <f>--ISNUMBER(IFERROR(SEARCH(Tempset!$M$4,AM663,1),""))</f>
        <v>1</v>
      </c>
      <c r="AY663" s="63">
        <f>IF(AX663=1,COUNTIF($AX$3:AX663,1),"")</f>
        <v>661</v>
      </c>
      <c r="AZ663" s="63" t="str">
        <f>IFERROR(INDEX($AM$3:$AM$1165,MATCH(ROWS($AY$3:AY663),$AY$3:$AY$1165,0)),"")</f>
        <v>mostRecentAUM</v>
      </c>
    </row>
    <row r="664" spans="39:52" x14ac:dyDescent="0.2">
      <c r="AM664" s="63" t="s">
        <v>2337</v>
      </c>
      <c r="AN664" s="63" t="s">
        <v>2338</v>
      </c>
      <c r="AO664" s="63"/>
      <c r="AP664" s="63"/>
      <c r="AQ664" s="63"/>
      <c r="AR664" s="63"/>
      <c r="AS664" s="63"/>
      <c r="AT664" s="63"/>
      <c r="AV664" s="63"/>
      <c r="AW664" s="63"/>
      <c r="AX664" s="63">
        <f>--ISNUMBER(IFERROR(SEARCH(Tempset!$M$4,AM664,1),""))</f>
        <v>1</v>
      </c>
      <c r="AY664" s="63">
        <f>IF(AX664=1,COUNTIF($AX$3:AX664,1),"")</f>
        <v>662</v>
      </c>
      <c r="AZ664" s="63" t="str">
        <f>IFERROR(INDEX($AM$3:$AM$1165,MATCH(ROWS($AY$3:AY664),$AY$3:$AY$1165,0)),"")</f>
        <v>mostRecentFundNAV</v>
      </c>
    </row>
    <row r="665" spans="39:52" x14ac:dyDescent="0.2">
      <c r="AM665" s="63" t="s">
        <v>2339</v>
      </c>
      <c r="AN665" s="63" t="s">
        <v>2340</v>
      </c>
      <c r="AO665" s="63"/>
      <c r="AP665" s="63"/>
      <c r="AQ665" s="63"/>
      <c r="AR665" s="63"/>
      <c r="AS665" s="63"/>
      <c r="AT665" s="63"/>
      <c r="AV665" s="63"/>
      <c r="AW665" s="63"/>
      <c r="AX665" s="63">
        <f>--ISNUMBER(IFERROR(SEARCH(Tempset!$M$4,AM665,1),""))</f>
        <v>1</v>
      </c>
      <c r="AY665" s="63">
        <f>IF(AX665=1,COUNTIF($AX$3:AX665,1),"")</f>
        <v>663</v>
      </c>
      <c r="AZ665" s="63" t="str">
        <f>IFERROR(INDEX($AM$3:$AM$1165,MATCH(ROWS($AY$3:AY665),$AY$3:$AY$1165,0)),"")</f>
        <v>MSCISectorCode</v>
      </c>
    </row>
    <row r="666" spans="39:52" x14ac:dyDescent="0.2">
      <c r="AM666" s="63" t="s">
        <v>2341</v>
      </c>
      <c r="AN666" s="63" t="s">
        <v>2342</v>
      </c>
      <c r="AO666" s="63"/>
      <c r="AP666" s="63"/>
      <c r="AQ666" s="63"/>
      <c r="AR666" s="63"/>
      <c r="AS666" s="63"/>
      <c r="AT666" s="63"/>
      <c r="AV666" s="63"/>
      <c r="AW666" s="63"/>
      <c r="AX666" s="63">
        <f>--ISNUMBER(IFERROR(SEARCH(Tempset!$M$4,AM666,1),""))</f>
        <v>1</v>
      </c>
      <c r="AY666" s="63">
        <f>IF(AX666=1,COUNTIF($AX$3:AX666,1),"")</f>
        <v>664</v>
      </c>
      <c r="AZ666" s="63" t="str">
        <f>IFERROR(INDEX($AM$3:$AM$1165,MATCH(ROWS($AY$3:AY666),$AY$3:$AY$1165,0)),"")</f>
        <v>MTMValue</v>
      </c>
    </row>
    <row r="667" spans="39:52" x14ac:dyDescent="0.2">
      <c r="AM667" s="63" t="s">
        <v>2343</v>
      </c>
      <c r="AN667" s="63" t="s">
        <v>2344</v>
      </c>
      <c r="AO667" s="63"/>
      <c r="AP667" s="63"/>
      <c r="AQ667" s="63"/>
      <c r="AR667" s="63"/>
      <c r="AS667" s="63"/>
      <c r="AT667" s="63"/>
      <c r="AV667" s="63"/>
      <c r="AW667" s="63"/>
      <c r="AX667" s="63">
        <f>--ISNUMBER(IFERROR(SEARCH(Tempset!$M$4,AM667,1),""))</f>
        <v>1</v>
      </c>
      <c r="AY667" s="63">
        <f>IF(AX667=1,COUNTIF($AX$3:AX667,1),"")</f>
        <v>665</v>
      </c>
      <c r="AZ667" s="63" t="str">
        <f>IFERROR(INDEX($AM$3:$AM$1165,MATCH(ROWS($AY$3:AY667),$AY$3:$AY$1165,0)),"")</f>
        <v>MTMValueCCY</v>
      </c>
    </row>
    <row r="668" spans="39:52" x14ac:dyDescent="0.2">
      <c r="AM668" s="63" t="s">
        <v>2345</v>
      </c>
      <c r="AN668" s="63" t="s">
        <v>2346</v>
      </c>
      <c r="AO668" s="63"/>
      <c r="AP668" s="63"/>
      <c r="AQ668" s="63"/>
      <c r="AR668" s="63"/>
      <c r="AS668" s="63"/>
      <c r="AT668" s="63"/>
      <c r="AV668" s="63"/>
      <c r="AW668" s="63"/>
      <c r="AX668" s="63">
        <f>--ISNUMBER(IFERROR(SEARCH(Tempset!$M$4,AM668,1),""))</f>
        <v>1</v>
      </c>
      <c r="AY668" s="63">
        <f>IF(AX668=1,COUNTIF($AX$3:AX668,1),"")</f>
        <v>666</v>
      </c>
      <c r="AZ668" s="63" t="str">
        <f>IFERROR(INDEX($AM$3:$AM$1165,MATCH(ROWS($AY$3:AY668),$AY$3:$AY$1165,0)),"")</f>
        <v>MTMValueUnderlying</v>
      </c>
    </row>
    <row r="669" spans="39:52" x14ac:dyDescent="0.2">
      <c r="AM669" s="63" t="s">
        <v>2347</v>
      </c>
      <c r="AN669" s="63" t="s">
        <v>2348</v>
      </c>
      <c r="AO669" s="63"/>
      <c r="AP669" s="63"/>
      <c r="AQ669" s="63"/>
      <c r="AR669" s="63"/>
      <c r="AS669" s="63"/>
      <c r="AT669" s="63"/>
      <c r="AV669" s="63"/>
      <c r="AW669" s="63"/>
      <c r="AX669" s="63">
        <f>--ISNUMBER(IFERROR(SEARCH(Tempset!$M$4,AM669,1),""))</f>
        <v>1</v>
      </c>
      <c r="AY669" s="63">
        <f>IF(AX669=1,COUNTIF($AX$3:AX669,1),"")</f>
        <v>667</v>
      </c>
      <c r="AZ669" s="63" t="str">
        <f>IFERROR(INDEX($AM$3:$AM$1165,MATCH(ROWS($AY$3:AY669),$AY$3:$AY$1165,0)),"")</f>
        <v>multipleholderObligation</v>
      </c>
    </row>
    <row r="670" spans="39:52" x14ac:dyDescent="0.2">
      <c r="AM670" s="63" t="s">
        <v>2349</v>
      </c>
      <c r="AN670" s="63" t="s">
        <v>2350</v>
      </c>
      <c r="AO670" s="63"/>
      <c r="AP670" s="63"/>
      <c r="AQ670" s="63"/>
      <c r="AR670" s="63"/>
      <c r="AS670" s="63"/>
      <c r="AT670" s="63"/>
      <c r="AV670" s="63"/>
      <c r="AW670" s="63"/>
      <c r="AX670" s="63">
        <f>--ISNUMBER(IFERROR(SEARCH(Tempset!$M$4,AM670,1),""))</f>
        <v>1</v>
      </c>
      <c r="AY670" s="63">
        <f>IF(AX670=1,COUNTIF($AX$3:AX670,1),"")</f>
        <v>668</v>
      </c>
      <c r="AZ670" s="63" t="str">
        <f>IFERROR(INDEX($AM$3:$AM$1165,MATCH(ROWS($AY$3:AY670),$AY$3:$AY$1165,0)),"")</f>
        <v>NCBFlag</v>
      </c>
    </row>
    <row r="671" spans="39:52" x14ac:dyDescent="0.2">
      <c r="AM671" s="63" t="s">
        <v>2351</v>
      </c>
      <c r="AN671" s="63" t="s">
        <v>2352</v>
      </c>
      <c r="AO671" s="63"/>
      <c r="AP671" s="63"/>
      <c r="AQ671" s="63"/>
      <c r="AR671" s="63"/>
      <c r="AS671" s="63"/>
      <c r="AT671" s="63"/>
      <c r="AV671" s="63"/>
      <c r="AW671" s="63"/>
      <c r="AX671" s="63">
        <f>--ISNUMBER(IFERROR(SEARCH(Tempset!$M$4,AM671,1),""))</f>
        <v>1</v>
      </c>
      <c r="AY671" s="63">
        <f>IF(AX671=1,COUNTIF($AX$3:AX671,1),"")</f>
        <v>669</v>
      </c>
      <c r="AZ671" s="63" t="str">
        <f>IFERROR(INDEX($AM$3:$AM$1165,MATCH(ROWS($AY$3:AY671),$AY$3:$AY$1165,0)),"")</f>
        <v>NCEIOFlag</v>
      </c>
    </row>
    <row r="672" spans="39:52" x14ac:dyDescent="0.2">
      <c r="AM672" s="63" t="s">
        <v>2353</v>
      </c>
      <c r="AN672" s="63" t="s">
        <v>2354</v>
      </c>
      <c r="AO672" s="63"/>
      <c r="AP672" s="63"/>
      <c r="AQ672" s="63"/>
      <c r="AR672" s="63"/>
      <c r="AS672" s="63"/>
      <c r="AT672" s="63"/>
      <c r="AV672" s="63"/>
      <c r="AW672" s="63"/>
      <c r="AX672" s="63">
        <f>--ISNUMBER(IFERROR(SEARCH(Tempset!$M$4,AM672,1),""))</f>
        <v>1</v>
      </c>
      <c r="AY672" s="63">
        <f>IF(AX672=1,COUNTIF($AX$3:AX672,1),"")</f>
        <v>670</v>
      </c>
      <c r="AZ672" s="63" t="str">
        <f>IFERROR(INDEX($AM$3:$AM$1165,MATCH(ROWS($AY$3:AY672),$AY$3:$AY$1165,0)),"")</f>
        <v>netBookValue</v>
      </c>
    </row>
    <row r="673" spans="39:52" x14ac:dyDescent="0.2">
      <c r="AM673" s="63" t="s">
        <v>2355</v>
      </c>
      <c r="AN673" s="63" t="s">
        <v>2356</v>
      </c>
      <c r="AO673" s="63"/>
      <c r="AP673" s="63"/>
      <c r="AQ673" s="63"/>
      <c r="AR673" s="63"/>
      <c r="AS673" s="63"/>
      <c r="AT673" s="63"/>
      <c r="AV673" s="63"/>
      <c r="AW673" s="63"/>
      <c r="AX673" s="63">
        <f>--ISNUMBER(IFERROR(SEARCH(Tempset!$M$4,AM673,1),""))</f>
        <v>1</v>
      </c>
      <c r="AY673" s="63">
        <f>IF(AX673=1,COUNTIF($AX$3:AX673,1),"")</f>
        <v>671</v>
      </c>
      <c r="AZ673" s="63" t="str">
        <f>IFERROR(INDEX($AM$3:$AM$1165,MATCH(ROWS($AY$3:AY673),$AY$3:$AY$1165,0)),"")</f>
        <v>netEquity</v>
      </c>
    </row>
    <row r="674" spans="39:52" x14ac:dyDescent="0.2">
      <c r="AM674" s="63" t="s">
        <v>2357</v>
      </c>
      <c r="AN674" s="63" t="s">
        <v>2358</v>
      </c>
      <c r="AO674" s="63"/>
      <c r="AP674" s="63"/>
      <c r="AQ674" s="63"/>
      <c r="AR674" s="63"/>
      <c r="AS674" s="63"/>
      <c r="AT674" s="63"/>
      <c r="AV674" s="63"/>
      <c r="AW674" s="63"/>
      <c r="AX674" s="63">
        <f>--ISNUMBER(IFERROR(SEARCH(Tempset!$M$4,AM674,1),""))</f>
        <v>1</v>
      </c>
      <c r="AY674" s="63">
        <f>IF(AX674=1,COUNTIF($AX$3:AX674,1),"")</f>
        <v>672</v>
      </c>
      <c r="AZ674" s="63" t="str">
        <f>IFERROR(INDEX($AM$3:$AM$1165,MATCH(ROWS($AY$3:AY674),$AY$3:$AY$1165,0)),"")</f>
        <v>netExposureAtDefaultValue</v>
      </c>
    </row>
    <row r="675" spans="39:52" x14ac:dyDescent="0.2">
      <c r="AM675" s="63" t="s">
        <v>2359</v>
      </c>
      <c r="AN675" s="63" t="s">
        <v>2360</v>
      </c>
      <c r="AO675" s="63"/>
      <c r="AP675" s="63"/>
      <c r="AQ675" s="63"/>
      <c r="AR675" s="63"/>
      <c r="AS675" s="63"/>
      <c r="AT675" s="63"/>
      <c r="AV675" s="63"/>
      <c r="AW675" s="63"/>
      <c r="AX675" s="63">
        <f>--ISNUMBER(IFERROR(SEARCH(Tempset!$M$4,AM675,1),""))</f>
        <v>1</v>
      </c>
      <c r="AY675" s="63">
        <f>IF(AX675=1,COUNTIF($AX$3:AX675,1),"")</f>
        <v>673</v>
      </c>
      <c r="AZ675" s="63" t="str">
        <f>IFERROR(INDEX($AM$3:$AM$1165,MATCH(ROWS($AY$3:AY675),$AY$3:$AY$1165,0)),"")</f>
        <v>netIndependentCollateralAmount</v>
      </c>
    </row>
    <row r="676" spans="39:52" x14ac:dyDescent="0.2">
      <c r="AM676" s="63" t="s">
        <v>2361</v>
      </c>
      <c r="AN676" s="63" t="s">
        <v>2362</v>
      </c>
      <c r="AO676" s="63"/>
      <c r="AP676" s="63"/>
      <c r="AQ676" s="63"/>
      <c r="AR676" s="63"/>
      <c r="AS676" s="63"/>
      <c r="AT676" s="63"/>
      <c r="AV676" s="63"/>
      <c r="AW676" s="63"/>
      <c r="AX676" s="63">
        <f>--ISNUMBER(IFERROR(SEARCH(Tempset!$M$4,AM676,1),""))</f>
        <v>1</v>
      </c>
      <c r="AY676" s="63">
        <f>IF(AX676=1,COUNTIF($AX$3:AX676,1),"")</f>
        <v>674</v>
      </c>
      <c r="AZ676" s="63" t="str">
        <f>IFERROR(INDEX($AM$3:$AM$1165,MATCH(ROWS($AY$3:AY676),$AY$3:$AY$1165,0)),"")</f>
        <v>netLeasingObligation</v>
      </c>
    </row>
    <row r="677" spans="39:52" x14ac:dyDescent="0.2">
      <c r="AM677" s="63" t="s">
        <v>2363</v>
      </c>
      <c r="AN677" s="63" t="s">
        <v>2364</v>
      </c>
      <c r="AO677" s="63"/>
      <c r="AP677" s="63"/>
      <c r="AQ677" s="63"/>
      <c r="AR677" s="63"/>
      <c r="AS677" s="63"/>
      <c r="AT677" s="63"/>
      <c r="AV677" s="63"/>
      <c r="AW677" s="63"/>
      <c r="AX677" s="63">
        <f>--ISNUMBER(IFERROR(SEARCH(Tempset!$M$4,AM677,1),""))</f>
        <v>1</v>
      </c>
      <c r="AY677" s="63">
        <f>IF(AX677=1,COUNTIF($AX$3:AX677,1),"")</f>
        <v>675</v>
      </c>
      <c r="AZ677" s="63" t="str">
        <f>IFERROR(INDEX($AM$3:$AM$1165,MATCH(ROWS($AY$3:AY677),$AY$3:$AY$1165,0)),"")</f>
        <v>netObligation</v>
      </c>
    </row>
    <row r="678" spans="39:52" x14ac:dyDescent="0.2">
      <c r="AM678" s="63" t="s">
        <v>2365</v>
      </c>
      <c r="AN678" s="63" t="s">
        <v>2366</v>
      </c>
      <c r="AO678" s="63"/>
      <c r="AP678" s="63"/>
      <c r="AQ678" s="63"/>
      <c r="AR678" s="63"/>
      <c r="AS678" s="63"/>
      <c r="AT678" s="63"/>
      <c r="AV678" s="63"/>
      <c r="AW678" s="63"/>
      <c r="AX678" s="63">
        <f>--ISNUMBER(IFERROR(SEARCH(Tempset!$M$4,AM678,1),""))</f>
        <v>1</v>
      </c>
      <c r="AY678" s="63">
        <f>IF(AX678=1,COUNTIF($AX$3:AX678,1),"")</f>
        <v>676</v>
      </c>
      <c r="AZ678" s="63" t="str">
        <f>IFERROR(INDEX($AM$3:$AM$1165,MATCH(ROWS($AY$3:AY678),$AY$3:$AY$1165,0)),"")</f>
        <v>netRevenueValue</v>
      </c>
    </row>
    <row r="679" spans="39:52" x14ac:dyDescent="0.2">
      <c r="AM679" s="63" t="s">
        <v>2367</v>
      </c>
      <c r="AN679" s="63" t="s">
        <v>2368</v>
      </c>
      <c r="AO679" s="63"/>
      <c r="AP679" s="63"/>
      <c r="AQ679" s="63"/>
      <c r="AR679" s="63"/>
      <c r="AS679" s="63"/>
      <c r="AT679" s="63"/>
      <c r="AV679" s="63"/>
      <c r="AW679" s="63"/>
      <c r="AX679" s="63">
        <f>--ISNUMBER(IFERROR(SEARCH(Tempset!$M$4,AM679,1),""))</f>
        <v>1</v>
      </c>
      <c r="AY679" s="63">
        <f>IF(AX679=1,COUNTIF($AX$3:AX679,1),"")</f>
        <v>677</v>
      </c>
      <c r="AZ679" s="63" t="str">
        <f>IFERROR(INDEX($AM$3:$AM$1165,MATCH(ROWS($AY$3:AY679),$AY$3:$AY$1165,0)),"")</f>
        <v>netStableFundingRatioValue</v>
      </c>
    </row>
    <row r="680" spans="39:52" x14ac:dyDescent="0.2">
      <c r="AM680" s="63" t="s">
        <v>2369</v>
      </c>
      <c r="AN680" s="63" t="s">
        <v>2370</v>
      </c>
      <c r="AO680" s="63"/>
      <c r="AP680" s="63"/>
      <c r="AQ680" s="63"/>
      <c r="AR680" s="63"/>
      <c r="AS680" s="63"/>
      <c r="AT680" s="63"/>
      <c r="AV680" s="63"/>
      <c r="AW680" s="63"/>
      <c r="AX680" s="63">
        <f>--ISNUMBER(IFERROR(SEARCH(Tempset!$M$4,AM680,1),""))</f>
        <v>1</v>
      </c>
      <c r="AY680" s="63">
        <f>IF(AX680=1,COUNTIF($AX$3:AX680,1),"")</f>
        <v>678</v>
      </c>
      <c r="AZ680" s="63" t="str">
        <f>IFERROR(INDEX($AM$3:$AM$1165,MATCH(ROWS($AY$3:AY680),$AY$3:$AY$1165,0)),"")</f>
        <v>nettableProductFlag</v>
      </c>
    </row>
    <row r="681" spans="39:52" x14ac:dyDescent="0.2">
      <c r="AM681" s="63" t="s">
        <v>2371</v>
      </c>
      <c r="AN681" s="63" t="s">
        <v>2372</v>
      </c>
      <c r="AO681" s="63"/>
      <c r="AP681" s="63"/>
      <c r="AQ681" s="63"/>
      <c r="AR681" s="63"/>
      <c r="AS681" s="63"/>
      <c r="AT681" s="63"/>
      <c r="AV681" s="63"/>
      <c r="AW681" s="63"/>
      <c r="AX681" s="63">
        <f>--ISNUMBER(IFERROR(SEARCH(Tempset!$M$4,AM681,1),""))</f>
        <v>1</v>
      </c>
      <c r="AY681" s="63">
        <f>IF(AX681=1,COUNTIF($AX$3:AX681,1),"")</f>
        <v>679</v>
      </c>
      <c r="AZ681" s="63" t="str">
        <f>IFERROR(INDEX($AM$3:$AM$1165,MATCH(ROWS($AY$3:AY681),$AY$3:$AY$1165,0)),"")</f>
        <v>nettingAgreementId</v>
      </c>
    </row>
    <row r="682" spans="39:52" x14ac:dyDescent="0.2">
      <c r="AM682" s="63" t="s">
        <v>2373</v>
      </c>
      <c r="AN682" s="63" t="s">
        <v>2374</v>
      </c>
      <c r="AO682" s="63"/>
      <c r="AP682" s="63"/>
      <c r="AQ682" s="63"/>
      <c r="AR682" s="63"/>
      <c r="AS682" s="63"/>
      <c r="AT682" s="63"/>
      <c r="AV682" s="63"/>
      <c r="AW682" s="63"/>
      <c r="AX682" s="63">
        <f>--ISNUMBER(IFERROR(SEARCH(Tempset!$M$4,AM682,1),""))</f>
        <v>1</v>
      </c>
      <c r="AY682" s="63">
        <f>IF(AX682=1,COUNTIF($AX$3:AX682,1),"")</f>
        <v>680</v>
      </c>
      <c r="AZ682" s="63" t="str">
        <f>IFERROR(INDEX($AM$3:$AM$1165,MATCH(ROWS($AY$3:AY682),$AY$3:$AY$1165,0)),"")</f>
        <v>NettingBasketID</v>
      </c>
    </row>
    <row r="683" spans="39:52" x14ac:dyDescent="0.2">
      <c r="AM683" s="63" t="s">
        <v>2375</v>
      </c>
      <c r="AN683" s="63" t="s">
        <v>2376</v>
      </c>
      <c r="AO683" s="63"/>
      <c r="AP683" s="63"/>
      <c r="AQ683" s="63"/>
      <c r="AR683" s="63"/>
      <c r="AS683" s="63"/>
      <c r="AT683" s="63"/>
      <c r="AV683" s="63"/>
      <c r="AW683" s="63"/>
      <c r="AX683" s="63">
        <f>--ISNUMBER(IFERROR(SEARCH(Tempset!$M$4,AM683,1),""))</f>
        <v>1</v>
      </c>
      <c r="AY683" s="63">
        <f>IF(AX683=1,COUNTIF($AX$3:AX683,1),"")</f>
        <v>681</v>
      </c>
      <c r="AZ683" s="63" t="str">
        <f>IFERROR(INDEX($AM$3:$AM$1165,MATCH(ROWS($AY$3:AY683),$AY$3:$AY$1165,0)),"")</f>
        <v>nettingEligibilityType</v>
      </c>
    </row>
    <row r="684" spans="39:52" x14ac:dyDescent="0.2">
      <c r="AM684" s="63" t="s">
        <v>2377</v>
      </c>
      <c r="AN684" s="63" t="s">
        <v>2378</v>
      </c>
      <c r="AO684" s="63"/>
      <c r="AP684" s="63"/>
      <c r="AQ684" s="63"/>
      <c r="AR684" s="63"/>
      <c r="AS684" s="63"/>
      <c r="AT684" s="63"/>
      <c r="AV684" s="63"/>
      <c r="AW684" s="63"/>
      <c r="AX684" s="63">
        <f>--ISNUMBER(IFERROR(SEARCH(Tempset!$M$4,AM684,1),""))</f>
        <v>1</v>
      </c>
      <c r="AY684" s="63">
        <f>IF(AX684=1,COUNTIF($AX$3:AX684,1),"")</f>
        <v>682</v>
      </c>
      <c r="AZ684" s="63" t="str">
        <f>IFERROR(INDEX($AM$3:$AM$1165,MATCH(ROWS($AY$3:AY684),$AY$3:$AY$1165,0)),"")</f>
        <v>nettingEnforcementFlag</v>
      </c>
    </row>
    <row r="685" spans="39:52" x14ac:dyDescent="0.2">
      <c r="AM685" s="63" t="s">
        <v>2379</v>
      </c>
      <c r="AN685" s="63" t="s">
        <v>2380</v>
      </c>
      <c r="AO685" s="63"/>
      <c r="AP685" s="63"/>
      <c r="AQ685" s="63"/>
      <c r="AR685" s="63"/>
      <c r="AS685" s="63"/>
      <c r="AT685" s="63"/>
      <c r="AV685" s="63"/>
      <c r="AW685" s="63"/>
      <c r="AX685" s="63">
        <f>--ISNUMBER(IFERROR(SEARCH(Tempset!$M$4,AM685,1),""))</f>
        <v>1</v>
      </c>
      <c r="AY685" s="63">
        <f>IF(AX685=1,COUNTIF($AX$3:AX685,1),"")</f>
        <v>683</v>
      </c>
      <c r="AZ685" s="63" t="str">
        <f>IFERROR(INDEX($AM$3:$AM$1165,MATCH(ROWS($AY$3:AY685),$AY$3:$AY$1165,0)),"")</f>
        <v>nettingSetId</v>
      </c>
    </row>
    <row r="686" spans="39:52" x14ac:dyDescent="0.2">
      <c r="AM686" s="63" t="s">
        <v>2381</v>
      </c>
      <c r="AN686" s="63" t="s">
        <v>2382</v>
      </c>
      <c r="AO686" s="63"/>
      <c r="AP686" s="63"/>
      <c r="AQ686" s="63"/>
      <c r="AR686" s="63"/>
      <c r="AS686" s="63"/>
      <c r="AT686" s="63"/>
      <c r="AV686" s="63"/>
      <c r="AW686" s="63"/>
      <c r="AX686" s="63">
        <f>--ISNUMBER(IFERROR(SEARCH(Tempset!$M$4,AM686,1),""))</f>
        <v>1</v>
      </c>
      <c r="AY686" s="63">
        <f>IF(AX686=1,COUNTIF($AX$3:AX686,1),"")</f>
        <v>684</v>
      </c>
      <c r="AZ686" s="63" t="str">
        <f>IFERROR(INDEX($AM$3:$AM$1165,MATCH(ROWS($AY$3:AY686),$AY$3:$AY$1165,0)),"")</f>
        <v>nextExerciseDate</v>
      </c>
    </row>
    <row r="687" spans="39:52" x14ac:dyDescent="0.2">
      <c r="AM687" s="63" t="s">
        <v>2383</v>
      </c>
      <c r="AN687" s="63" t="s">
        <v>2384</v>
      </c>
      <c r="AO687" s="63"/>
      <c r="AP687" s="63"/>
      <c r="AQ687" s="63"/>
      <c r="AR687" s="63"/>
      <c r="AS687" s="63"/>
      <c r="AT687" s="63"/>
      <c r="AV687" s="63"/>
      <c r="AW687" s="63"/>
      <c r="AX687" s="63">
        <f>--ISNUMBER(IFERROR(SEARCH(Tempset!$M$4,AM687,1),""))</f>
        <v>1</v>
      </c>
      <c r="AY687" s="63">
        <f>IF(AX687=1,COUNTIF($AX$3:AX687,1),"")</f>
        <v>685</v>
      </c>
      <c r="AZ687" s="63" t="str">
        <f>IFERROR(INDEX($AM$3:$AM$1165,MATCH(ROWS($AY$3:AY687),$AY$3:$AY$1165,0)),"")</f>
        <v>NIIatRiskValue</v>
      </c>
    </row>
    <row r="688" spans="39:52" x14ac:dyDescent="0.2">
      <c r="AM688" s="63" t="s">
        <v>2385</v>
      </c>
      <c r="AN688" s="63" t="s">
        <v>2386</v>
      </c>
      <c r="AO688" s="63"/>
      <c r="AP688" s="63"/>
      <c r="AQ688" s="63"/>
      <c r="AR688" s="63"/>
      <c r="AS688" s="63"/>
      <c r="AT688" s="63"/>
      <c r="AV688" s="63"/>
      <c r="AW688" s="63"/>
      <c r="AX688" s="63">
        <f>--ISNUMBER(IFERROR(SEARCH(Tempset!$M$4,AM688,1),""))</f>
        <v>1</v>
      </c>
      <c r="AY688" s="63">
        <f>IF(AX688=1,COUNTIF($AX$3:AX688,1),"")</f>
        <v>686</v>
      </c>
      <c r="AZ688" s="63" t="str">
        <f>IFERROR(INDEX($AM$3:$AM$1165,MATCH(ROWS($AY$3:AY688),$AY$3:$AY$1165,0)),"")</f>
        <v>NIIatRiskValueCurrency</v>
      </c>
    </row>
    <row r="689" spans="39:52" x14ac:dyDescent="0.2">
      <c r="AM689" s="63" t="s">
        <v>2387</v>
      </c>
      <c r="AN689" s="63" t="s">
        <v>2388</v>
      </c>
      <c r="AO689" s="63"/>
      <c r="AP689" s="63"/>
      <c r="AQ689" s="63"/>
      <c r="AR689" s="63"/>
      <c r="AS689" s="63"/>
      <c r="AT689" s="63"/>
      <c r="AV689" s="63"/>
      <c r="AW689" s="63"/>
      <c r="AX689" s="63">
        <f>--ISNUMBER(IFERROR(SEARCH(Tempset!$M$4,AM689,1),""))</f>
        <v>1</v>
      </c>
      <c r="AY689" s="63">
        <f>IF(AX689=1,COUNTIF($AX$3:AX689,1),"")</f>
        <v>687</v>
      </c>
      <c r="AZ689" s="63" t="str">
        <f>IFERROR(INDEX($AM$3:$AM$1165,MATCH(ROWS($AY$3:AY689),$AY$3:$AY$1165,0)),"")</f>
        <v>NIIValue</v>
      </c>
    </row>
    <row r="690" spans="39:52" x14ac:dyDescent="0.2">
      <c r="AM690" s="63" t="s">
        <v>2389</v>
      </c>
      <c r="AN690" s="63" t="s">
        <v>2390</v>
      </c>
      <c r="AO690" s="63"/>
      <c r="AP690" s="63"/>
      <c r="AQ690" s="63"/>
      <c r="AR690" s="63"/>
      <c r="AS690" s="63"/>
      <c r="AT690" s="63"/>
      <c r="AV690" s="63"/>
      <c r="AW690" s="63"/>
      <c r="AX690" s="63">
        <f>--ISNUMBER(IFERROR(SEARCH(Tempset!$M$4,AM690,1),""))</f>
        <v>1</v>
      </c>
      <c r="AY690" s="63">
        <f>IF(AX690=1,COUNTIF($AX$3:AX690,1),"")</f>
        <v>688</v>
      </c>
      <c r="AZ690" s="63" t="str">
        <f>IFERROR(INDEX($AM$3:$AM$1165,MATCH(ROWS($AY$3:AY690),$AY$3:$AY$1165,0)),"")</f>
        <v>NMPLayer</v>
      </c>
    </row>
    <row r="691" spans="39:52" x14ac:dyDescent="0.2">
      <c r="AM691" s="63" t="s">
        <v>2391</v>
      </c>
      <c r="AN691" s="63" t="s">
        <v>2392</v>
      </c>
      <c r="AO691" s="63"/>
      <c r="AP691" s="63"/>
      <c r="AQ691" s="63"/>
      <c r="AR691" s="63"/>
      <c r="AS691" s="63"/>
      <c r="AT691" s="63"/>
      <c r="AV691" s="63"/>
      <c r="AW691" s="63"/>
      <c r="AX691" s="63">
        <f>--ISNUMBER(IFERROR(SEARCH(Tempset!$M$4,AM691,1),""))</f>
        <v>1</v>
      </c>
      <c r="AY691" s="63">
        <f>IF(AX691=1,COUNTIF($AX$3:AX691,1),"")</f>
        <v>689</v>
      </c>
      <c r="AZ691" s="63" t="str">
        <f>IFERROR(INDEX($AM$3:$AM$1165,MATCH(ROWS($AY$3:AY691),$AY$3:$AY$1165,0)),"")</f>
        <v>NMPReplicationPortfolioId</v>
      </c>
    </row>
    <row r="692" spans="39:52" x14ac:dyDescent="0.2">
      <c r="AM692" s="63" t="s">
        <v>2393</v>
      </c>
      <c r="AN692" s="63" t="s">
        <v>2394</v>
      </c>
      <c r="AO692" s="63"/>
      <c r="AP692" s="63"/>
      <c r="AQ692" s="63"/>
      <c r="AR692" s="63"/>
      <c r="AS692" s="63"/>
      <c r="AT692" s="63"/>
      <c r="AV692" s="63"/>
      <c r="AW692" s="63"/>
      <c r="AX692" s="63">
        <f>--ISNUMBER(IFERROR(SEARCH(Tempset!$M$4,AM692,1),""))</f>
        <v>1</v>
      </c>
      <c r="AY692" s="63">
        <f>IF(AX692=1,COUNTIF($AX$3:AX692,1),"")</f>
        <v>690</v>
      </c>
      <c r="AZ692" s="63" t="str">
        <f>IFERROR(INDEX($AM$3:$AM$1165,MATCH(ROWS($AY$3:AY692),$AY$3:$AY$1165,0)),"")</f>
        <v>NOGACode</v>
      </c>
    </row>
    <row r="693" spans="39:52" x14ac:dyDescent="0.2">
      <c r="AM693" s="63" t="s">
        <v>2395</v>
      </c>
      <c r="AN693" s="63" t="s">
        <v>2396</v>
      </c>
      <c r="AO693" s="63"/>
      <c r="AP693" s="63"/>
      <c r="AQ693" s="63"/>
      <c r="AR693" s="63"/>
      <c r="AS693" s="63"/>
      <c r="AT693" s="63"/>
      <c r="AV693" s="63"/>
      <c r="AW693" s="63"/>
      <c r="AX693" s="63">
        <f>--ISNUMBER(IFERROR(SEARCH(Tempset!$M$4,AM693,1),""))</f>
        <v>1</v>
      </c>
      <c r="AY693" s="63">
        <f>IF(AX693=1,COUNTIF($AX$3:AX693,1),"")</f>
        <v>691</v>
      </c>
      <c r="AZ693" s="63" t="str">
        <f>IFERROR(INDEX($AM$3:$AM$1165,MATCH(ROWS($AY$3:AY693),$AY$3:$AY$1165,0)),"")</f>
        <v>nonAccrualDate</v>
      </c>
    </row>
    <row r="694" spans="39:52" x14ac:dyDescent="0.2">
      <c r="AM694" s="63" t="s">
        <v>2397</v>
      </c>
      <c r="AN694" s="63" t="s">
        <v>2398</v>
      </c>
      <c r="AO694" s="63"/>
      <c r="AP694" s="63"/>
      <c r="AQ694" s="63"/>
      <c r="AR694" s="63"/>
      <c r="AS694" s="63"/>
      <c r="AT694" s="63"/>
      <c r="AV694" s="63"/>
      <c r="AW694" s="63"/>
      <c r="AX694" s="63">
        <f>--ISNUMBER(IFERROR(SEARCH(Tempset!$M$4,AM694,1),""))</f>
        <v>1</v>
      </c>
      <c r="AY694" s="63">
        <f>IF(AX694=1,COUNTIF($AX$3:AX694,1),"")</f>
        <v>692</v>
      </c>
      <c r="AZ694" s="63" t="str">
        <f>IFERROR(INDEX($AM$3:$AM$1165,MATCH(ROWS($AY$3:AY694),$AY$3:$AY$1165,0)),"")</f>
        <v>nonPerformanceIndicator</v>
      </c>
    </row>
    <row r="695" spans="39:52" x14ac:dyDescent="0.2">
      <c r="AM695" s="63" t="s">
        <v>2399</v>
      </c>
      <c r="AN695" s="63" t="s">
        <v>2400</v>
      </c>
      <c r="AO695" s="63"/>
      <c r="AP695" s="63"/>
      <c r="AQ695" s="63"/>
      <c r="AR695" s="63"/>
      <c r="AS695" s="63"/>
      <c r="AT695" s="63"/>
      <c r="AV695" s="63"/>
      <c r="AW695" s="63"/>
      <c r="AX695" s="63">
        <f>--ISNUMBER(IFERROR(SEARCH(Tempset!$M$4,AM695,1),""))</f>
        <v>1</v>
      </c>
      <c r="AY695" s="63">
        <f>IF(AX695=1,COUNTIF($AX$3:AX695,1),"")</f>
        <v>693</v>
      </c>
      <c r="AZ695" s="63" t="str">
        <f>IFERROR(INDEX($AM$3:$AM$1165,MATCH(ROWS($AY$3:AY695),$AY$3:$AY$1165,0)),"")</f>
        <v>nonRecourseLoanERCvalue</v>
      </c>
    </row>
    <row r="696" spans="39:52" x14ac:dyDescent="0.2">
      <c r="AM696" s="63" t="s">
        <v>2401</v>
      </c>
      <c r="AN696" s="63" t="s">
        <v>2402</v>
      </c>
      <c r="AO696" s="63"/>
      <c r="AP696" s="63"/>
      <c r="AQ696" s="63"/>
      <c r="AR696" s="63"/>
      <c r="AS696" s="63"/>
      <c r="AT696" s="63"/>
      <c r="AV696" s="63"/>
      <c r="AW696" s="63"/>
      <c r="AX696" s="63">
        <f>--ISNUMBER(IFERROR(SEARCH(Tempset!$M$4,AM696,1),""))</f>
        <v>1</v>
      </c>
      <c r="AY696" s="63">
        <f>IF(AX696=1,COUNTIF($AX$3:AX696,1),"")</f>
        <v>694</v>
      </c>
      <c r="AZ696" s="63" t="str">
        <f>IFERROR(INDEX($AM$3:$AM$1165,MATCH(ROWS($AY$3:AY696),$AY$3:$AY$1165,0)),"")</f>
        <v>nonTradedCreditSpreadERCValue</v>
      </c>
    </row>
    <row r="697" spans="39:52" x14ac:dyDescent="0.2">
      <c r="AM697" s="63" t="s">
        <v>2403</v>
      </c>
      <c r="AN697" s="63" t="s">
        <v>2404</v>
      </c>
      <c r="AO697" s="63"/>
      <c r="AP697" s="63"/>
      <c r="AQ697" s="63"/>
      <c r="AR697" s="63"/>
      <c r="AS697" s="63"/>
      <c r="AT697" s="63"/>
      <c r="AV697" s="63"/>
      <c r="AW697" s="63"/>
      <c r="AX697" s="63">
        <f>--ISNUMBER(IFERROR(SEARCH(Tempset!$M$4,AM697,1),""))</f>
        <v>1</v>
      </c>
      <c r="AY697" s="63">
        <f>IF(AX697=1,COUNTIF($AX$3:AX697,1),"")</f>
        <v>695</v>
      </c>
      <c r="AZ697" s="63" t="str">
        <f>IFERROR(INDEX($AM$3:$AM$1165,MATCH(ROWS($AY$3:AY697),$AY$3:$AY$1165,0)),"")</f>
        <v>nonTradedCreditSpreadPriceCap</v>
      </c>
    </row>
    <row r="698" spans="39:52" x14ac:dyDescent="0.2">
      <c r="AM698" s="63" t="s">
        <v>2405</v>
      </c>
      <c r="AN698" s="63" t="s">
        <v>2406</v>
      </c>
      <c r="AO698" s="63"/>
      <c r="AP698" s="63"/>
      <c r="AQ698" s="63"/>
      <c r="AR698" s="63"/>
      <c r="AS698" s="63"/>
      <c r="AT698" s="63"/>
      <c r="AV698" s="63"/>
      <c r="AW698" s="63"/>
      <c r="AX698" s="63">
        <f>--ISNUMBER(IFERROR(SEARCH(Tempset!$M$4,AM698,1),""))</f>
        <v>1</v>
      </c>
      <c r="AY698" s="63">
        <f>IF(AX698=1,COUNTIF($AX$3:AX698,1),"")</f>
        <v>696</v>
      </c>
      <c r="AZ698" s="63" t="str">
        <f>IFERROR(INDEX($AM$3:$AM$1165,MATCH(ROWS($AY$3:AY698),$AY$3:$AY$1165,0)),"")</f>
        <v>normalizedIdentifier</v>
      </c>
    </row>
    <row r="699" spans="39:52" x14ac:dyDescent="0.2">
      <c r="AM699" s="63" t="s">
        <v>2407</v>
      </c>
      <c r="AN699" s="63" t="s">
        <v>2408</v>
      </c>
      <c r="AO699" s="63"/>
      <c r="AP699" s="63"/>
      <c r="AQ699" s="63"/>
      <c r="AR699" s="63"/>
      <c r="AS699" s="63"/>
      <c r="AT699" s="63"/>
      <c r="AV699" s="63"/>
      <c r="AW699" s="63"/>
      <c r="AX699" s="63">
        <f>--ISNUMBER(IFERROR(SEARCH(Tempset!$M$4,AM699,1),""))</f>
        <v>1</v>
      </c>
      <c r="AY699" s="63">
        <f>IF(AX699=1,COUNTIF($AX$3:AX699,1),"")</f>
        <v>697</v>
      </c>
      <c r="AZ699" s="63" t="str">
        <f>IFERROR(INDEX($AM$3:$AM$1165,MATCH(ROWS($AY$3:AY699),$AY$3:$AY$1165,0)),"")</f>
        <v>notionalCompressFlag</v>
      </c>
    </row>
    <row r="700" spans="39:52" x14ac:dyDescent="0.2">
      <c r="AM700" s="63" t="s">
        <v>2409</v>
      </c>
      <c r="AN700" s="63" t="s">
        <v>2410</v>
      </c>
      <c r="AO700" s="63"/>
      <c r="AP700" s="63"/>
      <c r="AQ700" s="63"/>
      <c r="AR700" s="63"/>
      <c r="AS700" s="63"/>
      <c r="AT700" s="63"/>
      <c r="AV700" s="63"/>
      <c r="AW700" s="63"/>
      <c r="AX700" s="63">
        <f>--ISNUMBER(IFERROR(SEARCH(Tempset!$M$4,AM700,1),""))</f>
        <v>1</v>
      </c>
      <c r="AY700" s="63">
        <f>IF(AX700=1,COUNTIF($AX$3:AX700,1),"")</f>
        <v>698</v>
      </c>
      <c r="AZ700" s="63" t="str">
        <f>IFERROR(INDEX($AM$3:$AM$1165,MATCH(ROWS($AY$3:AY700),$AY$3:$AY$1165,0)),"")</f>
        <v>notionalExposureValue</v>
      </c>
    </row>
    <row r="701" spans="39:52" x14ac:dyDescent="0.2">
      <c r="AM701" s="63" t="s">
        <v>2411</v>
      </c>
      <c r="AN701" s="63" t="s">
        <v>2412</v>
      </c>
      <c r="AO701" s="63"/>
      <c r="AP701" s="63"/>
      <c r="AQ701" s="63"/>
      <c r="AR701" s="63"/>
      <c r="AS701" s="63"/>
      <c r="AT701" s="63"/>
      <c r="AV701" s="63"/>
      <c r="AW701" s="63"/>
      <c r="AX701" s="63">
        <f>--ISNUMBER(IFERROR(SEARCH(Tempset!$M$4,AM701,1),""))</f>
        <v>1</v>
      </c>
      <c r="AY701" s="63">
        <f>IF(AX701=1,COUNTIF($AX$3:AX701,1),"")</f>
        <v>699</v>
      </c>
      <c r="AZ701" s="63" t="str">
        <f>IFERROR(INDEX($AM$3:$AM$1165,MATCH(ROWS($AY$3:AY701),$AY$3:$AY$1165,0)),"")</f>
        <v>notionalWeightedMaturityValue</v>
      </c>
    </row>
    <row r="702" spans="39:52" x14ac:dyDescent="0.2">
      <c r="AM702" s="63" t="s">
        <v>2413</v>
      </c>
      <c r="AN702" s="63" t="s">
        <v>2414</v>
      </c>
      <c r="AO702" s="63"/>
      <c r="AP702" s="63"/>
      <c r="AQ702" s="63"/>
      <c r="AR702" s="63"/>
      <c r="AS702" s="63"/>
      <c r="AT702" s="63"/>
      <c r="AV702" s="63"/>
      <c r="AW702" s="63"/>
      <c r="AX702" s="63">
        <f>--ISNUMBER(IFERROR(SEARCH(Tempset!$M$4,AM702,1),""))</f>
        <v>1</v>
      </c>
      <c r="AY702" s="63">
        <f>IF(AX702=1,COUNTIF($AX$3:AX702,1),"")</f>
        <v>700</v>
      </c>
      <c r="AZ702" s="63" t="str">
        <f>IFERROR(INDEX($AM$3:$AM$1165,MATCH(ROWS($AY$3:AY702),$AY$3:$AY$1165,0)),"")</f>
        <v>NRWFlag</v>
      </c>
    </row>
    <row r="703" spans="39:52" x14ac:dyDescent="0.2">
      <c r="AM703" s="63" t="s">
        <v>2415</v>
      </c>
      <c r="AN703" s="63" t="s">
        <v>2416</v>
      </c>
      <c r="AO703" s="63"/>
      <c r="AP703" s="63"/>
      <c r="AQ703" s="63"/>
      <c r="AR703" s="63"/>
      <c r="AS703" s="63"/>
      <c r="AT703" s="63"/>
      <c r="AV703" s="63"/>
      <c r="AW703" s="63"/>
      <c r="AX703" s="63">
        <f>--ISNUMBER(IFERROR(SEARCH(Tempset!$M$4,AM703,1),""))</f>
        <v>1</v>
      </c>
      <c r="AY703" s="63">
        <f>IF(AX703=1,COUNTIF($AX$3:AX703,1),"")</f>
        <v>701</v>
      </c>
      <c r="AZ703" s="63" t="str">
        <f>IFERROR(INDEX($AM$3:$AM$1165,MATCH(ROWS($AY$3:AY703),$AY$3:$AY$1165,0)),"")</f>
        <v>NSFRCategoryCode</v>
      </c>
    </row>
    <row r="704" spans="39:52" x14ac:dyDescent="0.2">
      <c r="AM704" s="63" t="s">
        <v>2417</v>
      </c>
      <c r="AN704" s="63" t="s">
        <v>2418</v>
      </c>
      <c r="AO704" s="63"/>
      <c r="AP704" s="63"/>
      <c r="AQ704" s="63"/>
      <c r="AR704" s="63"/>
      <c r="AS704" s="63"/>
      <c r="AT704" s="63"/>
      <c r="AV704" s="63"/>
      <c r="AW704" s="63"/>
      <c r="AX704" s="63">
        <f>--ISNUMBER(IFERROR(SEARCH(Tempset!$M$4,AM704,1),""))</f>
        <v>1</v>
      </c>
      <c r="AY704" s="63">
        <f>IF(AX704=1,COUNTIF($AX$3:AX704,1),"")</f>
        <v>702</v>
      </c>
      <c r="AZ704" s="63" t="str">
        <f>IFERROR(INDEX($AM$3:$AM$1165,MATCH(ROWS($AY$3:AY704),$AY$3:$AY$1165,0)),"")</f>
        <v>NTCSIndexValue</v>
      </c>
    </row>
    <row r="705" spans="39:52" x14ac:dyDescent="0.2">
      <c r="AM705" s="63" t="s">
        <v>2419</v>
      </c>
      <c r="AN705" s="63" t="s">
        <v>2420</v>
      </c>
      <c r="AO705" s="63"/>
      <c r="AP705" s="63"/>
      <c r="AQ705" s="63"/>
      <c r="AR705" s="63"/>
      <c r="AS705" s="63"/>
      <c r="AT705" s="63"/>
      <c r="AV705" s="63"/>
      <c r="AW705" s="63"/>
      <c r="AX705" s="63">
        <f>--ISNUMBER(IFERROR(SEARCH(Tempset!$M$4,AM705,1),""))</f>
        <v>1</v>
      </c>
      <c r="AY705" s="63">
        <f>IF(AX705=1,COUNTIF($AX$3:AX705,1),"")</f>
        <v>703</v>
      </c>
      <c r="AZ705" s="63" t="str">
        <f>IFERROR(INDEX($AM$3:$AM$1165,MATCH(ROWS($AY$3:AY705),$AY$3:$AY$1165,0)),"")</f>
        <v>numberOfContract</v>
      </c>
    </row>
    <row r="706" spans="39:52" x14ac:dyDescent="0.2">
      <c r="AM706" s="63" t="s">
        <v>2421</v>
      </c>
      <c r="AN706" s="63" t="s">
        <v>2422</v>
      </c>
      <c r="AO706" s="63"/>
      <c r="AP706" s="63"/>
      <c r="AQ706" s="63"/>
      <c r="AR706" s="63"/>
      <c r="AS706" s="63"/>
      <c r="AT706" s="63"/>
      <c r="AV706" s="63"/>
      <c r="AW706" s="63"/>
      <c r="AX706" s="63">
        <f>--ISNUMBER(IFERROR(SEARCH(Tempset!$M$4,AM706,1),""))</f>
        <v>1</v>
      </c>
      <c r="AY706" s="63">
        <f>IF(AX706=1,COUNTIF($AX$3:AX706,1),"")</f>
        <v>704</v>
      </c>
      <c r="AZ706" s="63" t="str">
        <f>IFERROR(INDEX($AM$3:$AM$1165,MATCH(ROWS($AY$3:AY706),$AY$3:$AY$1165,0)),"")</f>
        <v>numberOfEmployees</v>
      </c>
    </row>
    <row r="707" spans="39:52" x14ac:dyDescent="0.2">
      <c r="AM707" s="63" t="s">
        <v>2423</v>
      </c>
      <c r="AN707" s="63" t="s">
        <v>2424</v>
      </c>
      <c r="AO707" s="63"/>
      <c r="AP707" s="63"/>
      <c r="AQ707" s="63"/>
      <c r="AR707" s="63"/>
      <c r="AS707" s="63"/>
      <c r="AT707" s="63"/>
      <c r="AV707" s="63"/>
      <c r="AW707" s="63"/>
      <c r="AX707" s="63">
        <f>--ISNUMBER(IFERROR(SEARCH(Tempset!$M$4,AM707,1),""))</f>
        <v>1</v>
      </c>
      <c r="AY707" s="63">
        <f>IF(AX707=1,COUNTIF($AX$3:AX707,1),"")</f>
        <v>705</v>
      </c>
      <c r="AZ707" s="63" t="str">
        <f>IFERROR(INDEX($AM$3:$AM$1165,MATCH(ROWS($AY$3:AY707),$AY$3:$AY$1165,0)),"")</f>
        <v>OASId</v>
      </c>
    </row>
    <row r="708" spans="39:52" x14ac:dyDescent="0.2">
      <c r="AM708" s="63" t="s">
        <v>2425</v>
      </c>
      <c r="AN708" s="63" t="s">
        <v>2426</v>
      </c>
      <c r="AO708" s="63"/>
      <c r="AP708" s="63"/>
      <c r="AQ708" s="63"/>
      <c r="AR708" s="63"/>
      <c r="AS708" s="63"/>
      <c r="AT708" s="63"/>
      <c r="AV708" s="63"/>
      <c r="AW708" s="63"/>
      <c r="AX708" s="63">
        <f>--ISNUMBER(IFERROR(SEARCH(Tempset!$M$4,AM708,1),""))</f>
        <v>1</v>
      </c>
      <c r="AY708" s="63">
        <f>IF(AX708=1,COUNTIF($AX$3:AX708,1),"")</f>
        <v>706</v>
      </c>
      <c r="AZ708" s="63" t="str">
        <f>IFERROR(INDEX($AM$3:$AM$1165,MATCH(ROWS($AY$3:AY708),$AY$3:$AY$1165,0)),"")</f>
        <v>objectGroupID</v>
      </c>
    </row>
    <row r="709" spans="39:52" x14ac:dyDescent="0.2">
      <c r="AM709" s="63" t="s">
        <v>2427</v>
      </c>
      <c r="AN709" s="63" t="s">
        <v>2428</v>
      </c>
      <c r="AO709" s="63"/>
      <c r="AP709" s="63"/>
      <c r="AQ709" s="63"/>
      <c r="AR709" s="63"/>
      <c r="AS709" s="63"/>
      <c r="AT709" s="63"/>
      <c r="AV709" s="63"/>
      <c r="AW709" s="63"/>
      <c r="AX709" s="63">
        <f>--ISNUMBER(IFERROR(SEARCH(Tempset!$M$4,AM709,1),""))</f>
        <v>1</v>
      </c>
      <c r="AY709" s="63">
        <f>IF(AX709=1,COUNTIF($AX$3:AX709,1),"")</f>
        <v>707</v>
      </c>
      <c r="AZ709" s="63" t="str">
        <f>IFERROR(INDEX($AM$3:$AM$1165,MATCH(ROWS($AY$3:AY709),$AY$3:$AY$1165,0)),"")</f>
        <v>objectMainGroupCD</v>
      </c>
    </row>
    <row r="710" spans="39:52" x14ac:dyDescent="0.2">
      <c r="AM710" s="63" t="s">
        <v>2429</v>
      </c>
      <c r="AN710" s="63" t="s">
        <v>2430</v>
      </c>
      <c r="AO710" s="63"/>
      <c r="AP710" s="63"/>
      <c r="AQ710" s="63"/>
      <c r="AR710" s="63"/>
      <c r="AS710" s="63"/>
      <c r="AT710" s="63"/>
      <c r="AV710" s="63"/>
      <c r="AW710" s="63"/>
      <c r="AX710" s="63">
        <f>--ISNUMBER(IFERROR(SEARCH(Tempset!$M$4,AM710,1),""))</f>
        <v>1</v>
      </c>
      <c r="AY710" s="63">
        <f>IF(AX710=1,COUNTIF($AX$3:AX710,1),"")</f>
        <v>708</v>
      </c>
      <c r="AZ710" s="63" t="str">
        <f>IFERROR(INDEX($AM$3:$AM$1165,MATCH(ROWS($AY$3:AY710),$AY$3:$AY$1165,0)),"")</f>
        <v>objectTypeCd</v>
      </c>
    </row>
    <row r="711" spans="39:52" x14ac:dyDescent="0.2">
      <c r="AM711" s="63" t="s">
        <v>2431</v>
      </c>
      <c r="AN711" s="63" t="s">
        <v>2432</v>
      </c>
      <c r="AO711" s="63"/>
      <c r="AP711" s="63"/>
      <c r="AQ711" s="63"/>
      <c r="AR711" s="63"/>
      <c r="AS711" s="63"/>
      <c r="AT711" s="63"/>
      <c r="AV711" s="63"/>
      <c r="AW711" s="63"/>
      <c r="AX711" s="63">
        <f>--ISNUMBER(IFERROR(SEARCH(Tempset!$M$4,AM711,1),""))</f>
        <v>1</v>
      </c>
      <c r="AY711" s="63">
        <f>IF(AX711=1,COUNTIF($AX$3:AX711,1),"")</f>
        <v>709</v>
      </c>
      <c r="AZ711" s="63" t="str">
        <f>IFERROR(INDEX($AM$3:$AM$1165,MATCH(ROWS($AY$3:AY711),$AY$3:$AY$1165,0)),"")</f>
        <v>obligationAcceleration</v>
      </c>
    </row>
    <row r="712" spans="39:52" x14ac:dyDescent="0.2">
      <c r="AM712" s="63" t="s">
        <v>2433</v>
      </c>
      <c r="AN712" s="63" t="s">
        <v>2434</v>
      </c>
      <c r="AO712" s="63"/>
      <c r="AP712" s="63"/>
      <c r="AQ712" s="63"/>
      <c r="AR712" s="63"/>
      <c r="AS712" s="63"/>
      <c r="AT712" s="63"/>
      <c r="AV712" s="63"/>
      <c r="AW712" s="63"/>
      <c r="AX712" s="63">
        <f>--ISNUMBER(IFERROR(SEARCH(Tempset!$M$4,AM712,1),""))</f>
        <v>1</v>
      </c>
      <c r="AY712" s="63">
        <f>IF(AX712=1,COUNTIF($AX$3:AX712,1),"")</f>
        <v>710</v>
      </c>
      <c r="AZ712" s="63" t="str">
        <f>IFERROR(INDEX($AM$3:$AM$1165,MATCH(ROWS($AY$3:AY712),$AY$3:$AY$1165,0)),"")</f>
        <v>obligationCategory</v>
      </c>
    </row>
    <row r="713" spans="39:52" x14ac:dyDescent="0.2">
      <c r="AM713" s="63" t="s">
        <v>2435</v>
      </c>
      <c r="AN713" s="63" t="s">
        <v>2436</v>
      </c>
      <c r="AO713" s="63"/>
      <c r="AP713" s="63"/>
      <c r="AQ713" s="63"/>
      <c r="AR713" s="63"/>
      <c r="AS713" s="63"/>
      <c r="AT713" s="63"/>
      <c r="AV713" s="63"/>
      <c r="AW713" s="63"/>
      <c r="AX713" s="63">
        <f>--ISNUMBER(IFERROR(SEARCH(Tempset!$M$4,AM713,1),""))</f>
        <v>1</v>
      </c>
      <c r="AY713" s="63">
        <f>IF(AX713=1,COUNTIF($AX$3:AX713,1),"")</f>
        <v>711</v>
      </c>
      <c r="AZ713" s="63" t="str">
        <f>IFERROR(INDEX($AM$3:$AM$1165,MATCH(ROWS($AY$3:AY713),$AY$3:$AY$1165,0)),"")</f>
        <v>obligationDefault</v>
      </c>
    </row>
    <row r="714" spans="39:52" x14ac:dyDescent="0.2">
      <c r="AM714" s="63" t="s">
        <v>2437</v>
      </c>
      <c r="AN714" s="63" t="s">
        <v>2438</v>
      </c>
      <c r="AO714" s="63"/>
      <c r="AP714" s="63"/>
      <c r="AQ714" s="63"/>
      <c r="AR714" s="63"/>
      <c r="AS714" s="63"/>
      <c r="AT714" s="63"/>
      <c r="AV714" s="63"/>
      <c r="AW714" s="63"/>
      <c r="AX714" s="63">
        <f>--ISNUMBER(IFERROR(SEARCH(Tempset!$M$4,AM714,1),""))</f>
        <v>1</v>
      </c>
      <c r="AY714" s="63">
        <f>IF(AX714=1,COUNTIF($AX$3:AX714,1),"")</f>
        <v>712</v>
      </c>
      <c r="AZ714" s="63" t="str">
        <f>IFERROR(INDEX($AM$3:$AM$1165,MATCH(ROWS($AY$3:AY714),$AY$3:$AY$1165,0)),"")</f>
        <v>obligationType</v>
      </c>
    </row>
    <row r="715" spans="39:52" x14ac:dyDescent="0.2">
      <c r="AM715" s="63" t="s">
        <v>2439</v>
      </c>
      <c r="AN715" s="63" t="s">
        <v>2440</v>
      </c>
      <c r="AO715" s="63"/>
      <c r="AP715" s="63"/>
      <c r="AQ715" s="63"/>
      <c r="AR715" s="63"/>
      <c r="AS715" s="63"/>
      <c r="AT715" s="63"/>
      <c r="AV715" s="63"/>
      <c r="AW715" s="63"/>
      <c r="AX715" s="63">
        <f>--ISNUMBER(IFERROR(SEARCH(Tempset!$M$4,AM715,1),""))</f>
        <v>1</v>
      </c>
      <c r="AY715" s="63">
        <f>IF(AX715=1,COUNTIF($AX$3:AX715,1),"")</f>
        <v>713</v>
      </c>
      <c r="AZ715" s="63" t="str">
        <f>IFERROR(INDEX($AM$3:$AM$1165,MATCH(ROWS($AY$3:AY715),$AY$3:$AY$1165,0)),"")</f>
        <v>OECDCountryFlag</v>
      </c>
    </row>
    <row r="716" spans="39:52" x14ac:dyDescent="0.2">
      <c r="AM716" s="63" t="s">
        <v>2441</v>
      </c>
      <c r="AN716" s="63" t="s">
        <v>2442</v>
      </c>
      <c r="AO716" s="63"/>
      <c r="AP716" s="63"/>
      <c r="AQ716" s="63"/>
      <c r="AR716" s="63"/>
      <c r="AS716" s="63"/>
      <c r="AT716" s="63"/>
      <c r="AV716" s="63"/>
      <c r="AW716" s="63"/>
      <c r="AX716" s="63">
        <f>--ISNUMBER(IFERROR(SEARCH(Tempset!$M$4,AM716,1),""))</f>
        <v>1</v>
      </c>
      <c r="AY716" s="63">
        <f>IF(AX716=1,COUNTIF($AX$3:AX716,1),"")</f>
        <v>714</v>
      </c>
      <c r="AZ716" s="63" t="str">
        <f>IFERROR(INDEX($AM$3:$AM$1165,MATCH(ROWS($AY$3:AY716),$AY$3:$AY$1165,0)),"")</f>
        <v>OECode</v>
      </c>
    </row>
    <row r="717" spans="39:52" x14ac:dyDescent="0.2">
      <c r="AM717" s="63" t="s">
        <v>2443</v>
      </c>
      <c r="AN717" s="63" t="s">
        <v>2444</v>
      </c>
      <c r="AO717" s="63"/>
      <c r="AP717" s="63"/>
      <c r="AQ717" s="63"/>
      <c r="AR717" s="63"/>
      <c r="AS717" s="63"/>
      <c r="AT717" s="63"/>
      <c r="AV717" s="63"/>
      <c r="AW717" s="63"/>
      <c r="AX717" s="63">
        <f>--ISNUMBER(IFERROR(SEARCH(Tempset!$M$4,AM717,1),""))</f>
        <v>1</v>
      </c>
      <c r="AY717" s="63">
        <f>IF(AX717=1,COUNTIF($AX$3:AX717,1),"")</f>
        <v>715</v>
      </c>
      <c r="AZ717" s="63" t="str">
        <f>IFERROR(INDEX($AM$3:$AM$1165,MATCH(ROWS($AY$3:AY717),$AY$3:$AY$1165,0)),"")</f>
        <v>OEFunction</v>
      </c>
    </row>
    <row r="718" spans="39:52" x14ac:dyDescent="0.2">
      <c r="AM718" s="63" t="s">
        <v>2445</v>
      </c>
      <c r="AN718" s="63" t="s">
        <v>2446</v>
      </c>
      <c r="AO718" s="63"/>
      <c r="AP718" s="63"/>
      <c r="AQ718" s="63"/>
      <c r="AR718" s="63"/>
      <c r="AS718" s="63"/>
      <c r="AT718" s="63"/>
      <c r="AV718" s="63"/>
      <c r="AW718" s="63"/>
      <c r="AX718" s="63">
        <f>--ISNUMBER(IFERROR(SEARCH(Tempset!$M$4,AM718,1),""))</f>
        <v>1</v>
      </c>
      <c r="AY718" s="63">
        <f>IF(AX718=1,COUNTIF($AX$3:AX718,1),"")</f>
        <v>716</v>
      </c>
      <c r="AZ718" s="63" t="str">
        <f>IFERROR(INDEX($AM$3:$AM$1165,MATCH(ROWS($AY$3:AY718),$AY$3:$AY$1165,0)),"")</f>
        <v>offBalanceSheetExposureToFund</v>
      </c>
    </row>
    <row r="719" spans="39:52" x14ac:dyDescent="0.2">
      <c r="AM719" s="63" t="s">
        <v>2447</v>
      </c>
      <c r="AN719" s="63" t="s">
        <v>2448</v>
      </c>
      <c r="AO719" s="63"/>
      <c r="AP719" s="63"/>
      <c r="AQ719" s="63"/>
      <c r="AR719" s="63"/>
      <c r="AS719" s="63"/>
      <c r="AT719" s="63"/>
      <c r="AV719" s="63"/>
      <c r="AW719" s="63"/>
      <c r="AX719" s="63">
        <f>--ISNUMBER(IFERROR(SEARCH(Tempset!$M$4,AM719,1),""))</f>
        <v>1</v>
      </c>
      <c r="AY719" s="63">
        <f>IF(AX719=1,COUNTIF($AX$3:AX719,1),"")</f>
        <v>717</v>
      </c>
      <c r="AZ719" s="63" t="str">
        <f>IFERROR(INDEX($AM$3:$AM$1165,MATCH(ROWS($AY$3:AY719),$AY$3:$AY$1165,0)),"")</f>
        <v>offsettingKey</v>
      </c>
    </row>
    <row r="720" spans="39:52" x14ac:dyDescent="0.2">
      <c r="AM720" s="63" t="s">
        <v>2449</v>
      </c>
      <c r="AN720" s="63" t="s">
        <v>2450</v>
      </c>
      <c r="AO720" s="63"/>
      <c r="AP720" s="63"/>
      <c r="AQ720" s="63"/>
      <c r="AR720" s="63"/>
      <c r="AS720" s="63"/>
      <c r="AT720" s="63"/>
      <c r="AV720" s="63"/>
      <c r="AW720" s="63"/>
      <c r="AX720" s="63">
        <f>--ISNUMBER(IFERROR(SEARCH(Tempset!$M$4,AM720,1),""))</f>
        <v>1</v>
      </c>
      <c r="AY720" s="63">
        <f>IF(AX720=1,COUNTIF($AX$3:AX720,1),"")</f>
        <v>718</v>
      </c>
      <c r="AZ720" s="63" t="str">
        <f>IFERROR(INDEX($AM$3:$AM$1165,MATCH(ROWS($AY$3:AY720),$AY$3:$AY$1165,0)),"")</f>
        <v>openTradeEquity</v>
      </c>
    </row>
    <row r="721" spans="39:52" x14ac:dyDescent="0.2">
      <c r="AM721" s="63" t="s">
        <v>2451</v>
      </c>
      <c r="AN721" s="63" t="s">
        <v>2452</v>
      </c>
      <c r="AO721" s="63"/>
      <c r="AP721" s="63"/>
      <c r="AQ721" s="63"/>
      <c r="AR721" s="63"/>
      <c r="AS721" s="63"/>
      <c r="AT721" s="63"/>
      <c r="AV721" s="63"/>
      <c r="AW721" s="63"/>
      <c r="AX721" s="63">
        <f>--ISNUMBER(IFERROR(SEARCH(Tempset!$M$4,AM721,1),""))</f>
        <v>1</v>
      </c>
      <c r="AY721" s="63">
        <f>IF(AX721=1,COUNTIF($AX$3:AX721,1),"")</f>
        <v>719</v>
      </c>
      <c r="AZ721" s="63" t="str">
        <f>IFERROR(INDEX($AM$3:$AM$1165,MATCH(ROWS($AY$3:AY721),$AY$3:$AY$1165,0)),"")</f>
        <v>operatingExpenseAmount</v>
      </c>
    </row>
    <row r="722" spans="39:52" x14ac:dyDescent="0.2">
      <c r="AM722" s="63" t="s">
        <v>2453</v>
      </c>
      <c r="AN722" s="63" t="s">
        <v>2454</v>
      </c>
      <c r="AO722" s="63"/>
      <c r="AP722" s="63"/>
      <c r="AQ722" s="63"/>
      <c r="AR722" s="63"/>
      <c r="AS722" s="63"/>
      <c r="AT722" s="63"/>
      <c r="AV722" s="63"/>
      <c r="AW722" s="63"/>
      <c r="AX722" s="63">
        <f>--ISNUMBER(IFERROR(SEARCH(Tempset!$M$4,AM722,1),""))</f>
        <v>1</v>
      </c>
      <c r="AY722" s="63">
        <f>IF(AX722=1,COUNTIF($AX$3:AX722,1),"")</f>
        <v>720</v>
      </c>
      <c r="AZ722" s="63" t="str">
        <f>IFERROR(INDEX($AM$3:$AM$1165,MATCH(ROWS($AY$3:AY722),$AY$3:$AY$1165,0)),"")</f>
        <v>operationalRiskBIARWAValue</v>
      </c>
    </row>
    <row r="723" spans="39:52" x14ac:dyDescent="0.2">
      <c r="AM723" s="63" t="s">
        <v>2455</v>
      </c>
      <c r="AN723" s="63" t="s">
        <v>2456</v>
      </c>
      <c r="AO723" s="63"/>
      <c r="AP723" s="63"/>
      <c r="AQ723" s="63"/>
      <c r="AR723" s="63"/>
      <c r="AS723" s="63"/>
      <c r="AT723" s="63"/>
      <c r="AV723" s="63"/>
      <c r="AW723" s="63"/>
      <c r="AX723" s="63">
        <f>--ISNUMBER(IFERROR(SEARCH(Tempset!$M$4,AM723,1),""))</f>
        <v>1</v>
      </c>
      <c r="AY723" s="63">
        <f>IF(AX723=1,COUNTIF($AX$3:AX723,1),"")</f>
        <v>721</v>
      </c>
      <c r="AZ723" s="63" t="str">
        <f>IFERROR(INDEX($AM$3:$AM$1165,MATCH(ROWS($AY$3:AY723),$AY$3:$AY$1165,0)),"")</f>
        <v>operationalRiskERCValue</v>
      </c>
    </row>
    <row r="724" spans="39:52" x14ac:dyDescent="0.2">
      <c r="AM724" s="63" t="s">
        <v>2457</v>
      </c>
      <c r="AN724" s="63" t="s">
        <v>2458</v>
      </c>
      <c r="AO724" s="63"/>
      <c r="AP724" s="63"/>
      <c r="AQ724" s="63"/>
      <c r="AR724" s="63"/>
      <c r="AS724" s="63"/>
      <c r="AT724" s="63"/>
      <c r="AV724" s="63"/>
      <c r="AW724" s="63"/>
      <c r="AX724" s="63">
        <f>--ISNUMBER(IFERROR(SEARCH(Tempset!$M$4,AM724,1),""))</f>
        <v>1</v>
      </c>
      <c r="AY724" s="63">
        <f>IF(AX724=1,COUNTIF($AX$3:AX724,1),"")</f>
        <v>722</v>
      </c>
      <c r="AZ724" s="63" t="str">
        <f>IFERROR(INDEX($AM$3:$AM$1165,MATCH(ROWS($AY$3:AY724),$AY$3:$AY$1165,0)),"")</f>
        <v>opRiskAMARWAValue</v>
      </c>
    </row>
    <row r="725" spans="39:52" x14ac:dyDescent="0.2">
      <c r="AM725" s="63" t="s">
        <v>2459</v>
      </c>
      <c r="AN725" s="63" t="s">
        <v>2460</v>
      </c>
      <c r="AO725" s="63"/>
      <c r="AP725" s="63"/>
      <c r="AQ725" s="63"/>
      <c r="AR725" s="63"/>
      <c r="AS725" s="63"/>
      <c r="AT725" s="63"/>
      <c r="AV725" s="63"/>
      <c r="AW725" s="63"/>
      <c r="AX725" s="63">
        <f>--ISNUMBER(IFERROR(SEARCH(Tempset!$M$4,AM725,1),""))</f>
        <v>1</v>
      </c>
      <c r="AY725" s="63">
        <f>IF(AX725=1,COUNTIF($AX$3:AX725,1),"")</f>
        <v>723</v>
      </c>
      <c r="AZ725" s="63" t="str">
        <f>IFERROR(INDEX($AM$3:$AM$1165,MATCH(ROWS($AY$3:AY725),$AY$3:$AY$1165,0)),"")</f>
        <v>opRiskBookingAmt</v>
      </c>
    </row>
    <row r="726" spans="39:52" x14ac:dyDescent="0.2">
      <c r="AM726" s="63" t="s">
        <v>2461</v>
      </c>
      <c r="AN726" s="63" t="s">
        <v>2462</v>
      </c>
      <c r="AO726" s="63"/>
      <c r="AP726" s="63"/>
      <c r="AQ726" s="63"/>
      <c r="AR726" s="63"/>
      <c r="AS726" s="63"/>
      <c r="AT726" s="63"/>
      <c r="AV726" s="63"/>
      <c r="AW726" s="63"/>
      <c r="AX726" s="63">
        <f>--ISNUMBER(IFERROR(SEARCH(Tempset!$M$4,AM726,1),""))</f>
        <v>1</v>
      </c>
      <c r="AY726" s="63">
        <f>IF(AX726=1,COUNTIF($AX$3:AX726,1),"")</f>
        <v>724</v>
      </c>
      <c r="AZ726" s="63" t="str">
        <f>IFERROR(INDEX($AM$3:$AM$1165,MATCH(ROWS($AY$3:AY726),$AY$3:$AY$1165,0)),"")</f>
        <v>opRiskBookingCurrency</v>
      </c>
    </row>
    <row r="727" spans="39:52" x14ac:dyDescent="0.2">
      <c r="AM727" s="63" t="s">
        <v>2463</v>
      </c>
      <c r="AN727" s="63" t="s">
        <v>2464</v>
      </c>
      <c r="AO727" s="63"/>
      <c r="AP727" s="63"/>
      <c r="AQ727" s="63"/>
      <c r="AR727" s="63"/>
      <c r="AS727" s="63"/>
      <c r="AT727" s="63"/>
      <c r="AV727" s="63"/>
      <c r="AW727" s="63"/>
      <c r="AX727" s="63">
        <f>--ISNUMBER(IFERROR(SEARCH(Tempset!$M$4,AM727,1),""))</f>
        <v>1</v>
      </c>
      <c r="AY727" s="63">
        <f>IF(AX727=1,COUNTIF($AX$3:AX727,1),"")</f>
        <v>725</v>
      </c>
      <c r="AZ727" s="63" t="str">
        <f>IFERROR(INDEX($AM$3:$AM$1165,MATCH(ROWS($AY$3:AY727),$AY$3:$AY$1165,0)),"")</f>
        <v>opRiskBookingDate</v>
      </c>
    </row>
    <row r="728" spans="39:52" x14ac:dyDescent="0.2">
      <c r="AM728" s="63" t="s">
        <v>2465</v>
      </c>
      <c r="AN728" s="63" t="s">
        <v>2466</v>
      </c>
      <c r="AO728" s="63"/>
      <c r="AP728" s="63"/>
      <c r="AQ728" s="63"/>
      <c r="AR728" s="63"/>
      <c r="AS728" s="63"/>
      <c r="AT728" s="63"/>
      <c r="AV728" s="63"/>
      <c r="AW728" s="63"/>
      <c r="AX728" s="63">
        <f>--ISNUMBER(IFERROR(SEARCH(Tempset!$M$4,AM728,1),""))</f>
        <v>1</v>
      </c>
      <c r="AY728" s="63">
        <f>IF(AX728=1,COUNTIF($AX$3:AX728,1),"")</f>
        <v>726</v>
      </c>
      <c r="AZ728" s="63" t="str">
        <f>IFERROR(INDEX($AM$3:$AM$1165,MATCH(ROWS($AY$3:AY728),$AY$3:$AY$1165,0)),"")</f>
        <v>opRiskBookingType</v>
      </c>
    </row>
    <row r="729" spans="39:52" x14ac:dyDescent="0.2">
      <c r="AM729" s="63" t="s">
        <v>2467</v>
      </c>
      <c r="AN729" s="63" t="s">
        <v>2468</v>
      </c>
      <c r="AO729" s="63"/>
      <c r="AP729" s="63"/>
      <c r="AQ729" s="63"/>
      <c r="AR729" s="63"/>
      <c r="AS729" s="63"/>
      <c r="AT729" s="63"/>
      <c r="AV729" s="63"/>
      <c r="AW729" s="63"/>
      <c r="AX729" s="63">
        <f>--ISNUMBER(IFERROR(SEARCH(Tempset!$M$4,AM729,1),""))</f>
        <v>1</v>
      </c>
      <c r="AY729" s="63">
        <f>IF(AX729=1,COUNTIF($AX$3:AX729,1),"")</f>
        <v>727</v>
      </c>
      <c r="AZ729" s="63" t="str">
        <f>IFERROR(INDEX($AM$3:$AM$1165,MATCH(ROWS($AY$3:AY729),$AY$3:$AY$1165,0)),"")</f>
        <v>opRiskdivforreporting</v>
      </c>
    </row>
    <row r="730" spans="39:52" x14ac:dyDescent="0.2">
      <c r="AM730" s="63" t="s">
        <v>2469</v>
      </c>
      <c r="AN730" s="63" t="s">
        <v>2470</v>
      </c>
      <c r="AO730" s="63"/>
      <c r="AP730" s="63"/>
      <c r="AQ730" s="63"/>
      <c r="AR730" s="63"/>
      <c r="AS730" s="63"/>
      <c r="AT730" s="63"/>
      <c r="AV730" s="63"/>
      <c r="AW730" s="63"/>
      <c r="AX730" s="63">
        <f>--ISNUMBER(IFERROR(SEARCH(Tempset!$M$4,AM730,1),""))</f>
        <v>1</v>
      </c>
      <c r="AY730" s="63">
        <f>IF(AX730=1,COUNTIF($AX$3:AX730,1),"")</f>
        <v>728</v>
      </c>
      <c r="AZ730" s="63" t="str">
        <f>IFERROR(INDEX($AM$3:$AM$1165,MATCH(ROWS($AY$3:AY730),$AY$3:$AY$1165,0)),"")</f>
        <v>opRiskIncidentGrossAmount</v>
      </c>
    </row>
    <row r="731" spans="39:52" x14ac:dyDescent="0.2">
      <c r="AM731" s="63" t="s">
        <v>2471</v>
      </c>
      <c r="AN731" s="63" t="s">
        <v>2472</v>
      </c>
      <c r="AO731" s="63"/>
      <c r="AP731" s="63"/>
      <c r="AQ731" s="63"/>
      <c r="AR731" s="63"/>
      <c r="AS731" s="63"/>
      <c r="AT731" s="63"/>
      <c r="AV731" s="63"/>
      <c r="AW731" s="63"/>
      <c r="AX731" s="63">
        <f>--ISNUMBER(IFERROR(SEARCH(Tempset!$M$4,AM731,1),""))</f>
        <v>1</v>
      </c>
      <c r="AY731" s="63">
        <f>IF(AX731=1,COUNTIF($AX$3:AX731,1),"")</f>
        <v>729</v>
      </c>
      <c r="AZ731" s="63" t="str">
        <f>IFERROR(INDEX($AM$3:$AM$1165,MATCH(ROWS($AY$3:AY731),$AY$3:$AY$1165,0)),"")</f>
        <v>opRiskIncidentId</v>
      </c>
    </row>
    <row r="732" spans="39:52" x14ac:dyDescent="0.2">
      <c r="AM732" s="63" t="s">
        <v>2473</v>
      </c>
      <c r="AN732" s="63" t="s">
        <v>2474</v>
      </c>
      <c r="AO732" s="63"/>
      <c r="AP732" s="63"/>
      <c r="AQ732" s="63"/>
      <c r="AR732" s="63"/>
      <c r="AS732" s="63"/>
      <c r="AT732" s="63"/>
      <c r="AV732" s="63"/>
      <c r="AW732" s="63"/>
      <c r="AX732" s="63">
        <f>--ISNUMBER(IFERROR(SEARCH(Tempset!$M$4,AM732,1),""))</f>
        <v>1</v>
      </c>
      <c r="AY732" s="63">
        <f>IF(AX732=1,COUNTIF($AX$3:AX732,1),"")</f>
        <v>730</v>
      </c>
      <c r="AZ732" s="63" t="str">
        <f>IFERROR(INDEX($AM$3:$AM$1165,MATCH(ROWS($AY$3:AY732),$AY$3:$AY$1165,0)),"")</f>
        <v>opRiskIncidentInsuranceRecoveriesAmt</v>
      </c>
    </row>
    <row r="733" spans="39:52" x14ac:dyDescent="0.2">
      <c r="AM733" s="63" t="s">
        <v>2475</v>
      </c>
      <c r="AN733" s="63" t="s">
        <v>2476</v>
      </c>
      <c r="AO733" s="63"/>
      <c r="AP733" s="63"/>
      <c r="AQ733" s="63"/>
      <c r="AR733" s="63"/>
      <c r="AS733" s="63"/>
      <c r="AT733" s="63"/>
      <c r="AV733" s="63"/>
      <c r="AW733" s="63"/>
      <c r="AX733" s="63">
        <f>--ISNUMBER(IFERROR(SEARCH(Tempset!$M$4,AM733,1),""))</f>
        <v>1</v>
      </c>
      <c r="AY733" s="63">
        <f>IF(AX733=1,COUNTIF($AX$3:AX733,1),"")</f>
        <v>731</v>
      </c>
      <c r="AZ733" s="63" t="str">
        <f>IFERROR(INDEX($AM$3:$AM$1165,MATCH(ROWS($AY$3:AY733),$AY$3:$AY$1165,0)),"")</f>
        <v>opRiskIncidentOtherRecoveryAmount</v>
      </c>
    </row>
    <row r="734" spans="39:52" x14ac:dyDescent="0.2">
      <c r="AM734" s="63" t="s">
        <v>2477</v>
      </c>
      <c r="AN734" s="63" t="s">
        <v>2478</v>
      </c>
      <c r="AO734" s="63"/>
      <c r="AP734" s="63"/>
      <c r="AQ734" s="63"/>
      <c r="AR734" s="63"/>
      <c r="AS734" s="63"/>
      <c r="AT734" s="63"/>
      <c r="AV734" s="63"/>
      <c r="AW734" s="63"/>
      <c r="AX734" s="63">
        <f>--ISNUMBER(IFERROR(SEARCH(Tempset!$M$4,AM734,1),""))</f>
        <v>1</v>
      </c>
      <c r="AY734" s="63">
        <f>IF(AX734=1,COUNTIF($AX$3:AX734,1),"")</f>
        <v>732</v>
      </c>
      <c r="AZ734" s="63" t="str">
        <f>IFERROR(INDEX($AM$3:$AM$1165,MATCH(ROWS($AY$3:AY734),$AY$3:$AY$1165,0)),"")</f>
        <v>opRiskIncidentRelevantLE</v>
      </c>
    </row>
    <row r="735" spans="39:52" x14ac:dyDescent="0.2">
      <c r="AM735" s="63" t="s">
        <v>2479</v>
      </c>
      <c r="AN735" s="63" t="s">
        <v>2480</v>
      </c>
      <c r="AO735" s="63"/>
      <c r="AP735" s="63"/>
      <c r="AQ735" s="63"/>
      <c r="AR735" s="63"/>
      <c r="AS735" s="63"/>
      <c r="AT735" s="63"/>
      <c r="AV735" s="63"/>
      <c r="AW735" s="63"/>
      <c r="AX735" s="63">
        <f>--ISNUMBER(IFERROR(SEARCH(Tempset!$M$4,AM735,1),""))</f>
        <v>1</v>
      </c>
      <c r="AY735" s="63">
        <f>IF(AX735=1,COUNTIF($AX$3:AX735,1),"")</f>
        <v>733</v>
      </c>
      <c r="AZ735" s="63" t="str">
        <f>IFERROR(INDEX($AM$3:$AM$1165,MATCH(ROWS($AY$3:AY735),$AY$3:$AY$1165,0)),"")</f>
        <v>opRiskIncidentTotalLegalFee</v>
      </c>
    </row>
    <row r="736" spans="39:52" x14ac:dyDescent="0.2">
      <c r="AM736" s="63" t="s">
        <v>2481</v>
      </c>
      <c r="AN736" s="63" t="s">
        <v>2482</v>
      </c>
      <c r="AO736" s="63"/>
      <c r="AP736" s="63"/>
      <c r="AQ736" s="63"/>
      <c r="AR736" s="63"/>
      <c r="AS736" s="63"/>
      <c r="AT736" s="63"/>
      <c r="AV736" s="63"/>
      <c r="AW736" s="63"/>
      <c r="AX736" s="63">
        <f>--ISNUMBER(IFERROR(SEARCH(Tempset!$M$4,AM736,1),""))</f>
        <v>1</v>
      </c>
      <c r="AY736" s="63">
        <f>IF(AX736=1,COUNTIF($AX$3:AX736,1),"")</f>
        <v>734</v>
      </c>
      <c r="AZ736" s="63" t="str">
        <f>IFERROR(INDEX($AM$3:$AM$1165,MATCH(ROWS($AY$3:AY736),$AY$3:$AY$1165,0)),"")</f>
        <v>opRiskInsuranceCoverageLimit</v>
      </c>
    </row>
    <row r="737" spans="39:52" x14ac:dyDescent="0.2">
      <c r="AM737" s="63" t="s">
        <v>2483</v>
      </c>
      <c r="AN737" s="63" t="s">
        <v>2484</v>
      </c>
      <c r="AO737" s="63"/>
      <c r="AP737" s="63"/>
      <c r="AQ737" s="63"/>
      <c r="AR737" s="63"/>
      <c r="AS737" s="63"/>
      <c r="AT737" s="63"/>
      <c r="AV737" s="63"/>
      <c r="AW737" s="63"/>
      <c r="AX737" s="63">
        <f>--ISNUMBER(IFERROR(SEARCH(Tempset!$M$4,AM737,1),""))</f>
        <v>1</v>
      </c>
      <c r="AY737" s="63">
        <f>IF(AX737=1,COUNTIF($AX$3:AX737,1),"")</f>
        <v>735</v>
      </c>
      <c r="AZ737" s="63" t="str">
        <f>IFERROR(INDEX($AM$3:$AM$1165,MATCH(ROWS($AY$3:AY737),$AY$3:$AY$1165,0)),"")</f>
        <v>opRiskInsuranceCoverageLimitYearly</v>
      </c>
    </row>
    <row r="738" spans="39:52" x14ac:dyDescent="0.2">
      <c r="AM738" s="63" t="s">
        <v>2485</v>
      </c>
      <c r="AN738" s="63" t="s">
        <v>2486</v>
      </c>
      <c r="AO738" s="63"/>
      <c r="AP738" s="63"/>
      <c r="AQ738" s="63"/>
      <c r="AR738" s="63"/>
      <c r="AS738" s="63"/>
      <c r="AT738" s="63"/>
      <c r="AV738" s="63"/>
      <c r="AW738" s="63"/>
      <c r="AX738" s="63">
        <f>--ISNUMBER(IFERROR(SEARCH(Tempset!$M$4,AM738,1),""))</f>
        <v>1</v>
      </c>
      <c r="AY738" s="63">
        <f>IF(AX738=1,COUNTIF($AX$3:AX738,1),"")</f>
        <v>736</v>
      </c>
      <c r="AZ738" s="63" t="str">
        <f>IFERROR(INDEX($AM$3:$AM$1165,MATCH(ROWS($AY$3:AY738),$AY$3:$AY$1165,0)),"")</f>
        <v>opRiskInsuranceExcess</v>
      </c>
    </row>
    <row r="739" spans="39:52" x14ac:dyDescent="0.2">
      <c r="AM739" s="63" t="s">
        <v>2487</v>
      </c>
      <c r="AN739" s="63" t="s">
        <v>2488</v>
      </c>
      <c r="AO739" s="63"/>
      <c r="AP739" s="63"/>
      <c r="AQ739" s="63"/>
      <c r="AR739" s="63"/>
      <c r="AS739" s="63"/>
      <c r="AT739" s="63"/>
      <c r="AV739" s="63"/>
      <c r="AW739" s="63"/>
      <c r="AX739" s="63">
        <f>--ISNUMBER(IFERROR(SEARCH(Tempset!$M$4,AM739,1),""))</f>
        <v>1</v>
      </c>
      <c r="AY739" s="63">
        <f>IF(AX739=1,COUNTIF($AX$3:AX739,1),"")</f>
        <v>737</v>
      </c>
      <c r="AZ739" s="63" t="str">
        <f>IFERROR(INDEX($AM$3:$AM$1165,MATCH(ROWS($AY$3:AY739),$AY$3:$AY$1165,0)),"")</f>
        <v>opRiskInsuranceHairCut</v>
      </c>
    </row>
    <row r="740" spans="39:52" x14ac:dyDescent="0.2">
      <c r="AM740" s="63" t="s">
        <v>2489</v>
      </c>
      <c r="AN740" s="63" t="s">
        <v>2490</v>
      </c>
      <c r="AO740" s="63"/>
      <c r="AP740" s="63"/>
      <c r="AQ740" s="63"/>
      <c r="AR740" s="63"/>
      <c r="AS740" s="63"/>
      <c r="AT740" s="63"/>
      <c r="AV740" s="63"/>
      <c r="AW740" s="63"/>
      <c r="AX740" s="63">
        <f>--ISNUMBER(IFERROR(SEARCH(Tempset!$M$4,AM740,1),""))</f>
        <v>1</v>
      </c>
      <c r="AY740" s="63">
        <f>IF(AX740=1,COUNTIF($AX$3:AX740,1),"")</f>
        <v>738</v>
      </c>
      <c r="AZ740" s="63" t="str">
        <f>IFERROR(INDEX($AM$3:$AM$1165,MATCH(ROWS($AY$3:AY740),$AY$3:$AY$1165,0)),"")</f>
        <v>opRiskRegisterPrimary</v>
      </c>
    </row>
    <row r="741" spans="39:52" x14ac:dyDescent="0.2">
      <c r="AM741" s="63" t="s">
        <v>2491</v>
      </c>
      <c r="AN741" s="63" t="s">
        <v>2492</v>
      </c>
      <c r="AO741" s="63"/>
      <c r="AP741" s="63"/>
      <c r="AQ741" s="63"/>
      <c r="AR741" s="63"/>
      <c r="AS741" s="63"/>
      <c r="AT741" s="63"/>
      <c r="AV741" s="63"/>
      <c r="AW741" s="63"/>
      <c r="AX741" s="63">
        <f>--ISNUMBER(IFERROR(SEARCH(Tempset!$M$4,AM741,1),""))</f>
        <v>1</v>
      </c>
      <c r="AY741" s="63">
        <f>IF(AX741=1,COUNTIF($AX$3:AX741,1),"")</f>
        <v>739</v>
      </c>
      <c r="AZ741" s="63" t="str">
        <f>IFERROR(INDEX($AM$3:$AM$1165,MATCH(ROWS($AY$3:AY741),$AY$3:$AY$1165,0)),"")</f>
        <v>opRiskRWAValue</v>
      </c>
    </row>
    <row r="742" spans="39:52" x14ac:dyDescent="0.2">
      <c r="AM742" s="63" t="s">
        <v>2493</v>
      </c>
      <c r="AN742" s="63" t="s">
        <v>2494</v>
      </c>
      <c r="AO742" s="63"/>
      <c r="AP742" s="63"/>
      <c r="AQ742" s="63"/>
      <c r="AR742" s="63"/>
      <c r="AS742" s="63"/>
      <c r="AT742" s="63"/>
      <c r="AV742" s="63"/>
      <c r="AW742" s="63"/>
      <c r="AX742" s="63">
        <f>--ISNUMBER(IFERROR(SEARCH(Tempset!$M$4,AM742,1),""))</f>
        <v>1</v>
      </c>
      <c r="AY742" s="63">
        <f>IF(AX742=1,COUNTIF($AX$3:AX742,1),"")</f>
        <v>740</v>
      </c>
      <c r="AZ742" s="63" t="str">
        <f>IFERROR(INDEX($AM$3:$AM$1165,MATCH(ROWS($AY$3:AY742),$AY$3:$AY$1165,0)),"")</f>
        <v>opRiskScenarioValue</v>
      </c>
    </row>
    <row r="743" spans="39:52" x14ac:dyDescent="0.2">
      <c r="AM743" s="63" t="s">
        <v>2495</v>
      </c>
      <c r="AN743" s="63" t="s">
        <v>2496</v>
      </c>
      <c r="AO743" s="63"/>
      <c r="AP743" s="63"/>
      <c r="AQ743" s="63"/>
      <c r="AR743" s="63"/>
      <c r="AS743" s="63"/>
      <c r="AT743" s="63"/>
      <c r="AV743" s="63"/>
      <c r="AW743" s="63"/>
      <c r="AX743" s="63">
        <f>--ISNUMBER(IFERROR(SEARCH(Tempset!$M$4,AM743,1),""))</f>
        <v>1</v>
      </c>
      <c r="AY743" s="63">
        <f>IF(AX743=1,COUNTIF($AX$3:AX743,1),"")</f>
        <v>741</v>
      </c>
      <c r="AZ743" s="63" t="str">
        <f>IFERROR(INDEX($AM$3:$AM$1165,MATCH(ROWS($AY$3:AY743),$AY$3:$AY$1165,0)),"")</f>
        <v>opRiskStressLossProjectionValue</v>
      </c>
    </row>
    <row r="744" spans="39:52" x14ac:dyDescent="0.2">
      <c r="AM744" s="63" t="s">
        <v>2497</v>
      </c>
      <c r="AN744" s="63" t="s">
        <v>2498</v>
      </c>
      <c r="AO744" s="63"/>
      <c r="AP744" s="63"/>
      <c r="AQ744" s="63"/>
      <c r="AR744" s="63"/>
      <c r="AS744" s="63"/>
      <c r="AT744" s="63"/>
      <c r="AV744" s="63"/>
      <c r="AW744" s="63"/>
      <c r="AX744" s="63">
        <f>--ISNUMBER(IFERROR(SEARCH(Tempset!$M$4,AM744,1),""))</f>
        <v>1</v>
      </c>
      <c r="AY744" s="63">
        <f>IF(AX744=1,COUNTIF($AX$3:AX744,1),"")</f>
        <v>742</v>
      </c>
      <c r="AZ744" s="63" t="str">
        <f>IFERROR(INDEX($AM$3:$AM$1165,MATCH(ROWS($AY$3:AY744),$AY$3:$AY$1165,0)),"")</f>
        <v>opRiskStressRWAValue</v>
      </c>
    </row>
    <row r="745" spans="39:52" x14ac:dyDescent="0.2">
      <c r="AM745" s="63" t="s">
        <v>2499</v>
      </c>
      <c r="AN745" s="63" t="s">
        <v>2500</v>
      </c>
      <c r="AO745" s="63"/>
      <c r="AP745" s="63"/>
      <c r="AQ745" s="63"/>
      <c r="AR745" s="63"/>
      <c r="AS745" s="63"/>
      <c r="AT745" s="63"/>
      <c r="AV745" s="63"/>
      <c r="AW745" s="63"/>
      <c r="AX745" s="63">
        <f>--ISNUMBER(IFERROR(SEARCH(Tempset!$M$4,AM745,1),""))</f>
        <v>1</v>
      </c>
      <c r="AY745" s="63">
        <f>IF(AX745=1,COUNTIF($AX$3:AX745,1),"")</f>
        <v>743</v>
      </c>
      <c r="AZ745" s="63" t="str">
        <f>IFERROR(INDEX($AM$3:$AM$1165,MATCH(ROWS($AY$3:AY745),$AY$3:$AY$1165,0)),"")</f>
        <v>opRisksubdivforreporting</v>
      </c>
    </row>
    <row r="746" spans="39:52" x14ac:dyDescent="0.2">
      <c r="AM746" s="63" t="s">
        <v>2501</v>
      </c>
      <c r="AN746" s="63" t="s">
        <v>2502</v>
      </c>
      <c r="AO746" s="63"/>
      <c r="AP746" s="63"/>
      <c r="AQ746" s="63"/>
      <c r="AR746" s="63"/>
      <c r="AS746" s="63"/>
      <c r="AT746" s="63"/>
      <c r="AV746" s="63"/>
      <c r="AW746" s="63"/>
      <c r="AX746" s="63">
        <f>--ISNUMBER(IFERROR(SEARCH(Tempset!$M$4,AM746,1),""))</f>
        <v>1</v>
      </c>
      <c r="AY746" s="63">
        <f>IF(AX746=1,COUNTIF($AX$3:AX746,1),"")</f>
        <v>744</v>
      </c>
      <c r="AZ746" s="63" t="str">
        <f>IFERROR(INDEX($AM$3:$AM$1165,MATCH(ROWS($AY$3:AY746),$AY$3:$AY$1165,0)),"")</f>
        <v>opRiskToleranceLevel</v>
      </c>
    </row>
    <row r="747" spans="39:52" x14ac:dyDescent="0.2">
      <c r="AM747" s="63" t="s">
        <v>2503</v>
      </c>
      <c r="AN747" s="63" t="s">
        <v>2504</v>
      </c>
      <c r="AO747" s="63"/>
      <c r="AP747" s="63"/>
      <c r="AQ747" s="63"/>
      <c r="AR747" s="63"/>
      <c r="AS747" s="63"/>
      <c r="AT747" s="63"/>
      <c r="AV747" s="63"/>
      <c r="AW747" s="63"/>
      <c r="AX747" s="63">
        <f>--ISNUMBER(IFERROR(SEARCH(Tempset!$M$4,AM747,1),""))</f>
        <v>1</v>
      </c>
      <c r="AY747" s="63">
        <f>IF(AX747=1,COUNTIF($AX$3:AX747,1),"")</f>
        <v>745</v>
      </c>
      <c r="AZ747" s="63" t="str">
        <f>IFERROR(INDEX($AM$3:$AM$1165,MATCH(ROWS($AY$3:AY747),$AY$3:$AY$1165,0)),"")</f>
        <v>optionPrice</v>
      </c>
    </row>
    <row r="748" spans="39:52" x14ac:dyDescent="0.2">
      <c r="AM748" s="63" t="s">
        <v>2505</v>
      </c>
      <c r="AN748" s="63" t="s">
        <v>2506</v>
      </c>
      <c r="AO748" s="63"/>
      <c r="AP748" s="63"/>
      <c r="AQ748" s="63"/>
      <c r="AR748" s="63"/>
      <c r="AS748" s="63"/>
      <c r="AT748" s="63"/>
      <c r="AV748" s="63"/>
      <c r="AW748" s="63"/>
      <c r="AX748" s="63">
        <f>--ISNUMBER(IFERROR(SEARCH(Tempset!$M$4,AM748,1),""))</f>
        <v>1</v>
      </c>
      <c r="AY748" s="63">
        <f>IF(AX748=1,COUNTIF($AX$3:AX748,1),"")</f>
        <v>746</v>
      </c>
      <c r="AZ748" s="63" t="str">
        <f>IFERROR(INDEX($AM$3:$AM$1165,MATCH(ROWS($AY$3:AY748),$AY$3:$AY$1165,0)),"")</f>
        <v>optionStyle</v>
      </c>
    </row>
    <row r="749" spans="39:52" x14ac:dyDescent="0.2">
      <c r="AM749" s="63" t="s">
        <v>2507</v>
      </c>
      <c r="AN749" s="63" t="s">
        <v>2508</v>
      </c>
      <c r="AO749" s="63"/>
      <c r="AP749" s="63"/>
      <c r="AQ749" s="63"/>
      <c r="AR749" s="63"/>
      <c r="AS749" s="63"/>
      <c r="AT749" s="63"/>
      <c r="AV749" s="63"/>
      <c r="AW749" s="63"/>
      <c r="AX749" s="63">
        <f>--ISNUMBER(IFERROR(SEARCH(Tempset!$M$4,AM749,1),""))</f>
        <v>1</v>
      </c>
      <c r="AY749" s="63">
        <f>IF(AX749=1,COUNTIF($AX$3:AX749,1),"")</f>
        <v>747</v>
      </c>
      <c r="AZ749" s="63" t="str">
        <f>IFERROR(INDEX($AM$3:$AM$1165,MATCH(ROWS($AY$3:AY749),$AY$3:$AY$1165,0)),"")</f>
        <v>OREDivisionalAllocationRatio</v>
      </c>
    </row>
    <row r="750" spans="39:52" x14ac:dyDescent="0.2">
      <c r="AM750" s="63" t="s">
        <v>2509</v>
      </c>
      <c r="AN750" s="63" t="s">
        <v>2510</v>
      </c>
      <c r="AO750" s="63"/>
      <c r="AP750" s="63"/>
      <c r="AQ750" s="63"/>
      <c r="AR750" s="63"/>
      <c r="AS750" s="63"/>
      <c r="AT750" s="63"/>
      <c r="AV750" s="63"/>
      <c r="AW750" s="63"/>
      <c r="AX750" s="63">
        <f>--ISNUMBER(IFERROR(SEARCH(Tempset!$M$4,AM750,1),""))</f>
        <v>1</v>
      </c>
      <c r="AY750" s="63">
        <f>IF(AX750=1,COUNTIF($AX$3:AX750,1),"")</f>
        <v>748</v>
      </c>
      <c r="AZ750" s="63" t="str">
        <f>IFERROR(INDEX($AM$3:$AM$1165,MATCH(ROWS($AY$3:AY750),$AY$3:$AY$1165,0)),"")</f>
        <v>originationDate</v>
      </c>
    </row>
    <row r="751" spans="39:52" x14ac:dyDescent="0.2">
      <c r="AM751" s="63" t="s">
        <v>2511</v>
      </c>
      <c r="AN751" s="63" t="s">
        <v>2512</v>
      </c>
      <c r="AO751" s="63"/>
      <c r="AP751" s="63"/>
      <c r="AQ751" s="63"/>
      <c r="AR751" s="63"/>
      <c r="AS751" s="63"/>
      <c r="AT751" s="63"/>
      <c r="AV751" s="63"/>
      <c r="AW751" s="63"/>
      <c r="AX751" s="63">
        <f>--ISNUMBER(IFERROR(SEARCH(Tempset!$M$4,AM751,1),""))</f>
        <v>1</v>
      </c>
      <c r="AY751" s="63">
        <f>IF(AX751=1,COUNTIF($AX$3:AX751,1),"")</f>
        <v>749</v>
      </c>
      <c r="AZ751" s="63" t="str">
        <f>IFERROR(INDEX($AM$3:$AM$1165,MATCH(ROWS($AY$3:AY751),$AY$3:$AY$1165,0)),"")</f>
        <v>ORXBusinessLineL1</v>
      </c>
    </row>
    <row r="752" spans="39:52" x14ac:dyDescent="0.2">
      <c r="AM752" s="63" t="s">
        <v>2513</v>
      </c>
      <c r="AN752" s="63" t="s">
        <v>2514</v>
      </c>
      <c r="AO752" s="63"/>
      <c r="AP752" s="63"/>
      <c r="AQ752" s="63"/>
      <c r="AR752" s="63"/>
      <c r="AS752" s="63"/>
      <c r="AT752" s="63"/>
      <c r="AV752" s="63"/>
      <c r="AW752" s="63"/>
      <c r="AX752" s="63">
        <f>--ISNUMBER(IFERROR(SEARCH(Tempset!$M$4,AM752,1),""))</f>
        <v>1</v>
      </c>
      <c r="AY752" s="63">
        <f>IF(AX752=1,COUNTIF($AX$3:AX752,1),"")</f>
        <v>750</v>
      </c>
      <c r="AZ752" s="63" t="str">
        <f>IFERROR(INDEX($AM$3:$AM$1165,MATCH(ROWS($AY$3:AY752),$AY$3:$AY$1165,0)),"")</f>
        <v>ORXCountry</v>
      </c>
    </row>
    <row r="753" spans="39:52" x14ac:dyDescent="0.2">
      <c r="AM753" s="63" t="s">
        <v>2515</v>
      </c>
      <c r="AN753" s="63" t="s">
        <v>2516</v>
      </c>
      <c r="AO753" s="63"/>
      <c r="AP753" s="63"/>
      <c r="AQ753" s="63"/>
      <c r="AR753" s="63"/>
      <c r="AS753" s="63"/>
      <c r="AT753" s="63"/>
      <c r="AV753" s="63"/>
      <c r="AW753" s="63"/>
      <c r="AX753" s="63">
        <f>--ISNUMBER(IFERROR(SEARCH(Tempset!$M$4,AM753,1),""))</f>
        <v>1</v>
      </c>
      <c r="AY753" s="63">
        <f>IF(AX753=1,COUNTIF($AX$3:AX753,1),"")</f>
        <v>751</v>
      </c>
      <c r="AZ753" s="63" t="str">
        <f>IFERROR(INDEX($AM$3:$AM$1165,MATCH(ROWS($AY$3:AY753),$AY$3:$AY$1165,0)),"")</f>
        <v>ORXMemberFlag</v>
      </c>
    </row>
    <row r="754" spans="39:52" x14ac:dyDescent="0.2">
      <c r="AM754" s="63" t="s">
        <v>2517</v>
      </c>
      <c r="AN754" s="63" t="s">
        <v>2518</v>
      </c>
      <c r="AO754" s="63"/>
      <c r="AP754" s="63"/>
      <c r="AQ754" s="63"/>
      <c r="AR754" s="63"/>
      <c r="AS754" s="63"/>
      <c r="AT754" s="63"/>
      <c r="AV754" s="63"/>
      <c r="AW754" s="63"/>
      <c r="AX754" s="63">
        <f>--ISNUMBER(IFERROR(SEARCH(Tempset!$M$4,AM754,1),""))</f>
        <v>1</v>
      </c>
      <c r="AY754" s="63">
        <f>IF(AX754=1,COUNTIF($AX$3:AX754,1),"")</f>
        <v>752</v>
      </c>
      <c r="AZ754" s="63" t="str">
        <f>IFERROR(INDEX($AM$3:$AM$1165,MATCH(ROWS($AY$3:AY754),$AY$3:$AY$1165,0)),"")</f>
        <v>ORXProductTypeL2Code</v>
      </c>
    </row>
    <row r="755" spans="39:52" x14ac:dyDescent="0.2">
      <c r="AM755" s="63" t="s">
        <v>2519</v>
      </c>
      <c r="AN755" s="63" t="s">
        <v>2520</v>
      </c>
      <c r="AO755" s="63"/>
      <c r="AP755" s="63"/>
      <c r="AQ755" s="63"/>
      <c r="AR755" s="63"/>
      <c r="AS755" s="63"/>
      <c r="AT755" s="63"/>
      <c r="AV755" s="63"/>
      <c r="AW755" s="63"/>
      <c r="AX755" s="63">
        <f>--ISNUMBER(IFERROR(SEARCH(Tempset!$M$4,AM755,1),""))</f>
        <v>1</v>
      </c>
      <c r="AY755" s="63">
        <f>IF(AX755=1,COUNTIF($AX$3:AX755,1),"")</f>
        <v>753</v>
      </c>
      <c r="AZ755" s="63" t="str">
        <f>IFERROR(INDEX($AM$3:$AM$1165,MATCH(ROWS($AY$3:AY755),$AY$3:$AY$1165,0)),"")</f>
        <v>otherDefaultLossAmount</v>
      </c>
    </row>
    <row r="756" spans="39:52" x14ac:dyDescent="0.2">
      <c r="AM756" s="63" t="s">
        <v>2521</v>
      </c>
      <c r="AN756" s="63" t="s">
        <v>2522</v>
      </c>
      <c r="AO756" s="63"/>
      <c r="AP756" s="63"/>
      <c r="AQ756" s="63"/>
      <c r="AR756" s="63"/>
      <c r="AS756" s="63"/>
      <c r="AT756" s="63"/>
      <c r="AV756" s="63"/>
      <c r="AW756" s="63"/>
      <c r="AX756" s="63">
        <f>--ISNUMBER(IFERROR(SEARCH(Tempset!$M$4,AM756,1),""))</f>
        <v>1</v>
      </c>
      <c r="AY756" s="63">
        <f>IF(AX756=1,COUNTIF($AX$3:AX756,1),"")</f>
        <v>754</v>
      </c>
      <c r="AZ756" s="63" t="str">
        <f>IFERROR(INDEX($AM$3:$AM$1165,MATCH(ROWS($AY$3:AY756),$AY$3:$AY$1165,0)),"")</f>
        <v>outstandingExpiryCount</v>
      </c>
    </row>
    <row r="757" spans="39:52" x14ac:dyDescent="0.2">
      <c r="AM757" s="63" t="s">
        <v>2523</v>
      </c>
      <c r="AN757" s="63" t="s">
        <v>2524</v>
      </c>
      <c r="AO757" s="63"/>
      <c r="AP757" s="63"/>
      <c r="AQ757" s="63"/>
      <c r="AR757" s="63"/>
      <c r="AS757" s="63"/>
      <c r="AT757" s="63"/>
      <c r="AV757" s="63"/>
      <c r="AW757" s="63"/>
      <c r="AX757" s="63">
        <f>--ISNUMBER(IFERROR(SEARCH(Tempset!$M$4,AM757,1),""))</f>
        <v>1</v>
      </c>
      <c r="AY757" s="63">
        <f>IF(AX757=1,COUNTIF($AX$3:AX757,1),"")</f>
        <v>755</v>
      </c>
      <c r="AZ757" s="63" t="str">
        <f>IFERROR(INDEX($AM$3:$AM$1165,MATCH(ROWS($AY$3:AY757),$AY$3:$AY$1165,0)),"")</f>
        <v>overdraftAmount</v>
      </c>
    </row>
    <row r="758" spans="39:52" x14ac:dyDescent="0.2">
      <c r="AM758" s="63" t="s">
        <v>2525</v>
      </c>
      <c r="AN758" s="63" t="s">
        <v>2526</v>
      </c>
      <c r="AO758" s="63"/>
      <c r="AP758" s="63"/>
      <c r="AQ758" s="63"/>
      <c r="AR758" s="63"/>
      <c r="AS758" s="63"/>
      <c r="AT758" s="63"/>
      <c r="AV758" s="63"/>
      <c r="AW758" s="63"/>
      <c r="AX758" s="63">
        <f>--ISNUMBER(IFERROR(SEARCH(Tempset!$M$4,AM758,1),""))</f>
        <v>1</v>
      </c>
      <c r="AY758" s="63">
        <f>IF(AX758=1,COUNTIF($AX$3:AX758,1),"")</f>
        <v>756</v>
      </c>
      <c r="AZ758" s="63" t="str">
        <f>IFERROR(INDEX($AM$3:$AM$1165,MATCH(ROWS($AY$3:AY758),$AY$3:$AY$1165,0)),"")</f>
        <v>overlayBaseline</v>
      </c>
    </row>
    <row r="759" spans="39:52" x14ac:dyDescent="0.2">
      <c r="AM759" s="63" t="s">
        <v>2527</v>
      </c>
      <c r="AN759" s="63" t="s">
        <v>2528</v>
      </c>
      <c r="AO759" s="63"/>
      <c r="AP759" s="63"/>
      <c r="AQ759" s="63"/>
      <c r="AR759" s="63"/>
      <c r="AS759" s="63"/>
      <c r="AT759" s="63"/>
      <c r="AV759" s="63"/>
      <c r="AW759" s="63"/>
      <c r="AX759" s="63">
        <f>--ISNUMBER(IFERROR(SEARCH(Tempset!$M$4,AM759,1),""))</f>
        <v>1</v>
      </c>
      <c r="AY759" s="63">
        <f>IF(AX759=1,COUNTIF($AX$3:AX759,1),"")</f>
        <v>757</v>
      </c>
      <c r="AZ759" s="63" t="str">
        <f>IFERROR(INDEX($AM$3:$AM$1165,MATCH(ROWS($AY$3:AY759),$AY$3:$AY$1165,0)),"")</f>
        <v>overlayScenarios</v>
      </c>
    </row>
    <row r="760" spans="39:52" x14ac:dyDescent="0.2">
      <c r="AM760" s="63" t="s">
        <v>2529</v>
      </c>
      <c r="AN760" s="63" t="s">
        <v>2530</v>
      </c>
      <c r="AO760" s="63"/>
      <c r="AP760" s="63"/>
      <c r="AQ760" s="63"/>
      <c r="AR760" s="63"/>
      <c r="AS760" s="63"/>
      <c r="AT760" s="63"/>
      <c r="AV760" s="63"/>
      <c r="AW760" s="63"/>
      <c r="AX760" s="63">
        <f>--ISNUMBER(IFERROR(SEARCH(Tempset!$M$4,AM760,1),""))</f>
        <v>1</v>
      </c>
      <c r="AY760" s="63">
        <f>IF(AX760=1,COUNTIF($AX$3:AX760,1),"")</f>
        <v>758</v>
      </c>
      <c r="AZ760" s="63" t="str">
        <f>IFERROR(INDEX($AM$3:$AM$1165,MATCH(ROWS($AY$3:AY760),$AY$3:$AY$1165,0)),"")</f>
        <v>overlayvalue</v>
      </c>
    </row>
    <row r="761" spans="39:52" x14ac:dyDescent="0.2">
      <c r="AM761" s="63" t="s">
        <v>2531</v>
      </c>
      <c r="AN761" s="63" t="s">
        <v>2532</v>
      </c>
      <c r="AO761" s="63"/>
      <c r="AP761" s="63"/>
      <c r="AQ761" s="63"/>
      <c r="AR761" s="63"/>
      <c r="AS761" s="63"/>
      <c r="AT761" s="63"/>
      <c r="AV761" s="63"/>
      <c r="AW761" s="63"/>
      <c r="AX761" s="63">
        <f>--ISNUMBER(IFERROR(SEARCH(Tempset!$M$4,AM761,1),""))</f>
        <v>1</v>
      </c>
      <c r="AY761" s="63">
        <f>IF(AX761=1,COUNTIF($AX$3:AX761,1),"")</f>
        <v>759</v>
      </c>
      <c r="AZ761" s="63" t="str">
        <f>IFERROR(INDEX($AM$3:$AM$1165,MATCH(ROWS($AY$3:AY761),$AY$3:$AY$1165,0)),"")</f>
        <v>ownedRealEstateERCValue</v>
      </c>
    </row>
    <row r="762" spans="39:52" x14ac:dyDescent="0.2">
      <c r="AM762" s="63" t="s">
        <v>2533</v>
      </c>
      <c r="AN762" s="63" t="s">
        <v>2534</v>
      </c>
      <c r="AO762" s="63"/>
      <c r="AP762" s="63"/>
      <c r="AQ762" s="63"/>
      <c r="AR762" s="63"/>
      <c r="AS762" s="63"/>
      <c r="AT762" s="63"/>
      <c r="AV762" s="63"/>
      <c r="AW762" s="63"/>
      <c r="AX762" s="63">
        <f>--ISNUMBER(IFERROR(SEARCH(Tempset!$M$4,AM762,1),""))</f>
        <v>1</v>
      </c>
      <c r="AY762" s="63">
        <f>IF(AX762=1,COUNTIF($AX$3:AX762,1),"")</f>
        <v>760</v>
      </c>
      <c r="AZ762" s="63" t="str">
        <f>IFERROR(INDEX($AM$3:$AM$1165,MATCH(ROWS($AY$3:AY762),$AY$3:$AY$1165,0)),"")</f>
        <v>ownEstimateHaircutRate</v>
      </c>
    </row>
    <row r="763" spans="39:52" x14ac:dyDescent="0.2">
      <c r="AM763" s="63" t="s">
        <v>2535</v>
      </c>
      <c r="AN763" s="63" t="s">
        <v>2536</v>
      </c>
      <c r="AO763" s="63"/>
      <c r="AP763" s="63"/>
      <c r="AQ763" s="63"/>
      <c r="AR763" s="63"/>
      <c r="AS763" s="63"/>
      <c r="AT763" s="63"/>
      <c r="AV763" s="63"/>
      <c r="AW763" s="63"/>
      <c r="AX763" s="63">
        <f>--ISNUMBER(IFERROR(SEARCH(Tempset!$M$4,AM763,1),""))</f>
        <v>1</v>
      </c>
      <c r="AY763" s="63">
        <f>IF(AX763=1,COUNTIF($AX$3:AX763,1),"")</f>
        <v>761</v>
      </c>
      <c r="AZ763" s="63" t="str">
        <f>IFERROR(INDEX($AM$3:$AM$1165,MATCH(ROWS($AY$3:AY763),$AY$3:$AY$1165,0)),"")</f>
        <v>parentCreditNumber</v>
      </c>
    </row>
    <row r="764" spans="39:52" x14ac:dyDescent="0.2">
      <c r="AM764" s="63" t="s">
        <v>2537</v>
      </c>
      <c r="AN764" s="63" t="s">
        <v>2538</v>
      </c>
      <c r="AO764" s="63"/>
      <c r="AP764" s="63"/>
      <c r="AQ764" s="63"/>
      <c r="AR764" s="63"/>
      <c r="AS764" s="63"/>
      <c r="AT764" s="63"/>
      <c r="AV764" s="63"/>
      <c r="AW764" s="63"/>
      <c r="AX764" s="63">
        <f>--ISNUMBER(IFERROR(SEARCH(Tempset!$M$4,AM764,1),""))</f>
        <v>1</v>
      </c>
      <c r="AY764" s="63">
        <f>IF(AX764=1,COUNTIF($AX$3:AX764,1),"")</f>
        <v>762</v>
      </c>
      <c r="AZ764" s="63" t="str">
        <f>IFERROR(INDEX($AM$3:$AM$1165,MATCH(ROWS($AY$3:AY764),$AY$3:$AY$1165,0)),"")</f>
        <v>parentId</v>
      </c>
    </row>
    <row r="765" spans="39:52" x14ac:dyDescent="0.2">
      <c r="AM765" s="63" t="s">
        <v>2539</v>
      </c>
      <c r="AN765" s="63" t="s">
        <v>2540</v>
      </c>
      <c r="AO765" s="63"/>
      <c r="AP765" s="63"/>
      <c r="AQ765" s="63"/>
      <c r="AR765" s="63"/>
      <c r="AS765" s="63"/>
      <c r="AT765" s="63"/>
      <c r="AV765" s="63"/>
      <c r="AW765" s="63"/>
      <c r="AX765" s="63">
        <f>--ISNUMBER(IFERROR(SEARCH(Tempset!$M$4,AM765,1),""))</f>
        <v>1</v>
      </c>
      <c r="AY765" s="63">
        <f>IF(AX765=1,COUNTIF($AX$3:AX765,1),"")</f>
        <v>763</v>
      </c>
      <c r="AZ765" s="63" t="str">
        <f>IFERROR(INDEX($AM$3:$AM$1165,MATCH(ROWS($AY$3:AY765),$AY$3:$AY$1165,0)),"")</f>
        <v>parentTrancheId</v>
      </c>
    </row>
    <row r="766" spans="39:52" x14ac:dyDescent="0.2">
      <c r="AM766" s="63" t="s">
        <v>2541</v>
      </c>
      <c r="AN766" s="63" t="s">
        <v>2542</v>
      </c>
      <c r="AO766" s="63"/>
      <c r="AP766" s="63"/>
      <c r="AQ766" s="63"/>
      <c r="AR766" s="63"/>
      <c r="AS766" s="63"/>
      <c r="AT766" s="63"/>
      <c r="AV766" s="63"/>
      <c r="AW766" s="63"/>
      <c r="AX766" s="63">
        <f>--ISNUMBER(IFERROR(SEARCH(Tempset!$M$4,AM766,1),""))</f>
        <v>1</v>
      </c>
      <c r="AY766" s="63">
        <f>IF(AX766=1,COUNTIF($AX$3:AX766,1),"")</f>
        <v>764</v>
      </c>
      <c r="AZ766" s="63" t="str">
        <f>IFERROR(INDEX($AM$3:$AM$1165,MATCH(ROWS($AY$3:AY766),$AY$3:$AY$1165,0)),"")</f>
        <v>partnerID</v>
      </c>
    </row>
    <row r="767" spans="39:52" x14ac:dyDescent="0.2">
      <c r="AM767" s="63" t="s">
        <v>2543</v>
      </c>
      <c r="AN767" s="63" t="s">
        <v>2544</v>
      </c>
      <c r="AO767" s="63"/>
      <c r="AP767" s="63"/>
      <c r="AQ767" s="63"/>
      <c r="AR767" s="63"/>
      <c r="AS767" s="63"/>
      <c r="AT767" s="63"/>
      <c r="AV767" s="63"/>
      <c r="AW767" s="63"/>
      <c r="AX767" s="63">
        <f>--ISNUMBER(IFERROR(SEARCH(Tempset!$M$4,AM767,1),""))</f>
        <v>1</v>
      </c>
      <c r="AY767" s="63">
        <f>IF(AX767=1,COUNTIF($AX$3:AX767,1),"")</f>
        <v>765</v>
      </c>
      <c r="AZ767" s="63" t="str">
        <f>IFERROR(INDEX($AM$3:$AM$1165,MATCH(ROWS($AY$3:AY767),$AY$3:$AY$1165,0)),"")</f>
        <v>paymentAmount</v>
      </c>
    </row>
    <row r="768" spans="39:52" x14ac:dyDescent="0.2">
      <c r="AM768" s="63" t="s">
        <v>2545</v>
      </c>
      <c r="AN768" s="63" t="s">
        <v>2546</v>
      </c>
      <c r="AO768" s="63"/>
      <c r="AP768" s="63"/>
      <c r="AQ768" s="63"/>
      <c r="AR768" s="63"/>
      <c r="AS768" s="63"/>
      <c r="AT768" s="63"/>
      <c r="AV768" s="63"/>
      <c r="AW768" s="63"/>
      <c r="AX768" s="63">
        <f>--ISNUMBER(IFERROR(SEARCH(Tempset!$M$4,AM768,1),""))</f>
        <v>1</v>
      </c>
      <c r="AY768" s="63">
        <f>IF(AX768=1,COUNTIF($AX$3:AX768,1),"")</f>
        <v>766</v>
      </c>
      <c r="AZ768" s="63" t="str">
        <f>IFERROR(INDEX($AM$3:$AM$1165,MATCH(ROWS($AY$3:AY768),$AY$3:$AY$1165,0)),"")</f>
        <v>paymentCurrency</v>
      </c>
    </row>
    <row r="769" spans="39:52" x14ac:dyDescent="0.2">
      <c r="AM769" s="63" t="s">
        <v>2547</v>
      </c>
      <c r="AN769" s="63" t="s">
        <v>2548</v>
      </c>
      <c r="AO769" s="63"/>
      <c r="AP769" s="63"/>
      <c r="AQ769" s="63"/>
      <c r="AR769" s="63"/>
      <c r="AS769" s="63"/>
      <c r="AT769" s="63"/>
      <c r="AV769" s="63"/>
      <c r="AW769" s="63"/>
      <c r="AX769" s="63">
        <f>--ISNUMBER(IFERROR(SEARCH(Tempset!$M$4,AM769,1),""))</f>
        <v>1</v>
      </c>
      <c r="AY769" s="63">
        <f>IF(AX769=1,COUNTIF($AX$3:AX769,1),"")</f>
        <v>767</v>
      </c>
      <c r="AZ769" s="63" t="str">
        <f>IFERROR(INDEX($AM$3:$AM$1165,MATCH(ROWS($AY$3:AY769),$AY$3:$AY$1165,0)),"")</f>
        <v>paymentDate</v>
      </c>
    </row>
    <row r="770" spans="39:52" x14ac:dyDescent="0.2">
      <c r="AM770" s="63" t="s">
        <v>2549</v>
      </c>
      <c r="AN770" s="63" t="s">
        <v>2550</v>
      </c>
      <c r="AO770" s="63"/>
      <c r="AP770" s="63"/>
      <c r="AQ770" s="63"/>
      <c r="AR770" s="63"/>
      <c r="AS770" s="63"/>
      <c r="AT770" s="63"/>
      <c r="AV770" s="63"/>
      <c r="AW770" s="63"/>
      <c r="AX770" s="63">
        <f>--ISNUMBER(IFERROR(SEARCH(Tempset!$M$4,AM770,1),""))</f>
        <v>1</v>
      </c>
      <c r="AY770" s="63">
        <f>IF(AX770=1,COUNTIF($AX$3:AX770,1),"")</f>
        <v>768</v>
      </c>
      <c r="AZ770" s="63" t="str">
        <f>IFERROR(INDEX($AM$3:$AM$1165,MATCH(ROWS($AY$3:AY770),$AY$3:$AY$1165,0)),"")</f>
        <v>paymentToSupplier</v>
      </c>
    </row>
    <row r="771" spans="39:52" x14ac:dyDescent="0.2">
      <c r="AM771" s="63" t="s">
        <v>2551</v>
      </c>
      <c r="AN771" s="63" t="s">
        <v>2552</v>
      </c>
      <c r="AO771" s="63"/>
      <c r="AP771" s="63"/>
      <c r="AQ771" s="63"/>
      <c r="AR771" s="63"/>
      <c r="AS771" s="63"/>
      <c r="AT771" s="63"/>
      <c r="AV771" s="63"/>
      <c r="AW771" s="63"/>
      <c r="AX771" s="63">
        <f>--ISNUMBER(IFERROR(SEARCH(Tempset!$M$4,AM771,1),""))</f>
        <v>1</v>
      </c>
      <c r="AY771" s="63">
        <f>IF(AX771=1,COUNTIF($AX$3:AX771,1),"")</f>
        <v>769</v>
      </c>
      <c r="AZ771" s="63" t="str">
        <f>IFERROR(INDEX($AM$3:$AM$1165,MATCH(ROWS($AY$3:AY771),$AY$3:$AY$1165,0)),"")</f>
        <v>payOrReceiveIndicator</v>
      </c>
    </row>
    <row r="772" spans="39:52" x14ac:dyDescent="0.2">
      <c r="AM772" s="63" t="s">
        <v>2553</v>
      </c>
      <c r="AN772" s="63" t="s">
        <v>2554</v>
      </c>
      <c r="AO772" s="63"/>
      <c r="AP772" s="63"/>
      <c r="AQ772" s="63"/>
      <c r="AR772" s="63"/>
      <c r="AS772" s="63"/>
      <c r="AT772" s="63"/>
      <c r="AV772" s="63"/>
      <c r="AW772" s="63"/>
      <c r="AX772" s="63">
        <f>--ISNUMBER(IFERROR(SEARCH(Tempset!$M$4,AM772,1),""))</f>
        <v>1</v>
      </c>
      <c r="AY772" s="63">
        <f>IF(AX772=1,COUNTIF($AX$3:AX772,1),"")</f>
        <v>770</v>
      </c>
      <c r="AZ772" s="63" t="str">
        <f>IFERROR(INDEX($AM$3:$AM$1165,MATCH(ROWS($AY$3:AY772),$AY$3:$AY$1165,0)),"")</f>
        <v>payOutAmount</v>
      </c>
    </row>
    <row r="773" spans="39:52" x14ac:dyDescent="0.2">
      <c r="AM773" s="63" t="s">
        <v>2555</v>
      </c>
      <c r="AN773" s="63" t="s">
        <v>2556</v>
      </c>
      <c r="AO773" s="63"/>
      <c r="AP773" s="63"/>
      <c r="AQ773" s="63"/>
      <c r="AR773" s="63"/>
      <c r="AS773" s="63"/>
      <c r="AT773" s="63"/>
      <c r="AV773" s="63"/>
      <c r="AW773" s="63"/>
      <c r="AX773" s="63">
        <f>--ISNUMBER(IFERROR(SEARCH(Tempset!$M$4,AM773,1),""))</f>
        <v>1</v>
      </c>
      <c r="AY773" s="63">
        <f>IF(AX773=1,COUNTIF($AX$3:AX773,1),"")</f>
        <v>771</v>
      </c>
      <c r="AZ773" s="63" t="str">
        <f>IFERROR(INDEX($AM$3:$AM$1165,MATCH(ROWS($AY$3:AY773),$AY$3:$AY$1165,0)),"")</f>
        <v>PCAType</v>
      </c>
    </row>
    <row r="774" spans="39:52" x14ac:dyDescent="0.2">
      <c r="AM774" s="63" t="s">
        <v>2557</v>
      </c>
      <c r="AN774" s="63" t="s">
        <v>2558</v>
      </c>
      <c r="AO774" s="63"/>
      <c r="AP774" s="63"/>
      <c r="AQ774" s="63"/>
      <c r="AR774" s="63"/>
      <c r="AS774" s="63"/>
      <c r="AT774" s="63"/>
      <c r="AV774" s="63"/>
      <c r="AW774" s="63"/>
      <c r="AX774" s="63">
        <f>--ISNUMBER(IFERROR(SEARCH(Tempset!$M$4,AM774,1),""))</f>
        <v>1</v>
      </c>
      <c r="AY774" s="63">
        <f>IF(AX774=1,COUNTIF($AX$3:AX774,1),"")</f>
        <v>772</v>
      </c>
      <c r="AZ774" s="63" t="str">
        <f>IFERROR(INDEX($AM$3:$AM$1165,MATCH(ROWS($AY$3:AY774),$AY$3:$AY$1165,0)),"")</f>
        <v>PCContingentDealSuccessProb</v>
      </c>
    </row>
    <row r="775" spans="39:52" x14ac:dyDescent="0.2">
      <c r="AM775" s="63" t="s">
        <v>2559</v>
      </c>
      <c r="AN775" s="63" t="s">
        <v>2560</v>
      </c>
      <c r="AO775" s="63"/>
      <c r="AP775" s="63"/>
      <c r="AQ775" s="63"/>
      <c r="AR775" s="63"/>
      <c r="AS775" s="63"/>
      <c r="AT775" s="63"/>
      <c r="AV775" s="63"/>
      <c r="AW775" s="63"/>
      <c r="AX775" s="63">
        <f>--ISNUMBER(IFERROR(SEARCH(Tempset!$M$4,AM775,1),""))</f>
        <v>1</v>
      </c>
      <c r="AY775" s="63">
        <f>IF(AX775=1,COUNTIF($AX$3:AX775,1),"")</f>
        <v>773</v>
      </c>
      <c r="AZ775" s="63" t="str">
        <f>IFERROR(INDEX($AM$3:$AM$1165,MATCH(ROWS($AY$3:AY775),$AY$3:$AY$1165,0)),"")</f>
        <v>PDLGDCorrelationParameters</v>
      </c>
    </row>
    <row r="776" spans="39:52" x14ac:dyDescent="0.2">
      <c r="AM776" s="63" t="s">
        <v>2561</v>
      </c>
      <c r="AN776" s="63" t="s">
        <v>2562</v>
      </c>
      <c r="AO776" s="63"/>
      <c r="AP776" s="63"/>
      <c r="AQ776" s="63"/>
      <c r="AR776" s="63"/>
      <c r="AS776" s="63"/>
      <c r="AT776" s="63"/>
      <c r="AV776" s="63"/>
      <c r="AW776" s="63"/>
      <c r="AX776" s="63">
        <f>--ISNUMBER(IFERROR(SEARCH(Tempset!$M$4,AM776,1),""))</f>
        <v>1</v>
      </c>
      <c r="AY776" s="63">
        <f>IF(AX776=1,COUNTIF($AX$3:AX776,1),"")</f>
        <v>774</v>
      </c>
      <c r="AZ776" s="63" t="str">
        <f>IFERROR(INDEX($AM$3:$AM$1165,MATCH(ROWS($AY$3:AY776),$AY$3:$AY$1165,0)),"")</f>
        <v>PEIlliquidInvERCValue</v>
      </c>
    </row>
    <row r="777" spans="39:52" x14ac:dyDescent="0.2">
      <c r="AM777" s="63" t="s">
        <v>2563</v>
      </c>
      <c r="AN777" s="63" t="s">
        <v>2564</v>
      </c>
      <c r="AO777" s="63"/>
      <c r="AP777" s="63"/>
      <c r="AQ777" s="63"/>
      <c r="AR777" s="63"/>
      <c r="AS777" s="63"/>
      <c r="AT777" s="63"/>
      <c r="AV777" s="63"/>
      <c r="AW777" s="63"/>
      <c r="AX777" s="63">
        <f>--ISNUMBER(IFERROR(SEARCH(Tempset!$M$4,AM777,1),""))</f>
        <v>1</v>
      </c>
      <c r="AY777" s="63">
        <f>IF(AX777=1,COUNTIF($AX$3:AX777,1),"")</f>
        <v>775</v>
      </c>
      <c r="AZ777" s="63" t="str">
        <f>IFERROR(INDEX($AM$3:$AM$1165,MATCH(ROWS($AY$3:AY777),$AY$3:$AY$1165,0)),"")</f>
        <v>pensionAllocationKey</v>
      </c>
    </row>
    <row r="778" spans="39:52" x14ac:dyDescent="0.2">
      <c r="AM778" s="63" t="s">
        <v>2565</v>
      </c>
      <c r="AN778" s="63" t="s">
        <v>2566</v>
      </c>
      <c r="AO778" s="63"/>
      <c r="AP778" s="63"/>
      <c r="AQ778" s="63"/>
      <c r="AR778" s="63"/>
      <c r="AS778" s="63"/>
      <c r="AT778" s="63"/>
      <c r="AV778" s="63"/>
      <c r="AW778" s="63"/>
      <c r="AX778" s="63">
        <f>--ISNUMBER(IFERROR(SEARCH(Tempset!$M$4,AM778,1),""))</f>
        <v>1</v>
      </c>
      <c r="AY778" s="63">
        <f>IF(AX778=1,COUNTIF($AX$3:AX778,1),"")</f>
        <v>776</v>
      </c>
      <c r="AZ778" s="63" t="str">
        <f>IFERROR(INDEX($AM$3:$AM$1165,MATCH(ROWS($AY$3:AY778),$AY$3:$AY$1165,0)),"")</f>
        <v>pensionAssetClass</v>
      </c>
    </row>
    <row r="779" spans="39:52" x14ac:dyDescent="0.2">
      <c r="AM779" s="63" t="s">
        <v>2567</v>
      </c>
      <c r="AN779" s="63" t="s">
        <v>2568</v>
      </c>
      <c r="AO779" s="63"/>
      <c r="AP779" s="63"/>
      <c r="AQ779" s="63"/>
      <c r="AR779" s="63"/>
      <c r="AS779" s="63"/>
      <c r="AT779" s="63"/>
      <c r="AV779" s="63"/>
      <c r="AW779" s="63"/>
      <c r="AX779" s="63">
        <f>--ISNUMBER(IFERROR(SEARCH(Tempset!$M$4,AM779,1),""))</f>
        <v>1</v>
      </c>
      <c r="AY779" s="63">
        <f>IF(AX779=1,COUNTIF($AX$3:AX779,1),"")</f>
        <v>777</v>
      </c>
      <c r="AZ779" s="63" t="str">
        <f>IFERROR(INDEX($AM$3:$AM$1165,MATCH(ROWS($AY$3:AY779),$AY$3:$AY$1165,0)),"")</f>
        <v>pensionAssetValue</v>
      </c>
    </row>
    <row r="780" spans="39:52" x14ac:dyDescent="0.2">
      <c r="AM780" s="63" t="s">
        <v>2569</v>
      </c>
      <c r="AN780" s="63" t="s">
        <v>2570</v>
      </c>
      <c r="AO780" s="63"/>
      <c r="AP780" s="63"/>
      <c r="AQ780" s="63"/>
      <c r="AR780" s="63"/>
      <c r="AS780" s="63"/>
      <c r="AT780" s="63"/>
      <c r="AV780" s="63"/>
      <c r="AW780" s="63"/>
      <c r="AX780" s="63">
        <f>--ISNUMBER(IFERROR(SEARCH(Tempset!$M$4,AM780,1),""))</f>
        <v>1</v>
      </c>
      <c r="AY780" s="63">
        <f>IF(AX780=1,COUNTIF($AX$3:AX780,1),"")</f>
        <v>778</v>
      </c>
      <c r="AZ780" s="63" t="str">
        <f>IFERROR(INDEX($AM$3:$AM$1165,MATCH(ROWS($AY$3:AY780),$AY$3:$AY$1165,0)),"")</f>
        <v>pensionEquityFloor</v>
      </c>
    </row>
    <row r="781" spans="39:52" x14ac:dyDescent="0.2">
      <c r="AM781" s="63" t="s">
        <v>2571</v>
      </c>
      <c r="AN781" s="63" t="s">
        <v>2572</v>
      </c>
      <c r="AO781" s="63"/>
      <c r="AP781" s="63"/>
      <c r="AQ781" s="63"/>
      <c r="AR781" s="63"/>
      <c r="AS781" s="63"/>
      <c r="AT781" s="63"/>
      <c r="AV781" s="63"/>
      <c r="AW781" s="63"/>
      <c r="AX781" s="63">
        <f>--ISNUMBER(IFERROR(SEARCH(Tempset!$M$4,AM781,1),""))</f>
        <v>1</v>
      </c>
      <c r="AY781" s="63">
        <f>IF(AX781=1,COUNTIF($AX$3:AX781,1),"")</f>
        <v>779</v>
      </c>
      <c r="AZ781" s="63" t="str">
        <f>IFERROR(INDEX($AM$3:$AM$1165,MATCH(ROWS($AY$3:AY781),$AY$3:$AY$1165,0)),"")</f>
        <v>pensionPlanMarketValue</v>
      </c>
    </row>
    <row r="782" spans="39:52" x14ac:dyDescent="0.2">
      <c r="AM782" s="63" t="s">
        <v>2573</v>
      </c>
      <c r="AN782" s="63" t="s">
        <v>2574</v>
      </c>
      <c r="AO782" s="63"/>
      <c r="AP782" s="63"/>
      <c r="AQ782" s="63"/>
      <c r="AR782" s="63"/>
      <c r="AS782" s="63"/>
      <c r="AT782" s="63"/>
      <c r="AV782" s="63"/>
      <c r="AW782" s="63"/>
      <c r="AX782" s="63">
        <f>--ISNUMBER(IFERROR(SEARCH(Tempset!$M$4,AM782,1),""))</f>
        <v>1</v>
      </c>
      <c r="AY782" s="63">
        <f>IF(AX782=1,COUNTIF($AX$3:AX782,1),"")</f>
        <v>780</v>
      </c>
      <c r="AZ782" s="63" t="str">
        <f>IFERROR(INDEX($AM$3:$AM$1165,MATCH(ROWS($AY$3:AY782),$AY$3:$AY$1165,0)),"")</f>
        <v>pensionRiskERCValue</v>
      </c>
    </row>
    <row r="783" spans="39:52" x14ac:dyDescent="0.2">
      <c r="AM783" s="63" t="s">
        <v>2575</v>
      </c>
      <c r="AN783" s="63" t="s">
        <v>2576</v>
      </c>
      <c r="AO783" s="63"/>
      <c r="AP783" s="63"/>
      <c r="AQ783" s="63"/>
      <c r="AR783" s="63"/>
      <c r="AS783" s="63"/>
      <c r="AT783" s="63"/>
      <c r="AV783" s="63"/>
      <c r="AW783" s="63"/>
      <c r="AX783" s="63">
        <f>--ISNUMBER(IFERROR(SEARCH(Tempset!$M$4,AM783,1),""))</f>
        <v>1</v>
      </c>
      <c r="AY783" s="63">
        <f>IF(AX783=1,COUNTIF($AX$3:AX783,1),"")</f>
        <v>781</v>
      </c>
      <c r="AZ783" s="63" t="str">
        <f>IFERROR(INDEX($AM$3:$AM$1165,MATCH(ROWS($AY$3:AY783),$AY$3:$AY$1165,0)),"")</f>
        <v>pensionRiskRefDate</v>
      </c>
    </row>
    <row r="784" spans="39:52" x14ac:dyDescent="0.2">
      <c r="AM784" s="63" t="s">
        <v>2577</v>
      </c>
      <c r="AN784" s="63" t="s">
        <v>2578</v>
      </c>
      <c r="AO784" s="63"/>
      <c r="AP784" s="63"/>
      <c r="AQ784" s="63"/>
      <c r="AR784" s="63"/>
      <c r="AS784" s="63"/>
      <c r="AT784" s="63"/>
      <c r="AV784" s="63"/>
      <c r="AW784" s="63"/>
      <c r="AX784" s="63">
        <f>--ISNUMBER(IFERROR(SEARCH(Tempset!$M$4,AM784,1),""))</f>
        <v>1</v>
      </c>
      <c r="AY784" s="63">
        <f>IF(AX784=1,COUNTIF($AX$3:AX784,1),"")</f>
        <v>782</v>
      </c>
      <c r="AZ784" s="63" t="str">
        <f>IFERROR(INDEX($AM$3:$AM$1165,MATCH(ROWS($AY$3:AY784),$AY$3:$AY$1165,0)),"")</f>
        <v>penultimatePayDate</v>
      </c>
    </row>
    <row r="785" spans="39:52" x14ac:dyDescent="0.2">
      <c r="AM785" s="63" t="s">
        <v>2579</v>
      </c>
      <c r="AN785" s="63" t="s">
        <v>2580</v>
      </c>
      <c r="AO785" s="63"/>
      <c r="AP785" s="63"/>
      <c r="AQ785" s="63"/>
      <c r="AR785" s="63"/>
      <c r="AS785" s="63"/>
      <c r="AT785" s="63"/>
      <c r="AV785" s="63"/>
      <c r="AW785" s="63"/>
      <c r="AX785" s="63">
        <f>--ISNUMBER(IFERROR(SEARCH(Tempset!$M$4,AM785,1),""))</f>
        <v>1</v>
      </c>
      <c r="AY785" s="63">
        <f>IF(AX785=1,COUNTIF($AX$3:AX785,1),"")</f>
        <v>783</v>
      </c>
      <c r="AZ785" s="63" t="str">
        <f>IFERROR(INDEX($AM$3:$AM$1165,MATCH(ROWS($AY$3:AY785),$AY$3:$AY$1165,0)),"")</f>
        <v>percentageOfDelinquency</v>
      </c>
    </row>
    <row r="786" spans="39:52" x14ac:dyDescent="0.2">
      <c r="AM786" s="63" t="s">
        <v>2581</v>
      </c>
      <c r="AN786" s="63" t="s">
        <v>2582</v>
      </c>
      <c r="AO786" s="63"/>
      <c r="AP786" s="63"/>
      <c r="AQ786" s="63"/>
      <c r="AR786" s="63"/>
      <c r="AS786" s="63"/>
      <c r="AT786" s="63"/>
      <c r="AV786" s="63"/>
      <c r="AW786" s="63"/>
      <c r="AX786" s="63">
        <f>--ISNUMBER(IFERROR(SEARCH(Tempset!$M$4,AM786,1),""))</f>
        <v>1</v>
      </c>
      <c r="AY786" s="63">
        <f>IF(AX786=1,COUNTIF($AX$3:AX786,1),"")</f>
        <v>784</v>
      </c>
      <c r="AZ786" s="63" t="str">
        <f>IFERROR(INDEX($AM$3:$AM$1165,MATCH(ROWS($AY$3:AY786),$AY$3:$AY$1165,0)),"")</f>
        <v>percentageOfPrudency</v>
      </c>
    </row>
    <row r="787" spans="39:52" x14ac:dyDescent="0.2">
      <c r="AM787" s="63" t="s">
        <v>2583</v>
      </c>
      <c r="AN787" s="63" t="s">
        <v>2584</v>
      </c>
      <c r="AO787" s="63"/>
      <c r="AP787" s="63"/>
      <c r="AQ787" s="63"/>
      <c r="AR787" s="63"/>
      <c r="AS787" s="63"/>
      <c r="AT787" s="63"/>
      <c r="AV787" s="63"/>
      <c r="AW787" s="63"/>
      <c r="AX787" s="63">
        <f>--ISNUMBER(IFERROR(SEARCH(Tempset!$M$4,AM787,1),""))</f>
        <v>1</v>
      </c>
      <c r="AY787" s="63">
        <f>IF(AX787=1,COUNTIF($AX$3:AX787,1),"")</f>
        <v>785</v>
      </c>
      <c r="AZ787" s="63" t="str">
        <f>IFERROR(INDEX($AM$3:$AM$1165,MATCH(ROWS($AY$3:AY787),$AY$3:$AY$1165,0)),"")</f>
        <v>percentageOfVotingRights</v>
      </c>
    </row>
    <row r="788" spans="39:52" x14ac:dyDescent="0.2">
      <c r="AM788" s="63" t="s">
        <v>2585</v>
      </c>
      <c r="AN788" s="63" t="s">
        <v>2586</v>
      </c>
      <c r="AO788" s="63"/>
      <c r="AP788" s="63"/>
      <c r="AQ788" s="63"/>
      <c r="AR788" s="63"/>
      <c r="AS788" s="63"/>
      <c r="AT788" s="63"/>
      <c r="AV788" s="63"/>
      <c r="AW788" s="63"/>
      <c r="AX788" s="63">
        <f>--ISNUMBER(IFERROR(SEARCH(Tempset!$M$4,AM788,1),""))</f>
        <v>1</v>
      </c>
      <c r="AY788" s="63">
        <f>IF(AX788=1,COUNTIF($AX$3:AX788,1),"")</f>
        <v>786</v>
      </c>
      <c r="AZ788" s="63" t="str">
        <f>IFERROR(INDEX($AM$3:$AM$1165,MATCH(ROWS($AY$3:AY788),$AY$3:$AY$1165,0)),"")</f>
        <v>percentageOwnHoldings</v>
      </c>
    </row>
    <row r="789" spans="39:52" x14ac:dyDescent="0.2">
      <c r="AM789" s="63" t="s">
        <v>2587</v>
      </c>
      <c r="AN789" s="63" t="s">
        <v>2588</v>
      </c>
      <c r="AO789" s="63"/>
      <c r="AP789" s="63"/>
      <c r="AQ789" s="63"/>
      <c r="AR789" s="63"/>
      <c r="AS789" s="63"/>
      <c r="AT789" s="63"/>
      <c r="AV789" s="63"/>
      <c r="AW789" s="63"/>
      <c r="AX789" s="63">
        <f>--ISNUMBER(IFERROR(SEARCH(Tempset!$M$4,AM789,1),""))</f>
        <v>1</v>
      </c>
      <c r="AY789" s="63">
        <f>IF(AX789=1,COUNTIF($AX$3:AX789,1),"")</f>
        <v>787</v>
      </c>
      <c r="AZ789" s="63" t="str">
        <f>IFERROR(INDEX($AM$3:$AM$1165,MATCH(ROWS($AY$3:AY789),$AY$3:$AY$1165,0)),"")</f>
        <v>performanceAdjustment</v>
      </c>
    </row>
    <row r="790" spans="39:52" x14ac:dyDescent="0.2">
      <c r="AM790" s="63" t="s">
        <v>2589</v>
      </c>
      <c r="AN790" s="63" t="s">
        <v>2590</v>
      </c>
      <c r="AO790" s="63"/>
      <c r="AP790" s="63"/>
      <c r="AQ790" s="63"/>
      <c r="AR790" s="63"/>
      <c r="AS790" s="63"/>
      <c r="AT790" s="63"/>
      <c r="AV790" s="63"/>
      <c r="AW790" s="63"/>
      <c r="AX790" s="63">
        <f>--ISNUMBER(IFERROR(SEARCH(Tempset!$M$4,AM790,1),""))</f>
        <v>1</v>
      </c>
      <c r="AY790" s="63">
        <f>IF(AX790=1,COUNTIF($AX$3:AX790,1),"")</f>
        <v>788</v>
      </c>
      <c r="AZ790" s="63" t="str">
        <f>IFERROR(INDEX($AM$3:$AM$1165,MATCH(ROWS($AY$3:AY790),$AY$3:$AY$1165,0)),"")</f>
        <v>performanceCriteriaFlag</v>
      </c>
    </row>
    <row r="791" spans="39:52" x14ac:dyDescent="0.2">
      <c r="AM791" s="63" t="s">
        <v>2591</v>
      </c>
      <c r="AN791" s="63" t="s">
        <v>2592</v>
      </c>
      <c r="AO791" s="63"/>
      <c r="AP791" s="63"/>
      <c r="AQ791" s="63"/>
      <c r="AR791" s="63"/>
      <c r="AS791" s="63"/>
      <c r="AT791" s="63"/>
      <c r="AV791" s="63"/>
      <c r="AW791" s="63"/>
      <c r="AX791" s="63">
        <f>--ISNUMBER(IFERROR(SEARCH(Tempset!$M$4,AM791,1),""))</f>
        <v>1</v>
      </c>
      <c r="AY791" s="63">
        <f>IF(AX791=1,COUNTIF($AX$3:AX791,1),"")</f>
        <v>789</v>
      </c>
      <c r="AZ791" s="63" t="str">
        <f>IFERROR(INDEX($AM$3:$AM$1165,MATCH(ROWS($AY$3:AY791),$AY$3:$AY$1165,0)),"")</f>
        <v>permHeadCount</v>
      </c>
    </row>
    <row r="792" spans="39:52" x14ac:dyDescent="0.2">
      <c r="AM792" s="63" t="s">
        <v>2593</v>
      </c>
      <c r="AN792" s="63" t="s">
        <v>2594</v>
      </c>
      <c r="AO792" s="63"/>
      <c r="AP792" s="63"/>
      <c r="AQ792" s="63"/>
      <c r="AR792" s="63"/>
      <c r="AS792" s="63"/>
      <c r="AT792" s="63"/>
      <c r="AV792" s="63"/>
      <c r="AW792" s="63"/>
      <c r="AX792" s="63">
        <f>--ISNUMBER(IFERROR(SEARCH(Tempset!$M$4,AM792,1),""))</f>
        <v>1</v>
      </c>
      <c r="AY792" s="63">
        <f>IF(AX792=1,COUNTIF($AX$3:AX792,1),"")</f>
        <v>790</v>
      </c>
      <c r="AZ792" s="63" t="str">
        <f>IFERROR(INDEX($AM$3:$AM$1165,MATCH(ROWS($AY$3:AY792),$AY$3:$AY$1165,0)),"")</f>
        <v>personnelExpenses</v>
      </c>
    </row>
    <row r="793" spans="39:52" x14ac:dyDescent="0.2">
      <c r="AM793" s="63" t="s">
        <v>2595</v>
      </c>
      <c r="AN793" s="63" t="s">
        <v>2596</v>
      </c>
      <c r="AO793" s="63"/>
      <c r="AP793" s="63"/>
      <c r="AQ793" s="63"/>
      <c r="AR793" s="63"/>
      <c r="AS793" s="63"/>
      <c r="AT793" s="63"/>
      <c r="AV793" s="63"/>
      <c r="AW793" s="63"/>
      <c r="AX793" s="63">
        <f>--ISNUMBER(IFERROR(SEARCH(Tempset!$M$4,AM793,1),""))</f>
        <v>1</v>
      </c>
      <c r="AY793" s="63">
        <f>IF(AX793=1,COUNTIF($AX$3:AX793,1),"")</f>
        <v>791</v>
      </c>
      <c r="AZ793" s="63" t="str">
        <f>IFERROR(INDEX($AM$3:$AM$1165,MATCH(ROWS($AY$3:AY793),$AY$3:$AY$1165,0)),"")</f>
        <v>PEValue</v>
      </c>
    </row>
    <row r="794" spans="39:52" x14ac:dyDescent="0.2">
      <c r="AM794" s="63" t="s">
        <v>2597</v>
      </c>
      <c r="AN794" s="63" t="s">
        <v>2598</v>
      </c>
      <c r="AO794" s="63"/>
      <c r="AP794" s="63"/>
      <c r="AQ794" s="63"/>
      <c r="AR794" s="63"/>
      <c r="AS794" s="63"/>
      <c r="AT794" s="63"/>
      <c r="AV794" s="63"/>
      <c r="AW794" s="63"/>
      <c r="AX794" s="63">
        <f>--ISNUMBER(IFERROR(SEARCH(Tempset!$M$4,AM794,1),""))</f>
        <v>1</v>
      </c>
      <c r="AY794" s="63">
        <f>IF(AX794=1,COUNTIF($AX$3:AX794,1),"")</f>
        <v>792</v>
      </c>
      <c r="AZ794" s="63" t="str">
        <f>IFERROR(INDEX($AM$3:$AM$1165,MATCH(ROWS($AY$3:AY794),$AY$3:$AY$1165,0)),"")</f>
        <v>pledgeEnforceableFlag</v>
      </c>
    </row>
    <row r="795" spans="39:52" x14ac:dyDescent="0.2">
      <c r="AM795" s="63" t="s">
        <v>2599</v>
      </c>
      <c r="AN795" s="63" t="s">
        <v>2600</v>
      </c>
      <c r="AO795" s="63"/>
      <c r="AP795" s="63"/>
      <c r="AQ795" s="63"/>
      <c r="AR795" s="63"/>
      <c r="AS795" s="63"/>
      <c r="AT795" s="63"/>
      <c r="AV795" s="63"/>
      <c r="AW795" s="63"/>
      <c r="AX795" s="63">
        <f>--ISNUMBER(IFERROR(SEARCH(Tempset!$M$4,AM795,1),""))</f>
        <v>1</v>
      </c>
      <c r="AY795" s="63">
        <f>IF(AX795=1,COUNTIF($AX$3:AX795,1),"")</f>
        <v>793</v>
      </c>
      <c r="AZ795" s="63" t="str">
        <f>IFERROR(INDEX($AM$3:$AM$1165,MATCH(ROWS($AY$3:AY795),$AY$3:$AY$1165,0)),"")</f>
        <v>pledgeFlag</v>
      </c>
    </row>
    <row r="796" spans="39:52" x14ac:dyDescent="0.2">
      <c r="AM796" s="63" t="s">
        <v>2601</v>
      </c>
      <c r="AN796" s="63" t="s">
        <v>2602</v>
      </c>
      <c r="AO796" s="63"/>
      <c r="AP796" s="63"/>
      <c r="AQ796" s="63"/>
      <c r="AR796" s="63"/>
      <c r="AS796" s="63"/>
      <c r="AT796" s="63"/>
      <c r="AV796" s="63"/>
      <c r="AW796" s="63"/>
      <c r="AX796" s="63">
        <f>--ISNUMBER(IFERROR(SEARCH(Tempset!$M$4,AM796,1),""))</f>
        <v>1</v>
      </c>
      <c r="AY796" s="63">
        <f>IF(AX796=1,COUNTIF($AX$3:AX796,1),"")</f>
        <v>794</v>
      </c>
      <c r="AZ796" s="63" t="str">
        <f>IFERROR(INDEX($AM$3:$AM$1165,MATCH(ROWS($AY$3:AY796),$AY$3:$AY$1165,0)),"")</f>
        <v>PMGIndustry</v>
      </c>
    </row>
    <row r="797" spans="39:52" x14ac:dyDescent="0.2">
      <c r="AM797" s="63" t="s">
        <v>2603</v>
      </c>
      <c r="AN797" s="63" t="s">
        <v>2604</v>
      </c>
      <c r="AO797" s="63"/>
      <c r="AP797" s="63"/>
      <c r="AQ797" s="63"/>
      <c r="AR797" s="63"/>
      <c r="AS797" s="63"/>
      <c r="AT797" s="63"/>
      <c r="AV797" s="63"/>
      <c r="AW797" s="63"/>
      <c r="AX797" s="63">
        <f>--ISNUMBER(IFERROR(SEARCH(Tempset!$M$4,AM797,1),""))</f>
        <v>1</v>
      </c>
      <c r="AY797" s="63">
        <f>IF(AX797=1,COUNTIF($AX$3:AX797,1),"")</f>
        <v>795</v>
      </c>
      <c r="AZ797" s="63" t="str">
        <f>IFERROR(INDEX($AM$3:$AM$1165,MATCH(ROWS($AY$3:AY797),$AY$3:$AY$1165,0)),"")</f>
        <v>PnLCostStructureNotes</v>
      </c>
    </row>
    <row r="798" spans="39:52" x14ac:dyDescent="0.2">
      <c r="AM798" s="63" t="s">
        <v>2605</v>
      </c>
      <c r="AN798" s="63" t="s">
        <v>2606</v>
      </c>
      <c r="AO798" s="63"/>
      <c r="AP798" s="63"/>
      <c r="AQ798" s="63"/>
      <c r="AR798" s="63"/>
      <c r="AS798" s="63"/>
      <c r="AT798" s="63"/>
      <c r="AV798" s="63"/>
      <c r="AW798" s="63"/>
      <c r="AX798" s="63">
        <f>--ISNUMBER(IFERROR(SEARCH(Tempset!$M$4,AM798,1),""))</f>
        <v>1</v>
      </c>
      <c r="AY798" s="63">
        <f>IF(AX798=1,COUNTIF($AX$3:AX798,1),"")</f>
        <v>796</v>
      </c>
      <c r="AZ798" s="63" t="str">
        <f>IFERROR(INDEX($AM$3:$AM$1165,MATCH(ROWS($AY$3:AY798),$AY$3:$AY$1165,0)),"")</f>
        <v>poolTypeCode</v>
      </c>
    </row>
    <row r="799" spans="39:52" x14ac:dyDescent="0.2">
      <c r="AM799" s="63" t="s">
        <v>2607</v>
      </c>
      <c r="AN799" s="63" t="s">
        <v>2608</v>
      </c>
      <c r="AO799" s="63"/>
      <c r="AP799" s="63"/>
      <c r="AQ799" s="63"/>
      <c r="AR799" s="63"/>
      <c r="AS799" s="63"/>
      <c r="AT799" s="63"/>
      <c r="AV799" s="63"/>
      <c r="AW799" s="63"/>
      <c r="AX799" s="63">
        <f>--ISNUMBER(IFERROR(SEARCH(Tempset!$M$4,AM799,1),""))</f>
        <v>1</v>
      </c>
      <c r="AY799" s="63">
        <f>IF(AX799=1,COUNTIF($AX$3:AX799,1),"")</f>
        <v>797</v>
      </c>
      <c r="AZ799" s="63" t="str">
        <f>IFERROR(INDEX($AM$3:$AM$1165,MATCH(ROWS($AY$3:AY799),$AY$3:$AY$1165,0)),"")</f>
        <v>portfolioRiskClassification</v>
      </c>
    </row>
    <row r="800" spans="39:52" x14ac:dyDescent="0.2">
      <c r="AM800" s="63" t="s">
        <v>2609</v>
      </c>
      <c r="AN800" s="63" t="s">
        <v>2610</v>
      </c>
      <c r="AO800" s="63"/>
      <c r="AP800" s="63"/>
      <c r="AQ800" s="63"/>
      <c r="AR800" s="63"/>
      <c r="AS800" s="63"/>
      <c r="AT800" s="63"/>
      <c r="AV800" s="63"/>
      <c r="AW800" s="63"/>
      <c r="AX800" s="63">
        <f>--ISNUMBER(IFERROR(SEARCH(Tempset!$M$4,AM800,1),""))</f>
        <v>1</v>
      </c>
      <c r="AY800" s="63">
        <f>IF(AX800=1,COUNTIF($AX$3:AX800,1),"")</f>
        <v>798</v>
      </c>
      <c r="AZ800" s="63" t="str">
        <f>IFERROR(INDEX($AM$3:$AM$1165,MATCH(ROWS($AY$3:AY800),$AY$3:$AY$1165,0)),"")</f>
        <v>positionCurrency</v>
      </c>
    </row>
    <row r="801" spans="39:52" x14ac:dyDescent="0.2">
      <c r="AM801" s="63" t="s">
        <v>2611</v>
      </c>
      <c r="AN801" s="63" t="s">
        <v>2612</v>
      </c>
      <c r="AO801" s="63"/>
      <c r="AP801" s="63"/>
      <c r="AQ801" s="63"/>
      <c r="AR801" s="63"/>
      <c r="AS801" s="63"/>
      <c r="AT801" s="63"/>
      <c r="AV801" s="63"/>
      <c r="AW801" s="63"/>
      <c r="AX801" s="63">
        <f>--ISNUMBER(IFERROR(SEARCH(Tempset!$M$4,AM801,1),""))</f>
        <v>1</v>
      </c>
      <c r="AY801" s="63">
        <f>IF(AX801=1,COUNTIF($AX$3:AX801,1),"")</f>
        <v>799</v>
      </c>
      <c r="AZ801" s="63" t="str">
        <f>IFERROR(INDEX($AM$3:$AM$1165,MATCH(ROWS($AY$3:AY801),$AY$3:$AY$1165,0)),"")</f>
        <v>positionNettingFlag</v>
      </c>
    </row>
    <row r="802" spans="39:52" x14ac:dyDescent="0.2">
      <c r="AM802" s="63" t="s">
        <v>2613</v>
      </c>
      <c r="AN802" s="63" t="s">
        <v>2614</v>
      </c>
      <c r="AO802" s="63"/>
      <c r="AP802" s="63"/>
      <c r="AQ802" s="63"/>
      <c r="AR802" s="63"/>
      <c r="AS802" s="63"/>
      <c r="AT802" s="63"/>
      <c r="AV802" s="63"/>
      <c r="AW802" s="63"/>
      <c r="AX802" s="63">
        <f>--ISNUMBER(IFERROR(SEARCH(Tempset!$M$4,AM802,1),""))</f>
        <v>1</v>
      </c>
      <c r="AY802" s="63">
        <f>IF(AX802=1,COUNTIF($AX$3:AX802,1),"")</f>
        <v>800</v>
      </c>
      <c r="AZ802" s="63" t="str">
        <f>IFERROR(INDEX($AM$3:$AM$1165,MATCH(ROWS($AY$3:AY802),$AY$3:$AY$1165,0)),"")</f>
        <v>positionRiskAllocated</v>
      </c>
    </row>
    <row r="803" spans="39:52" x14ac:dyDescent="0.2">
      <c r="AM803" s="63" t="s">
        <v>2615</v>
      </c>
      <c r="AN803" s="63" t="s">
        <v>2616</v>
      </c>
      <c r="AO803" s="63"/>
      <c r="AP803" s="63"/>
      <c r="AQ803" s="63"/>
      <c r="AR803" s="63"/>
      <c r="AS803" s="63"/>
      <c r="AT803" s="63"/>
      <c r="AV803" s="63"/>
      <c r="AW803" s="63"/>
      <c r="AX803" s="63">
        <f>--ISNUMBER(IFERROR(SEARCH(Tempset!$M$4,AM803,1),""))</f>
        <v>1</v>
      </c>
      <c r="AY803" s="63">
        <f>IF(AX803=1,COUNTIF($AX$3:AX803,1),"")</f>
        <v>801</v>
      </c>
      <c r="AZ803" s="63" t="str">
        <f>IFERROR(INDEX($AM$3:$AM$1165,MATCH(ROWS($AY$3:AY803),$AY$3:$AY$1165,0)),"")</f>
        <v>positionRiskERCValue</v>
      </c>
    </row>
    <row r="804" spans="39:52" x14ac:dyDescent="0.2">
      <c r="AM804" s="63" t="s">
        <v>2617</v>
      </c>
      <c r="AN804" s="63" t="s">
        <v>2618</v>
      </c>
      <c r="AO804" s="63"/>
      <c r="AP804" s="63"/>
      <c r="AQ804" s="63"/>
      <c r="AR804" s="63"/>
      <c r="AS804" s="63"/>
      <c r="AT804" s="63"/>
      <c r="AV804" s="63"/>
      <c r="AW804" s="63"/>
      <c r="AX804" s="63">
        <f>--ISNUMBER(IFERROR(SEARCH(Tempset!$M$4,AM804,1),""))</f>
        <v>1</v>
      </c>
      <c r="AY804" s="63">
        <f>IF(AX804=1,COUNTIF($AX$3:AX804,1),"")</f>
        <v>802</v>
      </c>
      <c r="AZ804" s="63" t="str">
        <f>IFERROR(INDEX($AM$3:$AM$1165,MATCH(ROWS($AY$3:AY804),$AY$3:$AY$1165,0)),"")</f>
        <v>positionRiskStandAlone</v>
      </c>
    </row>
    <row r="805" spans="39:52" x14ac:dyDescent="0.2">
      <c r="AM805" s="63" t="s">
        <v>2619</v>
      </c>
      <c r="AN805" s="63" t="s">
        <v>2620</v>
      </c>
      <c r="AO805" s="63"/>
      <c r="AP805" s="63"/>
      <c r="AQ805" s="63"/>
      <c r="AR805" s="63"/>
      <c r="AS805" s="63"/>
      <c r="AT805" s="63"/>
      <c r="AV805" s="63"/>
      <c r="AW805" s="63"/>
      <c r="AX805" s="63">
        <f>--ISNUMBER(IFERROR(SEARCH(Tempset!$M$4,AM805,1),""))</f>
        <v>1</v>
      </c>
      <c r="AY805" s="63">
        <f>IF(AX805=1,COUNTIF($AX$3:AX805,1),"")</f>
        <v>803</v>
      </c>
      <c r="AZ805" s="63" t="str">
        <f>IFERROR(INDEX($AM$3:$AM$1165,MATCH(ROWS($AY$3:AY805),$AY$3:$AY$1165,0)),"")</f>
        <v>positionType</v>
      </c>
    </row>
    <row r="806" spans="39:52" x14ac:dyDescent="0.2">
      <c r="AM806" s="63" t="s">
        <v>2621</v>
      </c>
      <c r="AN806" s="63" t="s">
        <v>2622</v>
      </c>
      <c r="AO806" s="63"/>
      <c r="AP806" s="63"/>
      <c r="AQ806" s="63"/>
      <c r="AR806" s="63"/>
      <c r="AS806" s="63"/>
      <c r="AT806" s="63"/>
      <c r="AV806" s="63"/>
      <c r="AW806" s="63"/>
      <c r="AX806" s="63">
        <f>--ISNUMBER(IFERROR(SEARCH(Tempset!$M$4,AM806,1),""))</f>
        <v>1</v>
      </c>
      <c r="AY806" s="63">
        <f>IF(AX806=1,COUNTIF($AX$3:AX806,1),"")</f>
        <v>804</v>
      </c>
      <c r="AZ806" s="63" t="str">
        <f>IFERROR(INDEX($AM$3:$AM$1165,MATCH(ROWS($AY$3:AY806),$AY$3:$AY$1165,0)),"")</f>
        <v>postHairCutCollateralValue</v>
      </c>
    </row>
    <row r="807" spans="39:52" x14ac:dyDescent="0.2">
      <c r="AM807" s="63" t="s">
        <v>2623</v>
      </c>
      <c r="AN807" s="63" t="s">
        <v>2624</v>
      </c>
      <c r="AO807" s="63"/>
      <c r="AP807" s="63"/>
      <c r="AQ807" s="63"/>
      <c r="AR807" s="63"/>
      <c r="AS807" s="63"/>
      <c r="AT807" s="63"/>
      <c r="AV807" s="63"/>
      <c r="AW807" s="63"/>
      <c r="AX807" s="63">
        <f>--ISNUMBER(IFERROR(SEARCH(Tempset!$M$4,AM807,1),""))</f>
        <v>1</v>
      </c>
      <c r="AY807" s="63">
        <f>IF(AX807=1,COUNTIF($AX$3:AX807,1),"")</f>
        <v>805</v>
      </c>
      <c r="AZ807" s="63" t="str">
        <f>IFERROR(INDEX($AM$3:$AM$1165,MATCH(ROWS($AY$3:AY807),$AY$3:$AY$1165,0)),"")</f>
        <v>postingAmount</v>
      </c>
    </row>
    <row r="808" spans="39:52" x14ac:dyDescent="0.2">
      <c r="AM808" s="63" t="s">
        <v>2625</v>
      </c>
      <c r="AN808" s="63" t="s">
        <v>2626</v>
      </c>
      <c r="AO808" s="63"/>
      <c r="AP808" s="63"/>
      <c r="AQ808" s="63"/>
      <c r="AR808" s="63"/>
      <c r="AS808" s="63"/>
      <c r="AT808" s="63"/>
      <c r="AV808" s="63"/>
      <c r="AW808" s="63"/>
      <c r="AX808" s="63">
        <f>--ISNUMBER(IFERROR(SEARCH(Tempset!$M$4,AM808,1),""))</f>
        <v>1</v>
      </c>
      <c r="AY808" s="63">
        <f>IF(AX808=1,COUNTIF($AX$3:AX808,1),"")</f>
        <v>806</v>
      </c>
      <c r="AZ808" s="63" t="str">
        <f>IFERROR(INDEX($AM$3:$AM$1165,MATCH(ROWS($AY$3:AY808),$AY$3:$AY$1165,0)),"")</f>
        <v>postingCurrency</v>
      </c>
    </row>
    <row r="809" spans="39:52" x14ac:dyDescent="0.2">
      <c r="AM809" s="63" t="s">
        <v>2627</v>
      </c>
      <c r="AN809" s="63" t="s">
        <v>2628</v>
      </c>
      <c r="AO809" s="63"/>
      <c r="AP809" s="63"/>
      <c r="AQ809" s="63"/>
      <c r="AR809" s="63"/>
      <c r="AS809" s="63"/>
      <c r="AT809" s="63"/>
      <c r="AV809" s="63"/>
      <c r="AW809" s="63"/>
      <c r="AX809" s="63">
        <f>--ISNUMBER(IFERROR(SEARCH(Tempset!$M$4,AM809,1),""))</f>
        <v>1</v>
      </c>
      <c r="AY809" s="63">
        <f>IF(AX809=1,COUNTIF($AX$3:AX809,1),"")</f>
        <v>807</v>
      </c>
      <c r="AZ809" s="63" t="str">
        <f>IFERROR(INDEX($AM$3:$AM$1165,MATCH(ROWS($AY$3:AY809),$AY$3:$AY$1165,0)),"")</f>
        <v>preCollateralisedExposureValue</v>
      </c>
    </row>
    <row r="810" spans="39:52" x14ac:dyDescent="0.2">
      <c r="AM810" s="63" t="s">
        <v>2629</v>
      </c>
      <c r="AN810" s="63" t="s">
        <v>2630</v>
      </c>
      <c r="AO810" s="63"/>
      <c r="AP810" s="63"/>
      <c r="AQ810" s="63"/>
      <c r="AR810" s="63"/>
      <c r="AS810" s="63"/>
      <c r="AT810" s="63"/>
      <c r="AV810" s="63"/>
      <c r="AW810" s="63"/>
      <c r="AX810" s="63">
        <f>--ISNUMBER(IFERROR(SEARCH(Tempset!$M$4,AM810,1),""))</f>
        <v>1</v>
      </c>
      <c r="AY810" s="63">
        <f>IF(AX810=1,COUNTIF($AX$3:AX810,1),"")</f>
        <v>808</v>
      </c>
      <c r="AZ810" s="63" t="str">
        <f>IFERROR(INDEX($AM$3:$AM$1165,MATCH(ROWS($AY$3:AY810),$AY$3:$AY$1165,0)),"")</f>
        <v>preferredStockIndicator</v>
      </c>
    </row>
    <row r="811" spans="39:52" x14ac:dyDescent="0.2">
      <c r="AM811" s="63" t="s">
        <v>2631</v>
      </c>
      <c r="AN811" s="63" t="s">
        <v>2632</v>
      </c>
      <c r="AO811" s="63"/>
      <c r="AP811" s="63"/>
      <c r="AQ811" s="63"/>
      <c r="AR811" s="63"/>
      <c r="AS811" s="63"/>
      <c r="AT811" s="63"/>
      <c r="AV811" s="63"/>
      <c r="AW811" s="63"/>
      <c r="AX811" s="63">
        <f>--ISNUMBER(IFERROR(SEARCH(Tempset!$M$4,AM811,1),""))</f>
        <v>1</v>
      </c>
      <c r="AY811" s="63">
        <f>IF(AX811=1,COUNTIF($AX$3:AX811,1),"")</f>
        <v>809</v>
      </c>
      <c r="AZ811" s="63" t="str">
        <f>IFERROR(INDEX($AM$3:$AM$1165,MATCH(ROWS($AY$3:AY811),$AY$3:$AY$1165,0)),"")</f>
        <v>premiumExchangeCount</v>
      </c>
    </row>
    <row r="812" spans="39:52" x14ac:dyDescent="0.2">
      <c r="AM812" s="63" t="s">
        <v>2633</v>
      </c>
      <c r="AN812" s="63" t="s">
        <v>2634</v>
      </c>
      <c r="AO812" s="63"/>
      <c r="AP812" s="63"/>
      <c r="AQ812" s="63"/>
      <c r="AR812" s="63"/>
      <c r="AS812" s="63"/>
      <c r="AT812" s="63"/>
      <c r="AV812" s="63"/>
      <c r="AW812" s="63"/>
      <c r="AX812" s="63">
        <f>--ISNUMBER(IFERROR(SEARCH(Tempset!$M$4,AM812,1),""))</f>
        <v>1</v>
      </c>
      <c r="AY812" s="63">
        <f>IF(AX812=1,COUNTIF($AX$3:AX812,1),"")</f>
        <v>810</v>
      </c>
      <c r="AZ812" s="63" t="str">
        <f>IFERROR(INDEX($AM$3:$AM$1165,MATCH(ROWS($AY$3:AY812),$AY$3:$AY$1165,0)),"")</f>
        <v>premiumIndicator</v>
      </c>
    </row>
    <row r="813" spans="39:52" x14ac:dyDescent="0.2">
      <c r="AM813" s="63" t="s">
        <v>2635</v>
      </c>
      <c r="AN813" s="63" t="s">
        <v>2636</v>
      </c>
      <c r="AO813" s="63"/>
      <c r="AP813" s="63"/>
      <c r="AQ813" s="63"/>
      <c r="AR813" s="63"/>
      <c r="AS813" s="63"/>
      <c r="AT813" s="63"/>
      <c r="AV813" s="63"/>
      <c r="AW813" s="63"/>
      <c r="AX813" s="63">
        <f>--ISNUMBER(IFERROR(SEARCH(Tempset!$M$4,AM813,1),""))</f>
        <v>1</v>
      </c>
      <c r="AY813" s="63">
        <f>IF(AX813=1,COUNTIF($AX$3:AX813,1),"")</f>
        <v>811</v>
      </c>
      <c r="AZ813" s="63" t="str">
        <f>IFERROR(INDEX($AM$3:$AM$1165,MATCH(ROWS($AY$3:AY813),$AY$3:$AY$1165,0)),"")</f>
        <v>preNetEADAmount</v>
      </c>
    </row>
    <row r="814" spans="39:52" x14ac:dyDescent="0.2">
      <c r="AM814" s="63" t="s">
        <v>2637</v>
      </c>
      <c r="AN814" s="63" t="s">
        <v>2638</v>
      </c>
      <c r="AO814" s="63"/>
      <c r="AP814" s="63"/>
      <c r="AQ814" s="63"/>
      <c r="AR814" s="63"/>
      <c r="AS814" s="63"/>
      <c r="AT814" s="63"/>
      <c r="AV814" s="63"/>
      <c r="AW814" s="63"/>
      <c r="AX814" s="63">
        <f>--ISNUMBER(IFERROR(SEARCH(Tempset!$M$4,AM814,1),""))</f>
        <v>1</v>
      </c>
      <c r="AY814" s="63">
        <f>IF(AX814=1,COUNTIF($AX$3:AX814,1),"")</f>
        <v>812</v>
      </c>
      <c r="AZ814" s="63" t="str">
        <f>IFERROR(INDEX($AM$3:$AM$1165,MATCH(ROWS($AY$3:AY814),$AY$3:$AY$1165,0)),"")</f>
        <v>presentValue</v>
      </c>
    </row>
    <row r="815" spans="39:52" x14ac:dyDescent="0.2">
      <c r="AM815" s="63" t="s">
        <v>2639</v>
      </c>
      <c r="AN815" s="63" t="s">
        <v>2640</v>
      </c>
      <c r="AO815" s="63"/>
      <c r="AP815" s="63"/>
      <c r="AQ815" s="63"/>
      <c r="AR815" s="63"/>
      <c r="AS815" s="63"/>
      <c r="AT815" s="63"/>
      <c r="AV815" s="63"/>
      <c r="AW815" s="63"/>
      <c r="AX815" s="63">
        <f>--ISNUMBER(IFERROR(SEARCH(Tempset!$M$4,AM815,1),""))</f>
        <v>1</v>
      </c>
      <c r="AY815" s="63">
        <f>IF(AX815=1,COUNTIF($AX$3:AX815,1),"")</f>
        <v>813</v>
      </c>
      <c r="AZ815" s="63" t="str">
        <f>IFERROR(INDEX($AM$3:$AM$1165,MATCH(ROWS($AY$3:AY815),$AY$3:$AY$1165,0)),"")</f>
        <v>presentValueCurrency</v>
      </c>
    </row>
    <row r="816" spans="39:52" x14ac:dyDescent="0.2">
      <c r="AM816" s="63" t="s">
        <v>2641</v>
      </c>
      <c r="AN816" s="63" t="s">
        <v>2642</v>
      </c>
      <c r="AO816" s="63"/>
      <c r="AP816" s="63"/>
      <c r="AQ816" s="63"/>
      <c r="AR816" s="63"/>
      <c r="AS816" s="63"/>
      <c r="AT816" s="63"/>
      <c r="AV816" s="63"/>
      <c r="AW816" s="63"/>
      <c r="AX816" s="63">
        <f>--ISNUMBER(IFERROR(SEARCH(Tempset!$M$4,AM816,1),""))</f>
        <v>1</v>
      </c>
      <c r="AY816" s="63">
        <f>IF(AX816=1,COUNTIF($AX$3:AX816,1),"")</f>
        <v>814</v>
      </c>
      <c r="AZ816" s="63" t="str">
        <f>IFERROR(INDEX($AM$3:$AM$1165,MATCH(ROWS($AY$3:AY816),$AY$3:$AY$1165,0)),"")</f>
        <v>priceBand</v>
      </c>
    </row>
    <row r="817" spans="39:52" x14ac:dyDescent="0.2">
      <c r="AM817" s="63" t="s">
        <v>2643</v>
      </c>
      <c r="AN817" s="63" t="s">
        <v>2644</v>
      </c>
      <c r="AO817" s="63"/>
      <c r="AP817" s="63"/>
      <c r="AQ817" s="63"/>
      <c r="AR817" s="63"/>
      <c r="AS817" s="63"/>
      <c r="AT817" s="63"/>
      <c r="AV817" s="63"/>
      <c r="AW817" s="63"/>
      <c r="AX817" s="63">
        <f>--ISNUMBER(IFERROR(SEARCH(Tempset!$M$4,AM817,1),""))</f>
        <v>1</v>
      </c>
      <c r="AY817" s="63">
        <f>IF(AX817=1,COUNTIF($AX$3:AX817,1),"")</f>
        <v>815</v>
      </c>
      <c r="AZ817" s="63" t="str">
        <f>IFERROR(INDEX($AM$3:$AM$1165,MATCH(ROWS($AY$3:AY817),$AY$3:$AY$1165,0)),"")</f>
        <v>priceOfUnderlying</v>
      </c>
    </row>
    <row r="818" spans="39:52" x14ac:dyDescent="0.2">
      <c r="AM818" s="63" t="s">
        <v>2645</v>
      </c>
      <c r="AN818" s="63" t="s">
        <v>2646</v>
      </c>
      <c r="AO818" s="63"/>
      <c r="AP818" s="63"/>
      <c r="AQ818" s="63"/>
      <c r="AR818" s="63"/>
      <c r="AS818" s="63"/>
      <c r="AT818" s="63"/>
      <c r="AV818" s="63"/>
      <c r="AW818" s="63"/>
      <c r="AX818" s="63">
        <f>--ISNUMBER(IFERROR(SEARCH(Tempset!$M$4,AM818,1),""))</f>
        <v>1</v>
      </c>
      <c r="AY818" s="63">
        <f>IF(AX818=1,COUNTIF($AX$3:AX818,1),"")</f>
        <v>816</v>
      </c>
      <c r="AZ818" s="63" t="str">
        <f>IFERROR(INDEX($AM$3:$AM$1165,MATCH(ROWS($AY$3:AY818),$AY$3:$AY$1165,0)),"")</f>
        <v>pricingMethod</v>
      </c>
    </row>
    <row r="819" spans="39:52" x14ac:dyDescent="0.2">
      <c r="AM819" s="63" t="s">
        <v>2647</v>
      </c>
      <c r="AN819" s="63" t="s">
        <v>2648</v>
      </c>
      <c r="AO819" s="63"/>
      <c r="AP819" s="63"/>
      <c r="AQ819" s="63"/>
      <c r="AR819" s="63"/>
      <c r="AS819" s="63"/>
      <c r="AT819" s="63"/>
      <c r="AV819" s="63"/>
      <c r="AW819" s="63"/>
      <c r="AX819" s="63">
        <f>--ISNUMBER(IFERROR(SEARCH(Tempset!$M$4,AM819,1),""))</f>
        <v>1</v>
      </c>
      <c r="AY819" s="63">
        <f>IF(AX819=1,COUNTIF($AX$3:AX819,1),"")</f>
        <v>817</v>
      </c>
      <c r="AZ819" s="63" t="str">
        <f>IFERROR(INDEX($AM$3:$AM$1165,MATCH(ROWS($AY$3:AY819),$AY$3:$AY$1165,0)),"")</f>
        <v>primaryLLK</v>
      </c>
    </row>
    <row r="820" spans="39:52" x14ac:dyDescent="0.2">
      <c r="AM820" s="63" t="s">
        <v>2649</v>
      </c>
      <c r="AN820" s="63" t="s">
        <v>2650</v>
      </c>
      <c r="AO820" s="63"/>
      <c r="AP820" s="63"/>
      <c r="AQ820" s="63"/>
      <c r="AR820" s="63"/>
      <c r="AS820" s="63"/>
      <c r="AT820" s="63"/>
      <c r="AV820" s="63"/>
      <c r="AW820" s="63"/>
      <c r="AX820" s="63">
        <f>--ISNUMBER(IFERROR(SEARCH(Tempset!$M$4,AM820,1),""))</f>
        <v>1</v>
      </c>
      <c r="AY820" s="63">
        <f>IF(AX820=1,COUNTIF($AX$3:AX820,1),"")</f>
        <v>818</v>
      </c>
      <c r="AZ820" s="63" t="str">
        <f>IFERROR(INDEX($AM$3:$AM$1165,MATCH(ROWS($AY$3:AY820),$AY$3:$AY$1165,0)),"")</f>
        <v>primaryLLKStatus</v>
      </c>
    </row>
    <row r="821" spans="39:52" x14ac:dyDescent="0.2">
      <c r="AM821" s="63" t="s">
        <v>2651</v>
      </c>
      <c r="AN821" s="63" t="s">
        <v>2652</v>
      </c>
      <c r="AO821" s="63"/>
      <c r="AP821" s="63"/>
      <c r="AQ821" s="63"/>
      <c r="AR821" s="63"/>
      <c r="AS821" s="63"/>
      <c r="AT821" s="63"/>
      <c r="AV821" s="63"/>
      <c r="AW821" s="63"/>
      <c r="AX821" s="63">
        <f>--ISNUMBER(IFERROR(SEARCH(Tempset!$M$4,AM821,1),""))</f>
        <v>1</v>
      </c>
      <c r="AY821" s="63">
        <f>IF(AX821=1,COUNTIF($AX$3:AX821,1),"")</f>
        <v>819</v>
      </c>
      <c r="AZ821" s="63" t="str">
        <f>IFERROR(INDEX($AM$3:$AM$1165,MATCH(ROWS($AY$3:AY821),$AY$3:$AY$1165,0)),"")</f>
        <v>primarySecurityType</v>
      </c>
    </row>
    <row r="822" spans="39:52" x14ac:dyDescent="0.2">
      <c r="AM822" s="63" t="s">
        <v>2653</v>
      </c>
      <c r="AN822" s="63" t="s">
        <v>2654</v>
      </c>
      <c r="AO822" s="63"/>
      <c r="AP822" s="63"/>
      <c r="AQ822" s="63"/>
      <c r="AR822" s="63"/>
      <c r="AS822" s="63"/>
      <c r="AT822" s="63"/>
      <c r="AV822" s="63"/>
      <c r="AW822" s="63"/>
      <c r="AX822" s="63">
        <f>--ISNUMBER(IFERROR(SEARCH(Tempset!$M$4,AM822,1),""))</f>
        <v>1</v>
      </c>
      <c r="AY822" s="63">
        <f>IF(AX822=1,COUNTIF($AX$3:AX822,1),"")</f>
        <v>820</v>
      </c>
      <c r="AZ822" s="63" t="str">
        <f>IFERROR(INDEX($AM$3:$AM$1165,MATCH(ROWS($AY$3:AY822),$AY$3:$AY$1165,0)),"")</f>
        <v>principalAmount</v>
      </c>
    </row>
    <row r="823" spans="39:52" x14ac:dyDescent="0.2">
      <c r="AM823" s="63" t="s">
        <v>2655</v>
      </c>
      <c r="AN823" s="63" t="s">
        <v>2656</v>
      </c>
      <c r="AO823" s="63"/>
      <c r="AP823" s="63"/>
      <c r="AQ823" s="63"/>
      <c r="AR823" s="63"/>
      <c r="AS823" s="63"/>
      <c r="AT823" s="63"/>
      <c r="AV823" s="63"/>
      <c r="AW823" s="63"/>
      <c r="AX823" s="63">
        <f>--ISNUMBER(IFERROR(SEARCH(Tempset!$M$4,AM823,1),""))</f>
        <v>1</v>
      </c>
      <c r="AY823" s="63">
        <f>IF(AX823=1,COUNTIF($AX$3:AX823,1),"")</f>
        <v>821</v>
      </c>
      <c r="AZ823" s="63" t="str">
        <f>IFERROR(INDEX($AM$3:$AM$1165,MATCH(ROWS($AY$3:AY823),$AY$3:$AY$1165,0)),"")</f>
        <v>privateLabelCMBSERCValue</v>
      </c>
    </row>
    <row r="824" spans="39:52" x14ac:dyDescent="0.2">
      <c r="AM824" s="63" t="s">
        <v>2657</v>
      </c>
      <c r="AN824" s="63" t="s">
        <v>2658</v>
      </c>
      <c r="AO824" s="63"/>
      <c r="AP824" s="63"/>
      <c r="AQ824" s="63"/>
      <c r="AR824" s="63"/>
      <c r="AS824" s="63"/>
      <c r="AT824" s="63"/>
      <c r="AV824" s="63"/>
      <c r="AW824" s="63"/>
      <c r="AX824" s="63">
        <f>--ISNUMBER(IFERROR(SEARCH(Tempset!$M$4,AM824,1),""))</f>
        <v>1</v>
      </c>
      <c r="AY824" s="63">
        <f>IF(AX824=1,COUNTIF($AX$3:AX824,1),"")</f>
        <v>822</v>
      </c>
      <c r="AZ824" s="63" t="str">
        <f>IFERROR(INDEX($AM$3:$AM$1165,MATCH(ROWS($AY$3:AY824),$AY$3:$AY$1165,0)),"")</f>
        <v>privateLabelRMBSERCValue</v>
      </c>
    </row>
    <row r="825" spans="39:52" x14ac:dyDescent="0.2">
      <c r="AM825" s="63" t="s">
        <v>2659</v>
      </c>
      <c r="AN825" s="63" t="s">
        <v>2660</v>
      </c>
      <c r="AO825" s="63"/>
      <c r="AP825" s="63"/>
      <c r="AQ825" s="63"/>
      <c r="AR825" s="63"/>
      <c r="AS825" s="63"/>
      <c r="AT825" s="63"/>
      <c r="AV825" s="63"/>
      <c r="AW825" s="63"/>
      <c r="AX825" s="63">
        <f>--ISNUMBER(IFERROR(SEARCH(Tempset!$M$4,AM825,1),""))</f>
        <v>1</v>
      </c>
      <c r="AY825" s="63">
        <f>IF(AX825=1,COUNTIF($AX$3:AX825,1),"")</f>
        <v>823</v>
      </c>
      <c r="AZ825" s="63" t="str">
        <f>IFERROR(INDEX($AM$3:$AM$1165,MATCH(ROWS($AY$3:AY825),$AY$3:$AY$1165,0)),"")</f>
        <v>probabilityOfDefaultValue</v>
      </c>
    </row>
    <row r="826" spans="39:52" x14ac:dyDescent="0.2">
      <c r="AM826" s="63" t="s">
        <v>2661</v>
      </c>
      <c r="AN826" s="63" t="s">
        <v>2662</v>
      </c>
      <c r="AO826" s="63"/>
      <c r="AP826" s="63"/>
      <c r="AQ826" s="63"/>
      <c r="AR826" s="63"/>
      <c r="AS826" s="63"/>
      <c r="AT826" s="63"/>
      <c r="AV826" s="63"/>
      <c r="AW826" s="63"/>
      <c r="AX826" s="63">
        <f>--ISNUMBER(IFERROR(SEARCH(Tempset!$M$4,AM826,1),""))</f>
        <v>1</v>
      </c>
      <c r="AY826" s="63">
        <f>IF(AX826=1,COUNTIF($AX$3:AX826,1),"")</f>
        <v>824</v>
      </c>
      <c r="AZ826" s="63" t="str">
        <f>IFERROR(INDEX($AM$3:$AM$1165,MATCH(ROWS($AY$3:AY826),$AY$3:$AY$1165,0)),"")</f>
        <v>productClassificationCode</v>
      </c>
    </row>
    <row r="827" spans="39:52" x14ac:dyDescent="0.2">
      <c r="AM827" s="63" t="s">
        <v>2663</v>
      </c>
      <c r="AN827" s="63" t="s">
        <v>2664</v>
      </c>
      <c r="AO827" s="63"/>
      <c r="AP827" s="63"/>
      <c r="AQ827" s="63"/>
      <c r="AR827" s="63"/>
      <c r="AS827" s="63"/>
      <c r="AT827" s="63"/>
      <c r="AV827" s="63"/>
      <c r="AW827" s="63"/>
      <c r="AX827" s="63">
        <f>--ISNUMBER(IFERROR(SEARCH(Tempset!$M$4,AM827,1),""))</f>
        <v>1</v>
      </c>
      <c r="AY827" s="63">
        <f>IF(AX827=1,COUNTIF($AX$3:AX827,1),"")</f>
        <v>825</v>
      </c>
      <c r="AZ827" s="63" t="str">
        <f>IFERROR(INDEX($AM$3:$AM$1165,MATCH(ROWS($AY$3:AY827),$AY$3:$AY$1165,0)),"")</f>
        <v>productFileTypeCode</v>
      </c>
    </row>
    <row r="828" spans="39:52" x14ac:dyDescent="0.2">
      <c r="AM828" s="63" t="s">
        <v>2665</v>
      </c>
      <c r="AN828" s="63" t="s">
        <v>2666</v>
      </c>
      <c r="AO828" s="63"/>
      <c r="AP828" s="63"/>
      <c r="AQ828" s="63"/>
      <c r="AR828" s="63"/>
      <c r="AS828" s="63"/>
      <c r="AT828" s="63"/>
      <c r="AV828" s="63"/>
      <c r="AW828" s="63"/>
      <c r="AX828" s="63">
        <f>--ISNUMBER(IFERROR(SEARCH(Tempset!$M$4,AM828,1),""))</f>
        <v>1</v>
      </c>
      <c r="AY828" s="63">
        <f>IF(AX828=1,COUNTIF($AX$3:AX828,1),"")</f>
        <v>826</v>
      </c>
      <c r="AZ828" s="63" t="str">
        <f>IFERROR(INDEX($AM$3:$AM$1165,MATCH(ROWS($AY$3:AY828),$AY$3:$AY$1165,0)),"")</f>
        <v>productHierarchyLevel1</v>
      </c>
    </row>
    <row r="829" spans="39:52" x14ac:dyDescent="0.2">
      <c r="AM829" s="63" t="s">
        <v>2667</v>
      </c>
      <c r="AN829" s="63" t="s">
        <v>2668</v>
      </c>
      <c r="AO829" s="63"/>
      <c r="AP829" s="63"/>
      <c r="AQ829" s="63"/>
      <c r="AR829" s="63"/>
      <c r="AS829" s="63"/>
      <c r="AT829" s="63"/>
      <c r="AV829" s="63"/>
      <c r="AW829" s="63"/>
      <c r="AX829" s="63">
        <f>--ISNUMBER(IFERROR(SEARCH(Tempset!$M$4,AM829,1),""))</f>
        <v>1</v>
      </c>
      <c r="AY829" s="63">
        <f>IF(AX829=1,COUNTIF($AX$3:AX829,1),"")</f>
        <v>827</v>
      </c>
      <c r="AZ829" s="63" t="str">
        <f>IFERROR(INDEX($AM$3:$AM$1165,MATCH(ROWS($AY$3:AY829),$AY$3:$AY$1165,0)),"")</f>
        <v>productHierarchyLevel2</v>
      </c>
    </row>
    <row r="830" spans="39:52" x14ac:dyDescent="0.2">
      <c r="AM830" s="63" t="s">
        <v>2669</v>
      </c>
      <c r="AN830" s="63" t="s">
        <v>2670</v>
      </c>
      <c r="AO830" s="63"/>
      <c r="AP830" s="63"/>
      <c r="AQ830" s="63"/>
      <c r="AR830" s="63"/>
      <c r="AS830" s="63"/>
      <c r="AT830" s="63"/>
      <c r="AV830" s="63"/>
      <c r="AW830" s="63"/>
      <c r="AX830" s="63">
        <f>--ISNUMBER(IFERROR(SEARCH(Tempset!$M$4,AM830,1),""))</f>
        <v>1</v>
      </c>
      <c r="AY830" s="63">
        <f>IF(AX830=1,COUNTIF($AX$3:AX830,1),"")</f>
        <v>828</v>
      </c>
      <c r="AZ830" s="63" t="str">
        <f>IFERROR(INDEX($AM$3:$AM$1165,MATCH(ROWS($AY$3:AY830),$AY$3:$AY$1165,0)),"")</f>
        <v>productHierarchyLevel3</v>
      </c>
    </row>
    <row r="831" spans="39:52" x14ac:dyDescent="0.2">
      <c r="AM831" s="63" t="s">
        <v>2671</v>
      </c>
      <c r="AN831" s="63" t="s">
        <v>2672</v>
      </c>
      <c r="AO831" s="63"/>
      <c r="AP831" s="63"/>
      <c r="AQ831" s="63"/>
      <c r="AR831" s="63"/>
      <c r="AS831" s="63"/>
      <c r="AT831" s="63"/>
      <c r="AV831" s="63"/>
      <c r="AW831" s="63"/>
      <c r="AX831" s="63">
        <f>--ISNUMBER(IFERROR(SEARCH(Tempset!$M$4,AM831,1),""))</f>
        <v>1</v>
      </c>
      <c r="AY831" s="63">
        <f>IF(AX831=1,COUNTIF($AX$3:AX831,1),"")</f>
        <v>829</v>
      </c>
      <c r="AZ831" s="63" t="str">
        <f>IFERROR(INDEX($AM$3:$AM$1165,MATCH(ROWS($AY$3:AY831),$AY$3:$AY$1165,0)),"")</f>
        <v>productID</v>
      </c>
    </row>
    <row r="832" spans="39:52" x14ac:dyDescent="0.2">
      <c r="AM832" s="63" t="s">
        <v>2673</v>
      </c>
      <c r="AN832" s="63" t="s">
        <v>2674</v>
      </c>
      <c r="AO832" s="63"/>
      <c r="AP832" s="63"/>
      <c r="AQ832" s="63"/>
      <c r="AR832" s="63"/>
      <c r="AS832" s="63"/>
      <c r="AT832" s="63"/>
      <c r="AV832" s="63"/>
      <c r="AW832" s="63"/>
      <c r="AX832" s="63">
        <f>--ISNUMBER(IFERROR(SEARCH(Tempset!$M$4,AM832,1),""))</f>
        <v>1</v>
      </c>
      <c r="AY832" s="63">
        <f>IF(AX832=1,COUNTIF($AX$3:AX832,1),"")</f>
        <v>830</v>
      </c>
      <c r="AZ832" s="63" t="str">
        <f>IFERROR(INDEX($AM$3:$AM$1165,MATCH(ROWS($AY$3:AY832),$AY$3:$AY$1165,0)),"")</f>
        <v>productName</v>
      </c>
    </row>
    <row r="833" spans="39:52" x14ac:dyDescent="0.2">
      <c r="AM833" s="63" t="s">
        <v>2675</v>
      </c>
      <c r="AN833" s="63" t="s">
        <v>2676</v>
      </c>
      <c r="AO833" s="63"/>
      <c r="AP833" s="63"/>
      <c r="AQ833" s="63"/>
      <c r="AR833" s="63"/>
      <c r="AS833" s="63"/>
      <c r="AT833" s="63"/>
      <c r="AV833" s="63"/>
      <c r="AW833" s="63"/>
      <c r="AX833" s="63">
        <f>--ISNUMBER(IFERROR(SEARCH(Tempset!$M$4,AM833,1),""))</f>
        <v>1</v>
      </c>
      <c r="AY833" s="63">
        <f>IF(AX833=1,COUNTIF($AX$3:AX833,1),"")</f>
        <v>831</v>
      </c>
      <c r="AZ833" s="63" t="str">
        <f>IFERROR(INDEX($AM$3:$AM$1165,MATCH(ROWS($AY$3:AY833),$AY$3:$AY$1165,0)),"")</f>
        <v>productUnderlyingExchangeId</v>
      </c>
    </row>
    <row r="834" spans="39:52" x14ac:dyDescent="0.2">
      <c r="AM834" s="63" t="s">
        <v>2677</v>
      </c>
      <c r="AN834" s="63" t="s">
        <v>2678</v>
      </c>
      <c r="AO834" s="63"/>
      <c r="AP834" s="63"/>
      <c r="AQ834" s="63"/>
      <c r="AR834" s="63"/>
      <c r="AS834" s="63"/>
      <c r="AT834" s="63"/>
      <c r="AV834" s="63"/>
      <c r="AW834" s="63"/>
      <c r="AX834" s="63">
        <f>--ISNUMBER(IFERROR(SEARCH(Tempset!$M$4,AM834,1),""))</f>
        <v>1</v>
      </c>
      <c r="AY834" s="63">
        <f>IF(AX834=1,COUNTIF($AX$3:AX834,1),"")</f>
        <v>832</v>
      </c>
      <c r="AZ834" s="63" t="str">
        <f>IFERROR(INDEX($AM$3:$AM$1165,MATCH(ROWS($AY$3:AY834),$AY$3:$AY$1165,0)),"")</f>
        <v>projectedCashAwardExpense</v>
      </c>
    </row>
    <row r="835" spans="39:52" x14ac:dyDescent="0.2">
      <c r="AM835" s="63" t="s">
        <v>2679</v>
      </c>
      <c r="AN835" s="63" t="s">
        <v>2680</v>
      </c>
      <c r="AO835" s="63"/>
      <c r="AP835" s="63"/>
      <c r="AQ835" s="63"/>
      <c r="AR835" s="63"/>
      <c r="AS835" s="63"/>
      <c r="AT835" s="63"/>
      <c r="AV835" s="63"/>
      <c r="AW835" s="63"/>
      <c r="AX835" s="63">
        <f>--ISNUMBER(IFERROR(SEARCH(Tempset!$M$4,AM835,1),""))</f>
        <v>1</v>
      </c>
      <c r="AY835" s="63">
        <f>IF(AX835=1,COUNTIF($AX$3:AX835,1),"")</f>
        <v>833</v>
      </c>
      <c r="AZ835" s="63" t="str">
        <f>IFERROR(INDEX($AM$3:$AM$1165,MATCH(ROWS($AY$3:AY835),$AY$3:$AY$1165,0)),"")</f>
        <v>ProjectedCashVariablePayIPB</v>
      </c>
    </row>
    <row r="836" spans="39:52" x14ac:dyDescent="0.2">
      <c r="AM836" s="63" t="s">
        <v>2681</v>
      </c>
      <c r="AN836" s="63" t="s">
        <v>2682</v>
      </c>
      <c r="AO836" s="63"/>
      <c r="AP836" s="63"/>
      <c r="AQ836" s="63"/>
      <c r="AR836" s="63"/>
      <c r="AS836" s="63"/>
      <c r="AT836" s="63"/>
      <c r="AV836" s="63"/>
      <c r="AW836" s="63"/>
      <c r="AX836" s="63">
        <f>--ISNUMBER(IFERROR(SEARCH(Tempset!$M$4,AM836,1),""))</f>
        <v>1</v>
      </c>
      <c r="AY836" s="63">
        <f>IF(AX836=1,COUNTIF($AX$3:AX836,1),"")</f>
        <v>834</v>
      </c>
      <c r="AZ836" s="63" t="str">
        <f>IFERROR(INDEX($AM$3:$AM$1165,MATCH(ROWS($AY$3:AY836),$AY$3:$AY$1165,0)),"")</f>
        <v>projectedDeferredAwardExpense</v>
      </c>
    </row>
    <row r="837" spans="39:52" x14ac:dyDescent="0.2">
      <c r="AM837" s="63" t="s">
        <v>2683</v>
      </c>
      <c r="AN837" s="63" t="s">
        <v>2684</v>
      </c>
      <c r="AO837" s="63"/>
      <c r="AP837" s="63"/>
      <c r="AQ837" s="63"/>
      <c r="AR837" s="63"/>
      <c r="AS837" s="63"/>
      <c r="AT837" s="63"/>
      <c r="AV837" s="63"/>
      <c r="AW837" s="63"/>
      <c r="AX837" s="63">
        <f>--ISNUMBER(IFERROR(SEARCH(Tempset!$M$4,AM837,1),""))</f>
        <v>1</v>
      </c>
      <c r="AY837" s="63">
        <f>IF(AX837=1,COUNTIF($AX$3:AX837,1),"")</f>
        <v>835</v>
      </c>
      <c r="AZ837" s="63" t="str">
        <f>IFERROR(INDEX($AM$3:$AM$1165,MATCH(ROWS($AY$3:AY837),$AY$3:$AY$1165,0)),"")</f>
        <v>projectedFeeAmount</v>
      </c>
    </row>
    <row r="838" spans="39:52" x14ac:dyDescent="0.2">
      <c r="AM838" s="63" t="s">
        <v>2685</v>
      </c>
      <c r="AN838" s="63" t="s">
        <v>2686</v>
      </c>
      <c r="AO838" s="63"/>
      <c r="AP838" s="63"/>
      <c r="AQ838" s="63"/>
      <c r="AR838" s="63"/>
      <c r="AS838" s="63"/>
      <c r="AT838" s="63"/>
      <c r="AV838" s="63"/>
      <c r="AW838" s="63"/>
      <c r="AX838" s="63">
        <f>--ISNUMBER(IFERROR(SEARCH(Tempset!$M$4,AM838,1),""))</f>
        <v>1</v>
      </c>
      <c r="AY838" s="63">
        <f>IF(AX838=1,COUNTIF($AX$3:AX838,1),"")</f>
        <v>836</v>
      </c>
      <c r="AZ838" s="63" t="str">
        <f>IFERROR(INDEX($AM$3:$AM$1165,MATCH(ROWS($AY$3:AY838),$AY$3:$AY$1165,0)),"")</f>
        <v>ProjectedLeverageExposure</v>
      </c>
    </row>
    <row r="839" spans="39:52" x14ac:dyDescent="0.2">
      <c r="AM839" s="63" t="s">
        <v>2687</v>
      </c>
      <c r="AN839" s="63" t="s">
        <v>2688</v>
      </c>
      <c r="AO839" s="63"/>
      <c r="AP839" s="63"/>
      <c r="AQ839" s="63"/>
      <c r="AR839" s="63"/>
      <c r="AS839" s="63"/>
      <c r="AT839" s="63"/>
      <c r="AV839" s="63"/>
      <c r="AW839" s="63"/>
      <c r="AX839" s="63">
        <f>--ISNUMBER(IFERROR(SEARCH(Tempset!$M$4,AM839,1),""))</f>
        <v>1</v>
      </c>
      <c r="AY839" s="63">
        <f>IF(AX839=1,COUNTIF($AX$3:AX839,1),"")</f>
        <v>837</v>
      </c>
      <c r="AZ839" s="63" t="str">
        <f>IFERROR(INDEX($AM$3:$AM$1165,MATCH(ROWS($AY$3:AY839),$AY$3:$AY$1165,0)),"")</f>
        <v>projectedLeverageExposureValue</v>
      </c>
    </row>
    <row r="840" spans="39:52" x14ac:dyDescent="0.2">
      <c r="AM840" s="63" t="s">
        <v>2689</v>
      </c>
      <c r="AN840" s="63" t="s">
        <v>2690</v>
      </c>
      <c r="AO840" s="63"/>
      <c r="AP840" s="63"/>
      <c r="AQ840" s="63"/>
      <c r="AR840" s="63"/>
      <c r="AS840" s="63"/>
      <c r="AT840" s="63"/>
      <c r="AV840" s="63"/>
      <c r="AW840" s="63"/>
      <c r="AX840" s="63">
        <f>--ISNUMBER(IFERROR(SEARCH(Tempset!$M$4,AM840,1),""))</f>
        <v>1</v>
      </c>
      <c r="AY840" s="63">
        <f>IF(AX840=1,COUNTIF($AX$3:AX840,1),"")</f>
        <v>838</v>
      </c>
      <c r="AZ840" s="63" t="str">
        <f>IFERROR(INDEX($AM$3:$AM$1165,MATCH(ROWS($AY$3:AY840),$AY$3:$AY$1165,0)),"")</f>
        <v>ProjectedOperationalRiskExpense</v>
      </c>
    </row>
    <row r="841" spans="39:52" x14ac:dyDescent="0.2">
      <c r="AM841" s="63" t="s">
        <v>2691</v>
      </c>
      <c r="AN841" s="63" t="s">
        <v>2692</v>
      </c>
      <c r="AO841" s="63"/>
      <c r="AP841" s="63"/>
      <c r="AQ841" s="63"/>
      <c r="AR841" s="63"/>
      <c r="AS841" s="63"/>
      <c r="AT841" s="63"/>
      <c r="AV841" s="63"/>
      <c r="AW841" s="63"/>
      <c r="AX841" s="63">
        <f>--ISNUMBER(IFERROR(SEARCH(Tempset!$M$4,AM841,1),""))</f>
        <v>1</v>
      </c>
      <c r="AY841" s="63">
        <f>IF(AX841=1,COUNTIF($AX$3:AX841,1),"")</f>
        <v>839</v>
      </c>
      <c r="AZ841" s="63" t="str">
        <f>IFERROR(INDEX($AM$3:$AM$1165,MATCH(ROWS($AY$3:AY841),$AY$3:$AY$1165,0)),"")</f>
        <v>projectedPreAdjustedPreTaxIncome</v>
      </c>
    </row>
    <row r="842" spans="39:52" x14ac:dyDescent="0.2">
      <c r="AM842" s="63" t="s">
        <v>2693</v>
      </c>
      <c r="AN842" s="63" t="s">
        <v>2694</v>
      </c>
      <c r="AO842" s="63"/>
      <c r="AP842" s="63"/>
      <c r="AQ842" s="63"/>
      <c r="AR842" s="63"/>
      <c r="AS842" s="63"/>
      <c r="AT842" s="63"/>
      <c r="AV842" s="63"/>
      <c r="AW842" s="63"/>
      <c r="AX842" s="63">
        <f>--ISNUMBER(IFERROR(SEARCH(Tempset!$M$4,AM842,1),""))</f>
        <v>1</v>
      </c>
      <c r="AY842" s="63">
        <f>IF(AX842=1,COUNTIF($AX$3:AX842,1),"")</f>
        <v>840</v>
      </c>
      <c r="AZ842" s="63" t="str">
        <f>IFERROR(INDEX($AM$3:$AM$1165,MATCH(ROWS($AY$3:AY842),$AY$3:$AY$1165,0)),"")</f>
        <v>projectedPreTaxIncome</v>
      </c>
    </row>
    <row r="843" spans="39:52" x14ac:dyDescent="0.2">
      <c r="AM843" s="63" t="s">
        <v>2695</v>
      </c>
      <c r="AN843" s="63" t="s">
        <v>2696</v>
      </c>
      <c r="AO843" s="63"/>
      <c r="AP843" s="63"/>
      <c r="AQ843" s="63"/>
      <c r="AR843" s="63"/>
      <c r="AS843" s="63"/>
      <c r="AT843" s="63"/>
      <c r="AV843" s="63"/>
      <c r="AW843" s="63"/>
      <c r="AX843" s="63">
        <f>--ISNUMBER(IFERROR(SEARCH(Tempset!$M$4,AM843,1),""))</f>
        <v>1</v>
      </c>
      <c r="AY843" s="63">
        <f>IF(AX843=1,COUNTIF($AX$3:AX843,1),"")</f>
        <v>841</v>
      </c>
      <c r="AZ843" s="63" t="str">
        <f>IFERROR(INDEX($AM$3:$AM$1165,MATCH(ROWS($AY$3:AY843),$AY$3:$AY$1165,0)),"")</f>
        <v>projectedRWAValue</v>
      </c>
    </row>
    <row r="844" spans="39:52" x14ac:dyDescent="0.2">
      <c r="AM844" s="63" t="s">
        <v>2697</v>
      </c>
      <c r="AN844" s="63" t="s">
        <v>2698</v>
      </c>
      <c r="AO844" s="63"/>
      <c r="AP844" s="63"/>
      <c r="AQ844" s="63"/>
      <c r="AR844" s="63"/>
      <c r="AS844" s="63"/>
      <c r="AT844" s="63"/>
      <c r="AV844" s="63"/>
      <c r="AW844" s="63"/>
      <c r="AX844" s="63">
        <f>--ISNUMBER(IFERROR(SEARCH(Tempset!$M$4,AM844,1),""))</f>
        <v>1</v>
      </c>
      <c r="AY844" s="63">
        <f>IF(AX844=1,COUNTIF($AX$3:AX844,1),"")</f>
        <v>842</v>
      </c>
      <c r="AZ844" s="63" t="str">
        <f>IFERROR(INDEX($AM$3:$AM$1165,MATCH(ROWS($AY$3:AY844),$AY$3:$AY$1165,0)),"")</f>
        <v>projectedStressedLeverageExposureValue</v>
      </c>
    </row>
    <row r="845" spans="39:52" x14ac:dyDescent="0.2">
      <c r="AM845" s="63" t="s">
        <v>2699</v>
      </c>
      <c r="AN845" s="63" t="s">
        <v>2700</v>
      </c>
      <c r="AO845" s="63"/>
      <c r="AP845" s="63"/>
      <c r="AQ845" s="63"/>
      <c r="AR845" s="63"/>
      <c r="AS845" s="63"/>
      <c r="AT845" s="63"/>
      <c r="AV845" s="63"/>
      <c r="AW845" s="63"/>
      <c r="AX845" s="63">
        <f>--ISNUMBER(IFERROR(SEARCH(Tempset!$M$4,AM845,1),""))</f>
        <v>1</v>
      </c>
      <c r="AY845" s="63">
        <f>IF(AX845=1,COUNTIF($AX$3:AX845,1),"")</f>
        <v>843</v>
      </c>
      <c r="AZ845" s="63" t="str">
        <f>IFERROR(INDEX($AM$3:$AM$1165,MATCH(ROWS($AY$3:AY845),$AY$3:$AY$1165,0)),"")</f>
        <v>projectedStressedRWAValue</v>
      </c>
    </row>
    <row r="846" spans="39:52" x14ac:dyDescent="0.2">
      <c r="AM846" s="63" t="s">
        <v>2701</v>
      </c>
      <c r="AN846" s="63" t="s">
        <v>2702</v>
      </c>
      <c r="AO846" s="63"/>
      <c r="AP846" s="63"/>
      <c r="AQ846" s="63"/>
      <c r="AR846" s="63"/>
      <c r="AS846" s="63"/>
      <c r="AT846" s="63"/>
      <c r="AV846" s="63"/>
      <c r="AW846" s="63"/>
      <c r="AX846" s="63">
        <f>--ISNUMBER(IFERROR(SEARCH(Tempset!$M$4,AM846,1),""))</f>
        <v>1</v>
      </c>
      <c r="AY846" s="63">
        <f>IF(AX846=1,COUNTIF($AX$3:AX846,1),"")</f>
        <v>844</v>
      </c>
      <c r="AZ846" s="63" t="str">
        <f>IFERROR(INDEX($AM$3:$AM$1165,MATCH(ROWS($AY$3:AY846),$AY$3:$AY$1165,0)),"")</f>
        <v>projectedStressedShareholderEquity</v>
      </c>
    </row>
    <row r="847" spans="39:52" x14ac:dyDescent="0.2">
      <c r="AM847" s="63" t="s">
        <v>2703</v>
      </c>
      <c r="AN847" s="63" t="s">
        <v>2704</v>
      </c>
      <c r="AO847" s="63"/>
      <c r="AP847" s="63"/>
      <c r="AQ847" s="63"/>
      <c r="AR847" s="63"/>
      <c r="AS847" s="63"/>
      <c r="AT847" s="63"/>
      <c r="AV847" s="63"/>
      <c r="AW847" s="63"/>
      <c r="AX847" s="63">
        <f>--ISNUMBER(IFERROR(SEARCH(Tempset!$M$4,AM847,1),""))</f>
        <v>1</v>
      </c>
      <c r="AY847" s="63">
        <f>IF(AX847=1,COUNTIF($AX$3:AX847,1),"")</f>
        <v>845</v>
      </c>
      <c r="AZ847" s="63" t="str">
        <f>IFERROR(INDEX($AM$3:$AM$1165,MATCH(ROWS($AY$3:AY847),$AY$3:$AY$1165,0)),"")</f>
        <v>projectedTotalNetInterestIncome</v>
      </c>
    </row>
    <row r="848" spans="39:52" x14ac:dyDescent="0.2">
      <c r="AM848" s="63" t="s">
        <v>2705</v>
      </c>
      <c r="AN848" s="63" t="s">
        <v>2706</v>
      </c>
      <c r="AO848" s="63"/>
      <c r="AP848" s="63"/>
      <c r="AQ848" s="63"/>
      <c r="AR848" s="63"/>
      <c r="AS848" s="63"/>
      <c r="AT848" s="63"/>
      <c r="AV848" s="63"/>
      <c r="AW848" s="63"/>
      <c r="AX848" s="63">
        <f>--ISNUMBER(IFERROR(SEARCH(Tempset!$M$4,AM848,1),""))</f>
        <v>1</v>
      </c>
      <c r="AY848" s="63">
        <f>IF(AX848=1,COUNTIF($AX$3:AX848,1),"")</f>
        <v>846</v>
      </c>
      <c r="AZ848" s="63" t="str">
        <f>IFERROR(INDEX($AM$3:$AM$1165,MATCH(ROWS($AY$3:AY848),$AY$3:$AY$1165,0)),"")</f>
        <v>projectedTotalNonInterestExpense</v>
      </c>
    </row>
    <row r="849" spans="39:52" x14ac:dyDescent="0.2">
      <c r="AM849" s="63" t="s">
        <v>2707</v>
      </c>
      <c r="AN849" s="63" t="s">
        <v>2708</v>
      </c>
      <c r="AO849" s="63"/>
      <c r="AP849" s="63"/>
      <c r="AQ849" s="63"/>
      <c r="AR849" s="63"/>
      <c r="AS849" s="63"/>
      <c r="AT849" s="63"/>
      <c r="AV849" s="63"/>
      <c r="AW849" s="63"/>
      <c r="AX849" s="63">
        <f>--ISNUMBER(IFERROR(SEARCH(Tempset!$M$4,AM849,1),""))</f>
        <v>1</v>
      </c>
      <c r="AY849" s="63">
        <f>IF(AX849=1,COUNTIF($AX$3:AX849,1),"")</f>
        <v>847</v>
      </c>
      <c r="AZ849" s="63" t="str">
        <f>IFERROR(INDEX($AM$3:$AM$1165,MATCH(ROWS($AY$3:AY849),$AY$3:$AY$1165,0)),"")</f>
        <v>ProjectedTotalNonInterestIncome</v>
      </c>
    </row>
    <row r="850" spans="39:52" x14ac:dyDescent="0.2">
      <c r="AM850" s="63" t="s">
        <v>2709</v>
      </c>
      <c r="AN850" s="63" t="s">
        <v>2710</v>
      </c>
      <c r="AO850" s="63"/>
      <c r="AP850" s="63"/>
      <c r="AQ850" s="63"/>
      <c r="AR850" s="63"/>
      <c r="AS850" s="63"/>
      <c r="AT850" s="63"/>
      <c r="AV850" s="63"/>
      <c r="AW850" s="63"/>
      <c r="AX850" s="63">
        <f>--ISNUMBER(IFERROR(SEARCH(Tempset!$M$4,AM850,1),""))</f>
        <v>1</v>
      </c>
      <c r="AY850" s="63">
        <f>IF(AX850=1,COUNTIF($AX$3:AX850,1),"")</f>
        <v>848</v>
      </c>
      <c r="AZ850" s="63" t="str">
        <f>IFERROR(INDEX($AM$3:$AM$1165,MATCH(ROWS($AY$3:AY850),$AY$3:$AY$1165,0)),"")</f>
        <v>projectionPeriod</v>
      </c>
    </row>
    <row r="851" spans="39:52" x14ac:dyDescent="0.2">
      <c r="AM851" s="63" t="s">
        <v>2711</v>
      </c>
      <c r="AN851" s="63" t="s">
        <v>2712</v>
      </c>
      <c r="AO851" s="63"/>
      <c r="AP851" s="63"/>
      <c r="AQ851" s="63"/>
      <c r="AR851" s="63"/>
      <c r="AS851" s="63"/>
      <c r="AT851" s="63"/>
      <c r="AV851" s="63"/>
      <c r="AW851" s="63"/>
      <c r="AX851" s="63">
        <f>--ISNUMBER(IFERROR(SEARCH(Tempset!$M$4,AM851,1),""))</f>
        <v>1</v>
      </c>
      <c r="AY851" s="63">
        <f>IF(AX851=1,COUNTIF($AX$3:AX851,1),"")</f>
        <v>849</v>
      </c>
      <c r="AZ851" s="63" t="str">
        <f>IFERROR(INDEX($AM$3:$AM$1165,MATCH(ROWS($AY$3:AY851),$AY$3:$AY$1165,0)),"")</f>
        <v>projectionStartQuarter</v>
      </c>
    </row>
    <row r="852" spans="39:52" x14ac:dyDescent="0.2">
      <c r="AM852" s="63" t="s">
        <v>2713</v>
      </c>
      <c r="AN852" s="63" t="s">
        <v>2714</v>
      </c>
      <c r="AO852" s="63"/>
      <c r="AP852" s="63"/>
      <c r="AQ852" s="63"/>
      <c r="AR852" s="63"/>
      <c r="AS852" s="63"/>
      <c r="AT852" s="63"/>
      <c r="AV852" s="63"/>
      <c r="AW852" s="63"/>
      <c r="AX852" s="63">
        <f>--ISNUMBER(IFERROR(SEARCH(Tempset!$M$4,AM852,1),""))</f>
        <v>1</v>
      </c>
      <c r="AY852" s="63">
        <f>IF(AX852=1,COUNTIF($AX$3:AX852,1),"")</f>
        <v>850</v>
      </c>
      <c r="AZ852" s="63" t="str">
        <f>IFERROR(INDEX($AM$3:$AM$1165,MATCH(ROWS($AY$3:AY852),$AY$3:$AY$1165,0)),"")</f>
        <v>propertyConstructionQualityStandardCode</v>
      </c>
    </row>
    <row r="853" spans="39:52" x14ac:dyDescent="0.2">
      <c r="AM853" s="63" t="s">
        <v>2715</v>
      </c>
      <c r="AN853" s="63" t="s">
        <v>2716</v>
      </c>
      <c r="AO853" s="63"/>
      <c r="AP853" s="63"/>
      <c r="AQ853" s="63"/>
      <c r="AR853" s="63"/>
      <c r="AS853" s="63"/>
      <c r="AT853" s="63"/>
      <c r="AV853" s="63"/>
      <c r="AW853" s="63"/>
      <c r="AX853" s="63">
        <f>--ISNUMBER(IFERROR(SEARCH(Tempset!$M$4,AM853,1),""))</f>
        <v>1</v>
      </c>
      <c r="AY853" s="63">
        <f>IF(AX853=1,COUNTIF($AX$3:AX853,1),"")</f>
        <v>851</v>
      </c>
      <c r="AZ853" s="63" t="str">
        <f>IFERROR(INDEX($AM$3:$AM$1165,MATCH(ROWS($AY$3:AY853),$AY$3:$AY$1165,0)),"")</f>
        <v>propertyCurrentValue</v>
      </c>
    </row>
    <row r="854" spans="39:52" x14ac:dyDescent="0.2">
      <c r="AM854" s="63" t="s">
        <v>2717</v>
      </c>
      <c r="AN854" s="63" t="s">
        <v>2718</v>
      </c>
      <c r="AO854" s="63"/>
      <c r="AP854" s="63"/>
      <c r="AQ854" s="63"/>
      <c r="AR854" s="63"/>
      <c r="AS854" s="63"/>
      <c r="AT854" s="63"/>
      <c r="AV854" s="63"/>
      <c r="AW854" s="63"/>
      <c r="AX854" s="63">
        <f>--ISNUMBER(IFERROR(SEARCH(Tempset!$M$4,AM854,1),""))</f>
        <v>1</v>
      </c>
      <c r="AY854" s="63">
        <f>IF(AX854=1,COUNTIF($AX$3:AX854,1),"")</f>
        <v>852</v>
      </c>
      <c r="AZ854" s="63" t="str">
        <f>IFERROR(INDEX($AM$3:$AM$1165,MATCH(ROWS($AY$3:AY854),$AY$3:$AY$1165,0)),"")</f>
        <v>propertyIndexName</v>
      </c>
    </row>
    <row r="855" spans="39:52" x14ac:dyDescent="0.2">
      <c r="AM855" s="63" t="s">
        <v>2719</v>
      </c>
      <c r="AN855" s="63" t="s">
        <v>2720</v>
      </c>
      <c r="AO855" s="63"/>
      <c r="AP855" s="63"/>
      <c r="AQ855" s="63"/>
      <c r="AR855" s="63"/>
      <c r="AS855" s="63"/>
      <c r="AT855" s="63"/>
      <c r="AV855" s="63"/>
      <c r="AW855" s="63"/>
      <c r="AX855" s="63">
        <f>--ISNUMBER(IFERROR(SEARCH(Tempset!$M$4,AM855,1),""))</f>
        <v>1</v>
      </c>
      <c r="AY855" s="63">
        <f>IF(AX855=1,COUNTIF($AX$3:AX855,1),"")</f>
        <v>853</v>
      </c>
      <c r="AZ855" s="63" t="str">
        <f>IFERROR(INDEX($AM$3:$AM$1165,MATCH(ROWS($AY$3:AY855),$AY$3:$AY$1165,0)),"")</f>
        <v>propertyType</v>
      </c>
    </row>
    <row r="856" spans="39:52" x14ac:dyDescent="0.2">
      <c r="AM856" s="63" t="s">
        <v>2721</v>
      </c>
      <c r="AN856" s="63" t="s">
        <v>2722</v>
      </c>
      <c r="AO856" s="63"/>
      <c r="AP856" s="63"/>
      <c r="AQ856" s="63"/>
      <c r="AR856" s="63"/>
      <c r="AS856" s="63"/>
      <c r="AT856" s="63"/>
      <c r="AV856" s="63"/>
      <c r="AW856" s="63"/>
      <c r="AX856" s="63">
        <f>--ISNUMBER(IFERROR(SEARCH(Tempset!$M$4,AM856,1),""))</f>
        <v>1</v>
      </c>
      <c r="AY856" s="63">
        <f>IF(AX856=1,COUNTIF($AX$3:AX856,1),"")</f>
        <v>854</v>
      </c>
      <c r="AZ856" s="63" t="str">
        <f>IFERROR(INDEX($AM$3:$AM$1165,MATCH(ROWS($AY$3:AY856),$AY$3:$AY$1165,0)),"")</f>
        <v>propertyUsedByCode</v>
      </c>
    </row>
    <row r="857" spans="39:52" x14ac:dyDescent="0.2">
      <c r="AM857" s="63" t="s">
        <v>2723</v>
      </c>
      <c r="AN857" s="63" t="s">
        <v>2724</v>
      </c>
      <c r="AO857" s="63"/>
      <c r="AP857" s="63"/>
      <c r="AQ857" s="63"/>
      <c r="AR857" s="63"/>
      <c r="AS857" s="63"/>
      <c r="AT857" s="63"/>
      <c r="AV857" s="63"/>
      <c r="AW857" s="63"/>
      <c r="AX857" s="63">
        <f>--ISNUMBER(IFERROR(SEARCH(Tempset!$M$4,AM857,1),""))</f>
        <v>1</v>
      </c>
      <c r="AY857" s="63">
        <f>IF(AX857=1,COUNTIF($AX$3:AX857,1),"")</f>
        <v>855</v>
      </c>
      <c r="AZ857" s="63" t="str">
        <f>IFERROR(INDEX($AM$3:$AM$1165,MATCH(ROWS($AY$3:AY857),$AY$3:$AY$1165,0)),"")</f>
        <v>proRataKey</v>
      </c>
    </row>
    <row r="858" spans="39:52" x14ac:dyDescent="0.2">
      <c r="AM858" s="63" t="s">
        <v>2725</v>
      </c>
      <c r="AN858" s="63" t="s">
        <v>2726</v>
      </c>
      <c r="AO858" s="63"/>
      <c r="AP858" s="63"/>
      <c r="AQ858" s="63"/>
      <c r="AR858" s="63"/>
      <c r="AS858" s="63"/>
      <c r="AT858" s="63"/>
      <c r="AV858" s="63"/>
      <c r="AW858" s="63"/>
      <c r="AX858" s="63">
        <f>--ISNUMBER(IFERROR(SEARCH(Tempset!$M$4,AM858,1),""))</f>
        <v>1</v>
      </c>
      <c r="AY858" s="63">
        <f>IF(AX858=1,COUNTIF($AX$3:AX858,1),"")</f>
        <v>856</v>
      </c>
      <c r="AZ858" s="63" t="str">
        <f>IFERROR(INDEX($AM$3:$AM$1165,MATCH(ROWS($AY$3:AY858),$AY$3:$AY$1165,0)),"")</f>
        <v>prprtyTrancheFromPct</v>
      </c>
    </row>
    <row r="859" spans="39:52" x14ac:dyDescent="0.2">
      <c r="AM859" s="63" t="s">
        <v>2727</v>
      </c>
      <c r="AN859" s="63" t="s">
        <v>2728</v>
      </c>
      <c r="AO859" s="63"/>
      <c r="AP859" s="63"/>
      <c r="AQ859" s="63"/>
      <c r="AR859" s="63"/>
      <c r="AS859" s="63"/>
      <c r="AT859" s="63"/>
      <c r="AV859" s="63"/>
      <c r="AW859" s="63"/>
      <c r="AX859" s="63">
        <f>--ISNUMBER(IFERROR(SEARCH(Tempset!$M$4,AM859,1),""))</f>
        <v>1</v>
      </c>
      <c r="AY859" s="63">
        <f>IF(AX859=1,COUNTIF($AX$3:AX859,1),"")</f>
        <v>857</v>
      </c>
      <c r="AZ859" s="63" t="str">
        <f>IFERROR(INDEX($AM$3:$AM$1165,MATCH(ROWS($AY$3:AY859),$AY$3:$AY$1165,0)),"")</f>
        <v>prprtyTrancheToPct</v>
      </c>
    </row>
    <row r="860" spans="39:52" x14ac:dyDescent="0.2">
      <c r="AM860" s="63" t="s">
        <v>2729</v>
      </c>
      <c r="AN860" s="63" t="s">
        <v>2730</v>
      </c>
      <c r="AO860" s="63"/>
      <c r="AP860" s="63"/>
      <c r="AQ860" s="63"/>
      <c r="AR860" s="63"/>
      <c r="AS860" s="63"/>
      <c r="AT860" s="63"/>
      <c r="AV860" s="63"/>
      <c r="AW860" s="63"/>
      <c r="AX860" s="63">
        <f>--ISNUMBER(IFERROR(SEARCH(Tempset!$M$4,AM860,1),""))</f>
        <v>1</v>
      </c>
      <c r="AY860" s="63">
        <f>IF(AX860=1,COUNTIF($AX$3:AX860,1),"")</f>
        <v>858</v>
      </c>
      <c r="AZ860" s="63" t="str">
        <f>IFERROR(INDEX($AM$3:$AM$1165,MATCH(ROWS($AY$3:AY860),$AY$3:$AY$1165,0)),"")</f>
        <v>pruValAVAValue</v>
      </c>
    </row>
    <row r="861" spans="39:52" x14ac:dyDescent="0.2">
      <c r="AM861" s="63" t="s">
        <v>2731</v>
      </c>
      <c r="AN861" s="63" t="s">
        <v>2732</v>
      </c>
      <c r="AO861" s="63"/>
      <c r="AP861" s="63"/>
      <c r="AQ861" s="63"/>
      <c r="AR861" s="63"/>
      <c r="AS861" s="63"/>
      <c r="AT861" s="63"/>
      <c r="AV861" s="63"/>
      <c r="AW861" s="63"/>
      <c r="AX861" s="63">
        <f>--ISNUMBER(IFERROR(SEARCH(Tempset!$M$4,AM861,1),""))</f>
        <v>1</v>
      </c>
      <c r="AY861" s="63">
        <f>IF(AX861=1,COUNTIF($AX$3:AX861,1),"")</f>
        <v>859</v>
      </c>
      <c r="AZ861" s="63" t="str">
        <f>IFERROR(INDEX($AM$3:$AM$1165,MATCH(ROWS($AY$3:AY861),$AY$3:$AY$1165,0)),"")</f>
        <v>pruValueAdjustmentValue</v>
      </c>
    </row>
    <row r="862" spans="39:52" x14ac:dyDescent="0.2">
      <c r="AM862" s="63" t="s">
        <v>2733</v>
      </c>
      <c r="AN862" s="63" t="s">
        <v>2734</v>
      </c>
      <c r="AO862" s="63"/>
      <c r="AP862" s="63"/>
      <c r="AQ862" s="63"/>
      <c r="AR862" s="63"/>
      <c r="AS862" s="63"/>
      <c r="AT862" s="63"/>
      <c r="AV862" s="63"/>
      <c r="AW862" s="63"/>
      <c r="AX862" s="63">
        <f>--ISNUMBER(IFERROR(SEARCH(Tempset!$M$4,AM862,1),""))</f>
        <v>1</v>
      </c>
      <c r="AY862" s="63">
        <f>IF(AX862=1,COUNTIF($AX$3:AX862,1),"")</f>
        <v>860</v>
      </c>
      <c r="AZ862" s="63" t="str">
        <f>IFERROR(INDEX($AM$3:$AM$1165,MATCH(ROWS($AY$3:AY862),$AY$3:$AY$1165,0)),"")</f>
        <v>PSAClawback</v>
      </c>
    </row>
    <row r="863" spans="39:52" x14ac:dyDescent="0.2">
      <c r="AM863" s="63" t="s">
        <v>2735</v>
      </c>
      <c r="AN863" s="63" t="s">
        <v>2736</v>
      </c>
      <c r="AO863" s="63"/>
      <c r="AP863" s="63"/>
      <c r="AQ863" s="63"/>
      <c r="AR863" s="63"/>
      <c r="AS863" s="63"/>
      <c r="AT863" s="63"/>
      <c r="AV863" s="63"/>
      <c r="AW863" s="63"/>
      <c r="AX863" s="63">
        <f>--ISNUMBER(IFERROR(SEARCH(Tempset!$M$4,AM863,1),""))</f>
        <v>1</v>
      </c>
      <c r="AY863" s="63">
        <f>IF(AX863=1,COUNTIF($AX$3:AX863,1),"")</f>
        <v>861</v>
      </c>
      <c r="AZ863" s="63" t="str">
        <f>IFERROR(INDEX($AM$3:$AM$1165,MATCH(ROWS($AY$3:AY863),$AY$3:$AY$1165,0)),"")</f>
        <v>publiclyTradedSecurity</v>
      </c>
    </row>
    <row r="864" spans="39:52" x14ac:dyDescent="0.2">
      <c r="AM864" s="63" t="s">
        <v>2737</v>
      </c>
      <c r="AN864" s="63" t="s">
        <v>2738</v>
      </c>
      <c r="AO864" s="63"/>
      <c r="AP864" s="63"/>
      <c r="AQ864" s="63"/>
      <c r="AR864" s="63"/>
      <c r="AS864" s="63"/>
      <c r="AT864" s="63"/>
      <c r="AV864" s="63"/>
      <c r="AW864" s="63"/>
      <c r="AX864" s="63">
        <f>--ISNUMBER(IFERROR(SEARCH(Tempset!$M$4,AM864,1),""))</f>
        <v>1</v>
      </c>
      <c r="AY864" s="63">
        <f>IF(AX864=1,COUNTIF($AX$3:AX864,1),"")</f>
        <v>862</v>
      </c>
      <c r="AZ864" s="63" t="str">
        <f>IFERROR(INDEX($AM$3:$AM$1165,MATCH(ROWS($AY$3:AY864),$AY$3:$AY$1165,0)),"")</f>
        <v>putableFlag</v>
      </c>
    </row>
    <row r="865" spans="39:52" x14ac:dyDescent="0.2">
      <c r="AM865" s="63" t="s">
        <v>2739</v>
      </c>
      <c r="AN865" s="63" t="s">
        <v>2740</v>
      </c>
      <c r="AO865" s="63"/>
      <c r="AP865" s="63"/>
      <c r="AQ865" s="63"/>
      <c r="AR865" s="63"/>
      <c r="AS865" s="63"/>
      <c r="AT865" s="63"/>
      <c r="AV865" s="63"/>
      <c r="AW865" s="63"/>
      <c r="AX865" s="63">
        <f>--ISNUMBER(IFERROR(SEARCH(Tempset!$M$4,AM865,1),""))</f>
        <v>1</v>
      </c>
      <c r="AY865" s="63">
        <f>IF(AX865=1,COUNTIF($AX$3:AX865,1),"")</f>
        <v>863</v>
      </c>
      <c r="AZ865" s="63" t="str">
        <f>IFERROR(INDEX($AM$3:$AM$1165,MATCH(ROWS($AY$3:AY865),$AY$3:$AY$1165,0)),"")</f>
        <v>quantity</v>
      </c>
    </row>
    <row r="866" spans="39:52" x14ac:dyDescent="0.2">
      <c r="AM866" s="63" t="s">
        <v>2741</v>
      </c>
      <c r="AN866" s="63" t="s">
        <v>2742</v>
      </c>
      <c r="AO866" s="63"/>
      <c r="AP866" s="63"/>
      <c r="AQ866" s="63"/>
      <c r="AR866" s="63"/>
      <c r="AS866" s="63"/>
      <c r="AT866" s="63"/>
      <c r="AV866" s="63"/>
      <c r="AW866" s="63"/>
      <c r="AX866" s="63">
        <f>--ISNUMBER(IFERROR(SEARCH(Tempset!$M$4,AM866,1),""))</f>
        <v>1</v>
      </c>
      <c r="AY866" s="63">
        <f>IF(AX866=1,COUNTIF($AX$3:AX866,1),"")</f>
        <v>864</v>
      </c>
      <c r="AZ866" s="63" t="str">
        <f>IFERROR(INDEX($AM$3:$AM$1165,MATCH(ROWS($AY$3:AY866),$AY$3:$AY$1165,0)),"")</f>
        <v>ratingModelID</v>
      </c>
    </row>
    <row r="867" spans="39:52" x14ac:dyDescent="0.2">
      <c r="AM867" s="63" t="s">
        <v>2743</v>
      </c>
      <c r="AN867" s="63" t="s">
        <v>2744</v>
      </c>
      <c r="AO867" s="63"/>
      <c r="AP867" s="63"/>
      <c r="AQ867" s="63"/>
      <c r="AR867" s="63"/>
      <c r="AS867" s="63"/>
      <c r="AT867" s="63"/>
      <c r="AV867" s="63"/>
      <c r="AW867" s="63"/>
      <c r="AX867" s="63">
        <f>--ISNUMBER(IFERROR(SEARCH(Tempset!$M$4,AM867,1),""))</f>
        <v>1</v>
      </c>
      <c r="AY867" s="63">
        <f>IF(AX867=1,COUNTIF($AX$3:AX867,1),"")</f>
        <v>865</v>
      </c>
      <c r="AZ867" s="63" t="str">
        <f>IFERROR(INDEX($AM$3:$AM$1165,MATCH(ROWS($AY$3:AY867),$AY$3:$AY$1165,0)),"")</f>
        <v>ratingOverrideCategoryCd</v>
      </c>
    </row>
    <row r="868" spans="39:52" x14ac:dyDescent="0.2">
      <c r="AM868" s="63" t="s">
        <v>2745</v>
      </c>
      <c r="AN868" s="63" t="s">
        <v>2746</v>
      </c>
      <c r="AO868" s="63"/>
      <c r="AP868" s="63"/>
      <c r="AQ868" s="63"/>
      <c r="AR868" s="63"/>
      <c r="AS868" s="63"/>
      <c r="AT868" s="63"/>
      <c r="AV868" s="63"/>
      <c r="AW868" s="63"/>
      <c r="AX868" s="63">
        <f>--ISNUMBER(IFERROR(SEARCH(Tempset!$M$4,AM868,1),""))</f>
        <v>1</v>
      </c>
      <c r="AY868" s="63">
        <f>IF(AX868=1,COUNTIF($AX$3:AX868,1),"")</f>
        <v>866</v>
      </c>
      <c r="AZ868" s="63" t="str">
        <f>IFERROR(INDEX($AM$3:$AM$1165,MATCH(ROWS($AY$3:AY868),$AY$3:$AY$1165,0)),"")</f>
        <v>ratingsBasedRiskWeightValue</v>
      </c>
    </row>
    <row r="869" spans="39:52" x14ac:dyDescent="0.2">
      <c r="AM869" s="63" t="s">
        <v>2747</v>
      </c>
      <c r="AN869" s="63" t="s">
        <v>2748</v>
      </c>
      <c r="AO869" s="63"/>
      <c r="AP869" s="63"/>
      <c r="AQ869" s="63"/>
      <c r="AR869" s="63"/>
      <c r="AS869" s="63"/>
      <c r="AT869" s="63"/>
      <c r="AV869" s="63"/>
      <c r="AW869" s="63"/>
      <c r="AX869" s="63">
        <f>--ISNUMBER(IFERROR(SEARCH(Tempset!$M$4,AM869,1),""))</f>
        <v>1</v>
      </c>
      <c r="AY869" s="63">
        <f>IF(AX869=1,COUNTIF($AX$3:AX869,1),"")</f>
        <v>867</v>
      </c>
      <c r="AZ869" s="63" t="str">
        <f>IFERROR(INDEX($AM$3:$AM$1165,MATCH(ROWS($AY$3:AY869),$AY$3:$AY$1165,0)),"")</f>
        <v>ratioActiveRetired</v>
      </c>
    </row>
    <row r="870" spans="39:52" x14ac:dyDescent="0.2">
      <c r="AM870" s="63" t="s">
        <v>2749</v>
      </c>
      <c r="AN870" s="63" t="s">
        <v>2750</v>
      </c>
      <c r="AO870" s="63"/>
      <c r="AP870" s="63"/>
      <c r="AQ870" s="63"/>
      <c r="AR870" s="63"/>
      <c r="AS870" s="63"/>
      <c r="AT870" s="63"/>
      <c r="AV870" s="63"/>
      <c r="AW870" s="63"/>
      <c r="AX870" s="63">
        <f>--ISNUMBER(IFERROR(SEARCH(Tempset!$M$4,AM870,1),""))</f>
        <v>1</v>
      </c>
      <c r="AY870" s="63">
        <f>IF(AX870=1,COUNTIF($AX$3:AX870,1),"")</f>
        <v>868</v>
      </c>
      <c r="AZ870" s="63" t="str">
        <f>IFERROR(INDEX($AM$3:$AM$1165,MATCH(ROWS($AY$3:AY870),$AY$3:$AY$1165,0)),"")</f>
        <v>realEstateDebtSecuritiesERCValue</v>
      </c>
    </row>
    <row r="871" spans="39:52" x14ac:dyDescent="0.2">
      <c r="AM871" s="63" t="s">
        <v>2751</v>
      </c>
      <c r="AN871" s="63" t="s">
        <v>2752</v>
      </c>
      <c r="AO871" s="63"/>
      <c r="AP871" s="63"/>
      <c r="AQ871" s="63"/>
      <c r="AR871" s="63"/>
      <c r="AS871" s="63"/>
      <c r="AT871" s="63"/>
      <c r="AV871" s="63"/>
      <c r="AW871" s="63"/>
      <c r="AX871" s="63">
        <f>--ISNUMBER(IFERROR(SEARCH(Tempset!$M$4,AM871,1),""))</f>
        <v>1</v>
      </c>
      <c r="AY871" s="63">
        <f>IF(AX871=1,COUNTIF($AX$3:AX871,1),"")</f>
        <v>869</v>
      </c>
      <c r="AZ871" s="63" t="str">
        <f>IFERROR(INDEX($AM$3:$AM$1165,MATCH(ROWS($AY$3:AY871),$AY$3:$AY$1165,0)),"")</f>
        <v>realEstateUtilizationRate</v>
      </c>
    </row>
    <row r="872" spans="39:52" x14ac:dyDescent="0.2">
      <c r="AM872" s="63" t="s">
        <v>2753</v>
      </c>
      <c r="AN872" s="63" t="s">
        <v>2754</v>
      </c>
      <c r="AO872" s="63"/>
      <c r="AP872" s="63"/>
      <c r="AQ872" s="63"/>
      <c r="AR872" s="63"/>
      <c r="AS872" s="63"/>
      <c r="AT872" s="63"/>
      <c r="AV872" s="63"/>
      <c r="AW872" s="63"/>
      <c r="AX872" s="63">
        <f>--ISNUMBER(IFERROR(SEARCH(Tempset!$M$4,AM872,1),""))</f>
        <v>1</v>
      </c>
      <c r="AY872" s="63">
        <f>IF(AX872=1,COUNTIF($AX$3:AX872,1),"")</f>
        <v>870</v>
      </c>
      <c r="AZ872" s="63" t="str">
        <f>IFERROR(INDEX($AM$3:$AM$1165,MATCH(ROWS($AY$3:AY872),$AY$3:$AY$1165,0)),"")</f>
        <v>realMarketValue</v>
      </c>
    </row>
    <row r="873" spans="39:52" x14ac:dyDescent="0.2">
      <c r="AM873" s="63" t="s">
        <v>2755</v>
      </c>
      <c r="AN873" s="63" t="s">
        <v>2756</v>
      </c>
      <c r="AO873" s="63"/>
      <c r="AP873" s="63"/>
      <c r="AQ873" s="63"/>
      <c r="AR873" s="63"/>
      <c r="AS873" s="63"/>
      <c r="AT873" s="63"/>
      <c r="AV873" s="63"/>
      <c r="AW873" s="63"/>
      <c r="AX873" s="63">
        <f>--ISNUMBER(IFERROR(SEARCH(Tempset!$M$4,AM873,1),""))</f>
        <v>1</v>
      </c>
      <c r="AY873" s="63">
        <f>IF(AX873=1,COUNTIF($AX$3:AX873,1),"")</f>
        <v>871</v>
      </c>
      <c r="AZ873" s="63" t="str">
        <f>IFERROR(INDEX($AM$3:$AM$1165,MATCH(ROWS($AY$3:AY873),$AY$3:$AY$1165,0)),"")</f>
        <v>reasonablyPossibleLossAmount</v>
      </c>
    </row>
    <row r="874" spans="39:52" x14ac:dyDescent="0.2">
      <c r="AM874" s="63" t="s">
        <v>2757</v>
      </c>
      <c r="AN874" s="63" t="s">
        <v>2758</v>
      </c>
      <c r="AO874" s="63"/>
      <c r="AP874" s="63"/>
      <c r="AQ874" s="63"/>
      <c r="AR874" s="63"/>
      <c r="AS874" s="63"/>
      <c r="AT874" s="63"/>
      <c r="AV874" s="63"/>
      <c r="AW874" s="63"/>
      <c r="AX874" s="63">
        <f>--ISNUMBER(IFERROR(SEARCH(Tempset!$M$4,AM874,1),""))</f>
        <v>1</v>
      </c>
      <c r="AY874" s="63">
        <f>IF(AX874=1,COUNTIF($AX$3:AX874,1),"")</f>
        <v>872</v>
      </c>
      <c r="AZ874" s="63" t="str">
        <f>IFERROR(INDEX($AM$3:$AM$1165,MATCH(ROWS($AY$3:AY874),$AY$3:$AY$1165,0)),"")</f>
        <v>rebalancedcollateralvalue</v>
      </c>
    </row>
    <row r="875" spans="39:52" x14ac:dyDescent="0.2">
      <c r="AM875" s="63" t="s">
        <v>2759</v>
      </c>
      <c r="AN875" s="63" t="s">
        <v>2760</v>
      </c>
      <c r="AO875" s="63"/>
      <c r="AP875" s="63"/>
      <c r="AQ875" s="63"/>
      <c r="AR875" s="63"/>
      <c r="AS875" s="63"/>
      <c r="AT875" s="63"/>
      <c r="AV875" s="63"/>
      <c r="AW875" s="63"/>
      <c r="AX875" s="63">
        <f>--ISNUMBER(IFERROR(SEARCH(Tempset!$M$4,AM875,1),""))</f>
        <v>1</v>
      </c>
      <c r="AY875" s="63">
        <f>IF(AX875=1,COUNTIF($AX$3:AX875,1),"")</f>
        <v>873</v>
      </c>
      <c r="AZ875" s="63" t="str">
        <f>IFERROR(INDEX($AM$3:$AM$1165,MATCH(ROWS($AY$3:AY875),$AY$3:$AY$1165,0)),"")</f>
        <v>receiveCurrency</v>
      </c>
    </row>
    <row r="876" spans="39:52" x14ac:dyDescent="0.2">
      <c r="AM876" s="63" t="s">
        <v>2761</v>
      </c>
      <c r="AN876" s="63" t="s">
        <v>2762</v>
      </c>
      <c r="AO876" s="63"/>
      <c r="AP876" s="63"/>
      <c r="AQ876" s="63"/>
      <c r="AR876" s="63"/>
      <c r="AS876" s="63"/>
      <c r="AT876" s="63"/>
      <c r="AV876" s="63"/>
      <c r="AW876" s="63"/>
      <c r="AX876" s="63">
        <f>--ISNUMBER(IFERROR(SEARCH(Tempset!$M$4,AM876,1),""))</f>
        <v>1</v>
      </c>
      <c r="AY876" s="63">
        <f>IF(AX876=1,COUNTIF($AX$3:AX876,1),"")</f>
        <v>874</v>
      </c>
      <c r="AZ876" s="63" t="str">
        <f>IFERROR(INDEX($AM$3:$AM$1165,MATCH(ROWS($AY$3:AY876),$AY$3:$AY$1165,0)),"")</f>
        <v>recourseLikeliness</v>
      </c>
    </row>
    <row r="877" spans="39:52" x14ac:dyDescent="0.2">
      <c r="AM877" s="63" t="s">
        <v>2763</v>
      </c>
      <c r="AN877" s="63" t="s">
        <v>2764</v>
      </c>
      <c r="AO877" s="63"/>
      <c r="AP877" s="63"/>
      <c r="AQ877" s="63"/>
      <c r="AR877" s="63"/>
      <c r="AS877" s="63"/>
      <c r="AT877" s="63"/>
      <c r="AV877" s="63"/>
      <c r="AW877" s="63"/>
      <c r="AX877" s="63">
        <f>--ISNUMBER(IFERROR(SEARCH(Tempset!$M$4,AM877,1),""))</f>
        <v>1</v>
      </c>
      <c r="AY877" s="63">
        <f>IF(AX877=1,COUNTIF($AX$3:AX877,1),"")</f>
        <v>875</v>
      </c>
      <c r="AZ877" s="63" t="str">
        <f>IFERROR(INDEX($AM$3:$AM$1165,MATCH(ROWS($AY$3:AY877),$AY$3:$AY$1165,0)),"")</f>
        <v>recoveryRate</v>
      </c>
    </row>
    <row r="878" spans="39:52" x14ac:dyDescent="0.2">
      <c r="AM878" s="63" t="s">
        <v>2765</v>
      </c>
      <c r="AN878" s="63" t="s">
        <v>2766</v>
      </c>
      <c r="AO878" s="63"/>
      <c r="AP878" s="63"/>
      <c r="AQ878" s="63"/>
      <c r="AR878" s="63"/>
      <c r="AS878" s="63"/>
      <c r="AT878" s="63"/>
      <c r="AV878" s="63"/>
      <c r="AW878" s="63"/>
      <c r="AX878" s="63">
        <f>--ISNUMBER(IFERROR(SEARCH(Tempset!$M$4,AM878,1),""))</f>
        <v>1</v>
      </c>
      <c r="AY878" s="63">
        <f>IF(AX878=1,COUNTIF($AX$3:AX878,1),"")</f>
        <v>876</v>
      </c>
      <c r="AZ878" s="63" t="str">
        <f>IFERROR(INDEX($AM$3:$AM$1165,MATCH(ROWS($AY$3:AY878),$AY$3:$AY$1165,0)),"")</f>
        <v>recoveryRiskCategory</v>
      </c>
    </row>
    <row r="879" spans="39:52" x14ac:dyDescent="0.2">
      <c r="AM879" s="63" t="s">
        <v>2767</v>
      </c>
      <c r="AN879" s="63" t="s">
        <v>2768</v>
      </c>
      <c r="AO879" s="63"/>
      <c r="AP879" s="63"/>
      <c r="AQ879" s="63"/>
      <c r="AR879" s="63"/>
      <c r="AS879" s="63"/>
      <c r="AT879" s="63"/>
      <c r="AV879" s="63"/>
      <c r="AW879" s="63"/>
      <c r="AX879" s="63">
        <f>--ISNUMBER(IFERROR(SEARCH(Tempset!$M$4,AM879,1),""))</f>
        <v>1</v>
      </c>
      <c r="AY879" s="63">
        <f>IF(AX879=1,COUNTIF($AX$3:AX879,1),"")</f>
        <v>877</v>
      </c>
      <c r="AZ879" s="63" t="str">
        <f>IFERROR(INDEX($AM$3:$AM$1165,MATCH(ROWS($AY$3:AY879),$AY$3:$AY$1165,0)),"")</f>
        <v>recoveryType</v>
      </c>
    </row>
    <row r="880" spans="39:52" x14ac:dyDescent="0.2">
      <c r="AM880" s="63" t="s">
        <v>2769</v>
      </c>
      <c r="AN880" s="63" t="s">
        <v>2770</v>
      </c>
      <c r="AO880" s="63"/>
      <c r="AP880" s="63"/>
      <c r="AQ880" s="63"/>
      <c r="AR880" s="63"/>
      <c r="AS880" s="63"/>
      <c r="AT880" s="63"/>
      <c r="AV880" s="63"/>
      <c r="AW880" s="63"/>
      <c r="AX880" s="63">
        <f>--ISNUMBER(IFERROR(SEARCH(Tempset!$M$4,AM880,1),""))</f>
        <v>1</v>
      </c>
      <c r="AY880" s="63">
        <f>IF(AX880=1,COUNTIF($AX$3:AX880,1),"")</f>
        <v>878</v>
      </c>
      <c r="AZ880" s="63" t="str">
        <f>IFERROR(INDEX($AM$3:$AM$1165,MATCH(ROWS($AY$3:AY880),$AY$3:$AY$1165,0)),"")</f>
        <v>recutVersion</v>
      </c>
    </row>
    <row r="881" spans="39:52" x14ac:dyDescent="0.2">
      <c r="AM881" s="63" t="s">
        <v>2771</v>
      </c>
      <c r="AN881" s="63" t="s">
        <v>2772</v>
      </c>
      <c r="AO881" s="63"/>
      <c r="AP881" s="63"/>
      <c r="AQ881" s="63"/>
      <c r="AR881" s="63"/>
      <c r="AS881" s="63"/>
      <c r="AT881" s="63"/>
      <c r="AV881" s="63"/>
      <c r="AW881" s="63"/>
      <c r="AX881" s="63">
        <f>--ISNUMBER(IFERROR(SEARCH(Tempset!$M$4,AM881,1),""))</f>
        <v>1</v>
      </c>
      <c r="AY881" s="63">
        <f>IF(AX881=1,COUNTIF($AX$3:AX881,1),"")</f>
        <v>879</v>
      </c>
      <c r="AZ881" s="63" t="str">
        <f>IFERROR(INDEX($AM$3:$AM$1165,MATCH(ROWS($AY$3:AY881),$AY$3:$AY$1165,0)),"")</f>
        <v>referenceEntityId</v>
      </c>
    </row>
    <row r="882" spans="39:52" x14ac:dyDescent="0.2">
      <c r="AM882" s="63" t="s">
        <v>2773</v>
      </c>
      <c r="AN882" s="63" t="s">
        <v>2774</v>
      </c>
      <c r="AO882" s="63"/>
      <c r="AP882" s="63"/>
      <c r="AQ882" s="63"/>
      <c r="AR882" s="63"/>
      <c r="AS882" s="63"/>
      <c r="AT882" s="63"/>
      <c r="AV882" s="63"/>
      <c r="AW882" s="63"/>
      <c r="AX882" s="63">
        <f>--ISNUMBER(IFERROR(SEARCH(Tempset!$M$4,AM882,1),""))</f>
        <v>1</v>
      </c>
      <c r="AY882" s="63">
        <f>IF(AX882=1,COUNTIF($AX$3:AX882,1),"")</f>
        <v>880</v>
      </c>
      <c r="AZ882" s="63" t="str">
        <f>IFERROR(INDEX($AM$3:$AM$1165,MATCH(ROWS($AY$3:AY882),$AY$3:$AY$1165,0)),"")</f>
        <v>referencePrice</v>
      </c>
    </row>
    <row r="883" spans="39:52" x14ac:dyDescent="0.2">
      <c r="AM883" s="63" t="s">
        <v>2775</v>
      </c>
      <c r="AN883" s="63" t="s">
        <v>2776</v>
      </c>
      <c r="AO883" s="63"/>
      <c r="AP883" s="63"/>
      <c r="AQ883" s="63"/>
      <c r="AR883" s="63"/>
      <c r="AS883" s="63"/>
      <c r="AT883" s="63"/>
      <c r="AV883" s="63"/>
      <c r="AW883" s="63"/>
      <c r="AX883" s="63">
        <f>--ISNUMBER(IFERROR(SEARCH(Tempset!$M$4,AM883,1),""))</f>
        <v>1</v>
      </c>
      <c r="AY883" s="63">
        <f>IF(AX883=1,COUNTIF($AX$3:AX883,1),"")</f>
        <v>881</v>
      </c>
      <c r="AZ883" s="63" t="str">
        <f>IFERROR(INDEX($AM$3:$AM$1165,MATCH(ROWS($AY$3:AY883),$AY$3:$AY$1165,0)),"")</f>
        <v>referenceSource</v>
      </c>
    </row>
    <row r="884" spans="39:52" x14ac:dyDescent="0.2">
      <c r="AM884" s="63" t="s">
        <v>2777</v>
      </c>
      <c r="AN884" s="63" t="s">
        <v>2778</v>
      </c>
      <c r="AO884" s="63"/>
      <c r="AP884" s="63"/>
      <c r="AQ884" s="63"/>
      <c r="AR884" s="63"/>
      <c r="AS884" s="63"/>
      <c r="AT884" s="63"/>
      <c r="AV884" s="63"/>
      <c r="AW884" s="63"/>
      <c r="AX884" s="63">
        <f>--ISNUMBER(IFERROR(SEARCH(Tempset!$M$4,AM884,1),""))</f>
        <v>1</v>
      </c>
      <c r="AY884" s="63">
        <f>IF(AX884=1,COUNTIF($AX$3:AX884,1),"")</f>
        <v>882</v>
      </c>
      <c r="AZ884" s="63" t="str">
        <f>IFERROR(INDEX($AM$3:$AM$1165,MATCH(ROWS($AY$3:AY884),$AY$3:$AY$1165,0)),"")</f>
        <v>region</v>
      </c>
    </row>
    <row r="885" spans="39:52" x14ac:dyDescent="0.2">
      <c r="AM885" s="63" t="s">
        <v>2779</v>
      </c>
      <c r="AN885" s="63" t="s">
        <v>2780</v>
      </c>
      <c r="AO885" s="63"/>
      <c r="AP885" s="63"/>
      <c r="AQ885" s="63"/>
      <c r="AR885" s="63"/>
      <c r="AS885" s="63"/>
      <c r="AT885" s="63"/>
      <c r="AV885" s="63"/>
      <c r="AW885" s="63"/>
      <c r="AX885" s="63">
        <f>--ISNUMBER(IFERROR(SEARCH(Tempset!$M$4,AM885,1),""))</f>
        <v>1</v>
      </c>
      <c r="AY885" s="63">
        <f>IF(AX885=1,COUNTIF($AX$3:AX885,1),"")</f>
        <v>883</v>
      </c>
      <c r="AZ885" s="63" t="str">
        <f>IFERROR(INDEX($AM$3:$AM$1165,MATCH(ROWS($AY$3:AY885),$AY$3:$AY$1165,0)),"")</f>
        <v>regionCode</v>
      </c>
    </row>
    <row r="886" spans="39:52" x14ac:dyDescent="0.2">
      <c r="AM886" s="63" t="s">
        <v>2781</v>
      </c>
      <c r="AN886" s="63" t="s">
        <v>2782</v>
      </c>
      <c r="AO886" s="63"/>
      <c r="AP886" s="63"/>
      <c r="AQ886" s="63"/>
      <c r="AR886" s="63"/>
      <c r="AS886" s="63"/>
      <c r="AT886" s="63"/>
      <c r="AV886" s="63"/>
      <c r="AW886" s="63"/>
      <c r="AX886" s="63">
        <f>--ISNUMBER(IFERROR(SEARCH(Tempset!$M$4,AM886,1),""))</f>
        <v>1</v>
      </c>
      <c r="AY886" s="63">
        <f>IF(AX886=1,COUNTIF($AX$3:AX886,1),"")</f>
        <v>884</v>
      </c>
      <c r="AZ886" s="63" t="str">
        <f>IFERROR(INDEX($AM$3:$AM$1165,MATCH(ROWS($AY$3:AY886),$AY$3:$AY$1165,0)),"")</f>
        <v>regionCodeForLossGivenDefault</v>
      </c>
    </row>
    <row r="887" spans="39:52" x14ac:dyDescent="0.2">
      <c r="AM887" s="63" t="s">
        <v>2783</v>
      </c>
      <c r="AN887" s="63" t="s">
        <v>2784</v>
      </c>
      <c r="AO887" s="63"/>
      <c r="AP887" s="63"/>
      <c r="AQ887" s="63"/>
      <c r="AR887" s="63"/>
      <c r="AS887" s="63"/>
      <c r="AT887" s="63"/>
      <c r="AV887" s="63"/>
      <c r="AW887" s="63"/>
      <c r="AX887" s="63">
        <f>--ISNUMBER(IFERROR(SEARCH(Tempset!$M$4,AM887,1),""))</f>
        <v>1</v>
      </c>
      <c r="AY887" s="63">
        <f>IF(AX887=1,COUNTIF($AX$3:AX887,1),"")</f>
        <v>885</v>
      </c>
      <c r="AZ887" s="63" t="str">
        <f>IFERROR(INDEX($AM$3:$AM$1165,MATCH(ROWS($AY$3:AY887),$AY$3:$AY$1165,0)),"")</f>
        <v>regionOfRisk</v>
      </c>
    </row>
    <row r="888" spans="39:52" x14ac:dyDescent="0.2">
      <c r="AM888" s="63" t="s">
        <v>2785</v>
      </c>
      <c r="AN888" s="63" t="s">
        <v>2786</v>
      </c>
      <c r="AO888" s="63"/>
      <c r="AP888" s="63"/>
      <c r="AQ888" s="63"/>
      <c r="AR888" s="63"/>
      <c r="AS888" s="63"/>
      <c r="AT888" s="63"/>
      <c r="AV888" s="63"/>
      <c r="AW888" s="63"/>
      <c r="AX888" s="63">
        <f>--ISNUMBER(IFERROR(SEARCH(Tempset!$M$4,AM888,1),""))</f>
        <v>1</v>
      </c>
      <c r="AY888" s="63">
        <f>IF(AX888=1,COUNTIF($AX$3:AX888,1),"")</f>
        <v>886</v>
      </c>
      <c r="AZ888" s="63" t="str">
        <f>IFERROR(INDEX($AM$3:$AM$1165,MATCH(ROWS($AY$3:AY888),$AY$3:$AY$1165,0)),"")</f>
        <v>regularWayForwardSettlementId</v>
      </c>
    </row>
    <row r="889" spans="39:52" x14ac:dyDescent="0.2">
      <c r="AM889" s="63" t="s">
        <v>2787</v>
      </c>
      <c r="AN889" s="63" t="s">
        <v>2788</v>
      </c>
      <c r="AO889" s="63"/>
      <c r="AP889" s="63"/>
      <c r="AQ889" s="63"/>
      <c r="AR889" s="63"/>
      <c r="AS889" s="63"/>
      <c r="AT889" s="63"/>
      <c r="AV889" s="63"/>
      <c r="AW889" s="63"/>
      <c r="AX889" s="63">
        <f>--ISNUMBER(IFERROR(SEARCH(Tempset!$M$4,AM889,1),""))</f>
        <v>1</v>
      </c>
      <c r="AY889" s="63">
        <f>IF(AX889=1,COUNTIF($AX$3:AX889,1),"")</f>
        <v>887</v>
      </c>
      <c r="AZ889" s="63" t="str">
        <f>IFERROR(INDEX($AM$3:$AM$1165,MATCH(ROWS($AY$3:AY889),$AY$3:$AY$1165,0)),"")</f>
        <v>regulatedFlag</v>
      </c>
    </row>
    <row r="890" spans="39:52" x14ac:dyDescent="0.2">
      <c r="AM890" s="63" t="s">
        <v>2789</v>
      </c>
      <c r="AN890" s="63" t="s">
        <v>2790</v>
      </c>
      <c r="AO890" s="63"/>
      <c r="AP890" s="63"/>
      <c r="AQ890" s="63"/>
      <c r="AR890" s="63"/>
      <c r="AS890" s="63"/>
      <c r="AT890" s="63"/>
      <c r="AV890" s="63"/>
      <c r="AW890" s="63"/>
      <c r="AX890" s="63">
        <f>--ISNUMBER(IFERROR(SEARCH(Tempset!$M$4,AM890,1),""))</f>
        <v>1</v>
      </c>
      <c r="AY890" s="63">
        <f>IF(AX890=1,COUNTIF($AX$3:AX890,1),"")</f>
        <v>888</v>
      </c>
      <c r="AZ890" s="63" t="str">
        <f>IFERROR(INDEX($AM$3:$AM$1165,MATCH(ROWS($AY$3:AY890),$AY$3:$AY$1165,0)),"")</f>
        <v>regulatorIndicator</v>
      </c>
    </row>
    <row r="891" spans="39:52" x14ac:dyDescent="0.2">
      <c r="AM891" s="63" t="s">
        <v>2791</v>
      </c>
      <c r="AN891" s="63" t="s">
        <v>2792</v>
      </c>
      <c r="AO891" s="63"/>
      <c r="AP891" s="63"/>
      <c r="AQ891" s="63"/>
      <c r="AR891" s="63"/>
      <c r="AS891" s="63"/>
      <c r="AT891" s="63"/>
      <c r="AV891" s="63"/>
      <c r="AW891" s="63"/>
      <c r="AX891" s="63">
        <f>--ISNUMBER(IFERROR(SEARCH(Tempset!$M$4,AM891,1),""))</f>
        <v>1</v>
      </c>
      <c r="AY891" s="63">
        <f>IF(AX891=1,COUNTIF($AX$3:AX891,1),"")</f>
        <v>889</v>
      </c>
      <c r="AZ891" s="63" t="str">
        <f>IFERROR(INDEX($AM$3:$AM$1165,MATCH(ROWS($AY$3:AY891),$AY$3:$AY$1165,0)),"")</f>
        <v>regulatoryNotionalValue</v>
      </c>
    </row>
    <row r="892" spans="39:52" x14ac:dyDescent="0.2">
      <c r="AM892" s="63" t="s">
        <v>2793</v>
      </c>
      <c r="AN892" s="63" t="s">
        <v>2794</v>
      </c>
      <c r="AO892" s="63"/>
      <c r="AP892" s="63"/>
      <c r="AQ892" s="63"/>
      <c r="AR892" s="63"/>
      <c r="AS892" s="63"/>
      <c r="AT892" s="63"/>
      <c r="AV892" s="63"/>
      <c r="AW892" s="63"/>
      <c r="AX892" s="63">
        <f>--ISNUMBER(IFERROR(SEARCH(Tempset!$M$4,AM892,1),""))</f>
        <v>1</v>
      </c>
      <c r="AY892" s="63">
        <f>IF(AX892=1,COUNTIF($AX$3:AX892,1),"")</f>
        <v>890</v>
      </c>
      <c r="AZ892" s="63" t="str">
        <f>IFERROR(INDEX($AM$3:$AM$1165,MATCH(ROWS($AY$3:AY892),$AY$3:$AY$1165,0)),"")</f>
        <v>regulatoryRNiVRWAValue</v>
      </c>
    </row>
    <row r="893" spans="39:52" x14ac:dyDescent="0.2">
      <c r="AM893" s="63" t="s">
        <v>2795</v>
      </c>
      <c r="AN893" s="63" t="s">
        <v>2796</v>
      </c>
      <c r="AO893" s="63"/>
      <c r="AP893" s="63"/>
      <c r="AQ893" s="63"/>
      <c r="AR893" s="63"/>
      <c r="AS893" s="63"/>
      <c r="AT893" s="63"/>
      <c r="AV893" s="63"/>
      <c r="AW893" s="63"/>
      <c r="AX893" s="63">
        <f>--ISNUMBER(IFERROR(SEARCH(Tempset!$M$4,AM893,1),""))</f>
        <v>1</v>
      </c>
      <c r="AY893" s="63">
        <f>IF(AX893=1,COUNTIF($AX$3:AX893,1),"")</f>
        <v>891</v>
      </c>
      <c r="AZ893" s="63" t="str">
        <f>IFERROR(INDEX($AM$3:$AM$1165,MATCH(ROWS($AY$3:AY893),$AY$3:$AY$1165,0)),"")</f>
        <v>regulatoryScope</v>
      </c>
    </row>
    <row r="894" spans="39:52" x14ac:dyDescent="0.2">
      <c r="AM894" s="63" t="s">
        <v>2797</v>
      </c>
      <c r="AN894" s="63" t="s">
        <v>2798</v>
      </c>
      <c r="AO894" s="63"/>
      <c r="AP894" s="63"/>
      <c r="AQ894" s="63"/>
      <c r="AR894" s="63"/>
      <c r="AS894" s="63"/>
      <c r="AT894" s="63"/>
      <c r="AV894" s="63"/>
      <c r="AW894" s="63"/>
      <c r="AX894" s="63">
        <f>--ISNUMBER(IFERROR(SEARCH(Tempset!$M$4,AM894,1),""))</f>
        <v>1</v>
      </c>
      <c r="AY894" s="63">
        <f>IF(AX894=1,COUNTIF($AX$3:AX894,1),"")</f>
        <v>892</v>
      </c>
      <c r="AZ894" s="63" t="str">
        <f>IFERROR(INDEX($AM$3:$AM$1165,MATCH(ROWS($AY$3:AY894),$AY$3:$AY$1165,0)),"")</f>
        <v>regulatorySettlementFlag</v>
      </c>
    </row>
    <row r="895" spans="39:52" x14ac:dyDescent="0.2">
      <c r="AM895" s="63" t="s">
        <v>2799</v>
      </c>
      <c r="AN895" s="63" t="s">
        <v>2800</v>
      </c>
      <c r="AO895" s="63"/>
      <c r="AP895" s="63"/>
      <c r="AQ895" s="63"/>
      <c r="AR895" s="63"/>
      <c r="AS895" s="63"/>
      <c r="AT895" s="63"/>
      <c r="AV895" s="63"/>
      <c r="AW895" s="63"/>
      <c r="AX895" s="63">
        <f>--ISNUMBER(IFERROR(SEARCH(Tempset!$M$4,AM895,1),""))</f>
        <v>1</v>
      </c>
      <c r="AY895" s="63">
        <f>IF(AX895=1,COUNTIF($AX$3:AX895,1),"")</f>
        <v>893</v>
      </c>
      <c r="AZ895" s="63" t="str">
        <f>IFERROR(INDEX($AM$3:$AM$1165,MATCH(ROWS($AY$3:AY895),$AY$3:$AY$1165,0)),"")</f>
        <v>regulatoryVaRRWAValue</v>
      </c>
    </row>
    <row r="896" spans="39:52" x14ac:dyDescent="0.2">
      <c r="AM896" s="63" t="s">
        <v>2801</v>
      </c>
      <c r="AN896" s="63" t="s">
        <v>2802</v>
      </c>
      <c r="AO896" s="63"/>
      <c r="AP896" s="63"/>
      <c r="AQ896" s="63"/>
      <c r="AR896" s="63"/>
      <c r="AS896" s="63"/>
      <c r="AT896" s="63"/>
      <c r="AV896" s="63"/>
      <c r="AW896" s="63"/>
      <c r="AX896" s="63">
        <f>--ISNUMBER(IFERROR(SEARCH(Tempset!$M$4,AM896,1),""))</f>
        <v>1</v>
      </c>
      <c r="AY896" s="63">
        <f>IF(AX896=1,COUNTIF($AX$3:AX896,1),"")</f>
        <v>894</v>
      </c>
      <c r="AZ896" s="63" t="str">
        <f>IFERROR(INDEX($AM$3:$AM$1165,MATCH(ROWS($AY$3:AY896),$AY$3:$AY$1165,0)),"")</f>
        <v>rehypothecationFlag</v>
      </c>
    </row>
    <row r="897" spans="39:52" x14ac:dyDescent="0.2">
      <c r="AM897" s="63" t="s">
        <v>2803</v>
      </c>
      <c r="AN897" s="63" t="s">
        <v>2804</v>
      </c>
      <c r="AO897" s="63"/>
      <c r="AP897" s="63"/>
      <c r="AQ897" s="63"/>
      <c r="AR897" s="63"/>
      <c r="AS897" s="63"/>
      <c r="AT897" s="63"/>
      <c r="AV897" s="63"/>
      <c r="AW897" s="63"/>
      <c r="AX897" s="63">
        <f>--ISNUMBER(IFERROR(SEARCH(Tempset!$M$4,AM897,1),""))</f>
        <v>1</v>
      </c>
      <c r="AY897" s="63">
        <f>IF(AX897=1,COUNTIF($AX$3:AX897,1),"")</f>
        <v>895</v>
      </c>
      <c r="AZ897" s="63" t="str">
        <f>IFERROR(INDEX($AM$3:$AM$1165,MATCH(ROWS($AY$3:AY897),$AY$3:$AY$1165,0)),"")</f>
        <v>relatednessFlag</v>
      </c>
    </row>
    <row r="898" spans="39:52" x14ac:dyDescent="0.2">
      <c r="AM898" s="63" t="s">
        <v>2805</v>
      </c>
      <c r="AN898" s="63" t="s">
        <v>2806</v>
      </c>
      <c r="AO898" s="63"/>
      <c r="AP898" s="63"/>
      <c r="AQ898" s="63"/>
      <c r="AR898" s="63"/>
      <c r="AS898" s="63"/>
      <c r="AT898" s="63"/>
      <c r="AV898" s="63"/>
      <c r="AW898" s="63"/>
      <c r="AX898" s="63">
        <f>--ISNUMBER(IFERROR(SEARCH(Tempset!$M$4,AM898,1),""))</f>
        <v>1</v>
      </c>
      <c r="AY898" s="63">
        <f>IF(AX898=1,COUNTIF($AX$3:AX898,1),"")</f>
        <v>896</v>
      </c>
      <c r="AZ898" s="63" t="str">
        <f>IFERROR(INDEX($AM$3:$AM$1165,MATCH(ROWS($AY$3:AY898),$AY$3:$AY$1165,0)),"")</f>
        <v>relationshipManagerId</v>
      </c>
    </row>
    <row r="899" spans="39:52" x14ac:dyDescent="0.2">
      <c r="AM899" s="63" t="s">
        <v>2807</v>
      </c>
      <c r="AN899" s="63" t="s">
        <v>2808</v>
      </c>
      <c r="AO899" s="63"/>
      <c r="AP899" s="63"/>
      <c r="AQ899" s="63"/>
      <c r="AR899" s="63"/>
      <c r="AS899" s="63"/>
      <c r="AT899" s="63"/>
      <c r="AV899" s="63"/>
      <c r="AW899" s="63"/>
      <c r="AX899" s="63">
        <f>--ISNUMBER(IFERROR(SEARCH(Tempset!$M$4,AM899,1),""))</f>
        <v>1</v>
      </c>
      <c r="AY899" s="63">
        <f>IF(AX899=1,COUNTIF($AX$3:AX899,1),"")</f>
        <v>897</v>
      </c>
      <c r="AZ899" s="63" t="str">
        <f>IFERROR(INDEX($AM$3:$AM$1165,MATCH(ROWS($AY$3:AY899),$AY$3:$AY$1165,0)),"")</f>
        <v>relevantIssueSize</v>
      </c>
    </row>
    <row r="900" spans="39:52" x14ac:dyDescent="0.2">
      <c r="AM900" s="63" t="s">
        <v>2809</v>
      </c>
      <c r="AN900" s="63" t="s">
        <v>2810</v>
      </c>
      <c r="AO900" s="63"/>
      <c r="AP900" s="63"/>
      <c r="AQ900" s="63"/>
      <c r="AR900" s="63"/>
      <c r="AS900" s="63"/>
      <c r="AT900" s="63"/>
      <c r="AV900" s="63"/>
      <c r="AW900" s="63"/>
      <c r="AX900" s="63">
        <f>--ISNUMBER(IFERROR(SEARCH(Tempset!$M$4,AM900,1),""))</f>
        <v>1</v>
      </c>
      <c r="AY900" s="63">
        <f>IF(AX900=1,COUNTIF($AX$3:AX900,1),"")</f>
        <v>898</v>
      </c>
      <c r="AZ900" s="63" t="str">
        <f>IFERROR(INDEX($AM$3:$AM$1165,MATCH(ROWS($AY$3:AY900),$AY$3:$AY$1165,0)),"")</f>
        <v>replacementCostValue</v>
      </c>
    </row>
    <row r="901" spans="39:52" x14ac:dyDescent="0.2">
      <c r="AM901" s="63" t="s">
        <v>2811</v>
      </c>
      <c r="AN901" s="63" t="s">
        <v>2812</v>
      </c>
      <c r="AO901" s="63"/>
      <c r="AP901" s="63"/>
      <c r="AQ901" s="63"/>
      <c r="AR901" s="63"/>
      <c r="AS901" s="63"/>
      <c r="AT901" s="63"/>
      <c r="AV901" s="63"/>
      <c r="AW901" s="63"/>
      <c r="AX901" s="63">
        <f>--ISNUMBER(IFERROR(SEARCH(Tempset!$M$4,AM901,1),""))</f>
        <v>1</v>
      </c>
      <c r="AY901" s="63">
        <f>IF(AX901=1,COUNTIF($AX$3:AX901,1),"")</f>
        <v>899</v>
      </c>
      <c r="AZ901" s="63" t="str">
        <f>IFERROR(INDEX($AM$3:$AM$1165,MATCH(ROWS($AY$3:AY901),$AY$3:$AY$1165,0)),"")</f>
        <v>repoHedgeBookFlag</v>
      </c>
    </row>
    <row r="902" spans="39:52" x14ac:dyDescent="0.2">
      <c r="AM902" s="63" t="s">
        <v>2813</v>
      </c>
      <c r="AN902" s="63" t="s">
        <v>2814</v>
      </c>
      <c r="AO902" s="63"/>
      <c r="AP902" s="63"/>
      <c r="AQ902" s="63"/>
      <c r="AR902" s="63"/>
      <c r="AS902" s="63"/>
      <c r="AT902" s="63"/>
      <c r="AV902" s="63"/>
      <c r="AW902" s="63"/>
      <c r="AX902" s="63">
        <f>--ISNUMBER(IFERROR(SEARCH(Tempset!$M$4,AM902,1),""))</f>
        <v>1</v>
      </c>
      <c r="AY902" s="63">
        <f>IF(AX902=1,COUNTIF($AX$3:AX902,1),"")</f>
        <v>900</v>
      </c>
      <c r="AZ902" s="63" t="str">
        <f>IFERROR(INDEX($AM$3:$AM$1165,MATCH(ROWS($AY$3:AY902),$AY$3:$AY$1165,0)),"")</f>
        <v>reportingAccount</v>
      </c>
    </row>
    <row r="903" spans="39:52" x14ac:dyDescent="0.2">
      <c r="AM903" s="63" t="s">
        <v>2815</v>
      </c>
      <c r="AN903" s="63" t="s">
        <v>2816</v>
      </c>
      <c r="AO903" s="63"/>
      <c r="AP903" s="63"/>
      <c r="AQ903" s="63"/>
      <c r="AR903" s="63"/>
      <c r="AS903" s="63"/>
      <c r="AT903" s="63"/>
      <c r="AV903" s="63"/>
      <c r="AW903" s="63"/>
      <c r="AX903" s="63">
        <f>--ISNUMBER(IFERROR(SEARCH(Tempset!$M$4,AM903,1),""))</f>
        <v>1</v>
      </c>
      <c r="AY903" s="63">
        <f>IF(AX903=1,COUNTIF($AX$3:AX903,1),"")</f>
        <v>901</v>
      </c>
      <c r="AZ903" s="63" t="str">
        <f>IFERROR(INDEX($AM$3:$AM$1165,MATCH(ROWS($AY$3:AY903),$AY$3:$AY$1165,0)),"")</f>
        <v>reportingCurrencyCode</v>
      </c>
    </row>
    <row r="904" spans="39:52" x14ac:dyDescent="0.2">
      <c r="AM904" s="63" t="s">
        <v>2817</v>
      </c>
      <c r="AN904" s="63" t="s">
        <v>2818</v>
      </c>
      <c r="AO904" s="63"/>
      <c r="AP904" s="63"/>
      <c r="AQ904" s="63"/>
      <c r="AR904" s="63"/>
      <c r="AS904" s="63"/>
      <c r="AT904" s="63"/>
      <c r="AV904" s="63"/>
      <c r="AW904" s="63"/>
      <c r="AX904" s="63">
        <f>--ISNUMBER(IFERROR(SEARCH(Tempset!$M$4,AM904,1),""))</f>
        <v>1</v>
      </c>
      <c r="AY904" s="63">
        <f>IF(AX904=1,COUNTIF($AX$3:AX904,1),"")</f>
        <v>902</v>
      </c>
      <c r="AZ904" s="63" t="str">
        <f>IFERROR(INDEX($AM$3:$AM$1165,MATCH(ROWS($AY$3:AY904),$AY$3:$AY$1165,0)),"")</f>
        <v>reportingDate</v>
      </c>
    </row>
    <row r="905" spans="39:52" x14ac:dyDescent="0.2">
      <c r="AM905" s="63" t="s">
        <v>2819</v>
      </c>
      <c r="AN905" s="63" t="s">
        <v>2820</v>
      </c>
      <c r="AO905" s="63"/>
      <c r="AP905" s="63"/>
      <c r="AQ905" s="63"/>
      <c r="AR905" s="63"/>
      <c r="AS905" s="63"/>
      <c r="AT905" s="63"/>
      <c r="AV905" s="63"/>
      <c r="AW905" s="63"/>
      <c r="AX905" s="63">
        <f>--ISNUMBER(IFERROR(SEARCH(Tempset!$M$4,AM905,1),""))</f>
        <v>1</v>
      </c>
      <c r="AY905" s="63">
        <f>IF(AX905=1,COUNTIF($AX$3:AX905,1),"")</f>
        <v>903</v>
      </c>
      <c r="AZ905" s="63" t="str">
        <f>IFERROR(INDEX($AM$3:$AM$1165,MATCH(ROWS($AY$3:AY905),$AY$3:$AY$1165,0)),"")</f>
        <v>reportTypeIndicator</v>
      </c>
    </row>
    <row r="906" spans="39:52" x14ac:dyDescent="0.2">
      <c r="AM906" s="63" t="s">
        <v>2821</v>
      </c>
      <c r="AN906" s="63" t="s">
        <v>2822</v>
      </c>
      <c r="AO906" s="63"/>
      <c r="AP906" s="63"/>
      <c r="AQ906" s="63"/>
      <c r="AR906" s="63"/>
      <c r="AS906" s="63"/>
      <c r="AT906" s="63"/>
      <c r="AV906" s="63"/>
      <c r="AW906" s="63"/>
      <c r="AX906" s="63">
        <f>--ISNUMBER(IFERROR(SEARCH(Tempset!$M$4,AM906,1),""))</f>
        <v>1</v>
      </c>
      <c r="AY906" s="63">
        <f>IF(AX906=1,COUNTIF($AX$3:AX906,1),"")</f>
        <v>904</v>
      </c>
      <c r="AZ906" s="63" t="str">
        <f>IFERROR(INDEX($AM$3:$AM$1165,MATCH(ROWS($AY$3:AY906),$AY$3:$AY$1165,0)),"")</f>
        <v>repoSecurityValue</v>
      </c>
    </row>
    <row r="907" spans="39:52" x14ac:dyDescent="0.2">
      <c r="AM907" s="63" t="s">
        <v>2823</v>
      </c>
      <c r="AN907" s="63" t="s">
        <v>2824</v>
      </c>
      <c r="AO907" s="63"/>
      <c r="AP907" s="63"/>
      <c r="AQ907" s="63"/>
      <c r="AR907" s="63"/>
      <c r="AS907" s="63"/>
      <c r="AT907" s="63"/>
      <c r="AV907" s="63"/>
      <c r="AW907" s="63"/>
      <c r="AX907" s="63">
        <f>--ISNUMBER(IFERROR(SEARCH(Tempset!$M$4,AM907,1),""))</f>
        <v>1</v>
      </c>
      <c r="AY907" s="63">
        <f>IF(AX907=1,COUNTIF($AX$3:AX907,1),"")</f>
        <v>905</v>
      </c>
      <c r="AZ907" s="63" t="str">
        <f>IFERROR(INDEX($AM$3:$AM$1165,MATCH(ROWS($AY$3:AY907),$AY$3:$AY$1165,0)),"")</f>
        <v>repoStyleIndicator</v>
      </c>
    </row>
    <row r="908" spans="39:52" x14ac:dyDescent="0.2">
      <c r="AM908" s="63" t="s">
        <v>2825</v>
      </c>
      <c r="AN908" s="63" t="s">
        <v>2826</v>
      </c>
      <c r="AO908" s="63"/>
      <c r="AP908" s="63"/>
      <c r="AQ908" s="63"/>
      <c r="AR908" s="63"/>
      <c r="AS908" s="63"/>
      <c r="AT908" s="63"/>
      <c r="AV908" s="63"/>
      <c r="AW908" s="63"/>
      <c r="AX908" s="63">
        <f>--ISNUMBER(IFERROR(SEARCH(Tempset!$M$4,AM908,1),""))</f>
        <v>1</v>
      </c>
      <c r="AY908" s="63">
        <f>IF(AX908=1,COUNTIF($AX$3:AX908,1),"")</f>
        <v>906</v>
      </c>
      <c r="AZ908" s="63" t="str">
        <f>IFERROR(INDEX($AM$3:$AM$1165,MATCH(ROWS($AY$3:AY908),$AY$3:$AY$1165,0)),"")</f>
        <v>repudiationMoratorium</v>
      </c>
    </row>
    <row r="909" spans="39:52" x14ac:dyDescent="0.2">
      <c r="AM909" s="63" t="s">
        <v>2827</v>
      </c>
      <c r="AN909" s="63" t="s">
        <v>2828</v>
      </c>
      <c r="AO909" s="63"/>
      <c r="AP909" s="63"/>
      <c r="AQ909" s="63"/>
      <c r="AR909" s="63"/>
      <c r="AS909" s="63"/>
      <c r="AT909" s="63"/>
      <c r="AV909" s="63"/>
      <c r="AW909" s="63"/>
      <c r="AX909" s="63">
        <f>--ISNUMBER(IFERROR(SEARCH(Tempset!$M$4,AM909,1),""))</f>
        <v>1</v>
      </c>
      <c r="AY909" s="63">
        <f>IF(AX909=1,COUNTIF($AX$3:AX909,1),"")</f>
        <v>907</v>
      </c>
      <c r="AZ909" s="63" t="str">
        <f>IFERROR(INDEX($AM$3:$AM$1165,MATCH(ROWS($AY$3:AY909),$AY$3:$AY$1165,0)),"")</f>
        <v>requiredStableFundingCategory</v>
      </c>
    </row>
    <row r="910" spans="39:52" x14ac:dyDescent="0.2">
      <c r="AM910" s="63" t="s">
        <v>2829</v>
      </c>
      <c r="AN910" s="63" t="s">
        <v>2830</v>
      </c>
      <c r="AO910" s="63"/>
      <c r="AP910" s="63"/>
      <c r="AQ910" s="63"/>
      <c r="AR910" s="63"/>
      <c r="AS910" s="63"/>
      <c r="AT910" s="63"/>
      <c r="AV910" s="63"/>
      <c r="AW910" s="63"/>
      <c r="AX910" s="63">
        <f>--ISNUMBER(IFERROR(SEARCH(Tempset!$M$4,AM910,1),""))</f>
        <v>1</v>
      </c>
      <c r="AY910" s="63">
        <f>IF(AX910=1,COUNTIF($AX$3:AX910,1),"")</f>
        <v>908</v>
      </c>
      <c r="AZ910" s="63" t="str">
        <f>IFERROR(INDEX($AM$3:$AM$1165,MATCH(ROWS($AY$3:AY910),$AY$3:$AY$1165,0)),"")</f>
        <v>resecuritizationFlag</v>
      </c>
    </row>
    <row r="911" spans="39:52" x14ac:dyDescent="0.2">
      <c r="AM911" s="63" t="s">
        <v>2831</v>
      </c>
      <c r="AN911" s="63" t="s">
        <v>2832</v>
      </c>
      <c r="AO911" s="63"/>
      <c r="AP911" s="63"/>
      <c r="AQ911" s="63"/>
      <c r="AR911" s="63"/>
      <c r="AS911" s="63"/>
      <c r="AT911" s="63"/>
      <c r="AV911" s="63"/>
      <c r="AW911" s="63"/>
      <c r="AX911" s="63">
        <f>--ISNUMBER(IFERROR(SEARCH(Tempset!$M$4,AM911,1),""))</f>
        <v>1</v>
      </c>
      <c r="AY911" s="63">
        <f>IF(AX911=1,COUNTIF($AX$3:AX911,1),"")</f>
        <v>909</v>
      </c>
      <c r="AZ911" s="63" t="str">
        <f>IFERROR(INDEX($AM$3:$AM$1165,MATCH(ROWS($AY$3:AY911),$AY$3:$AY$1165,0)),"")</f>
        <v>resecuritizationSecurityFlag</v>
      </c>
    </row>
    <row r="912" spans="39:52" x14ac:dyDescent="0.2">
      <c r="AM912" s="63" t="s">
        <v>2833</v>
      </c>
      <c r="AN912" s="63" t="s">
        <v>2834</v>
      </c>
      <c r="AO912" s="63"/>
      <c r="AP912" s="63"/>
      <c r="AQ912" s="63"/>
      <c r="AR912" s="63"/>
      <c r="AS912" s="63"/>
      <c r="AT912" s="63"/>
      <c r="AV912" s="63"/>
      <c r="AW912" s="63"/>
      <c r="AX912" s="63">
        <f>--ISNUMBER(IFERROR(SEARCH(Tempset!$M$4,AM912,1),""))</f>
        <v>1</v>
      </c>
      <c r="AY912" s="63">
        <f>IF(AX912=1,COUNTIF($AX$3:AX912,1),"")</f>
        <v>910</v>
      </c>
      <c r="AZ912" s="63" t="str">
        <f>IFERROR(INDEX($AM$3:$AM$1165,MATCH(ROWS($AY$3:AY912),$AY$3:$AY$1165,0)),"")</f>
        <v>reserveAcc</v>
      </c>
    </row>
    <row r="913" spans="39:52" x14ac:dyDescent="0.2">
      <c r="AM913" s="63" t="s">
        <v>2835</v>
      </c>
      <c r="AN913" s="63" t="s">
        <v>2836</v>
      </c>
      <c r="AO913" s="63"/>
      <c r="AP913" s="63"/>
      <c r="AQ913" s="63"/>
      <c r="AR913" s="63"/>
      <c r="AS913" s="63"/>
      <c r="AT913" s="63"/>
      <c r="AV913" s="63"/>
      <c r="AW913" s="63"/>
      <c r="AX913" s="63">
        <f>--ISNUMBER(IFERROR(SEARCH(Tempset!$M$4,AM913,1),""))</f>
        <v>1</v>
      </c>
      <c r="AY913" s="63">
        <f>IF(AX913=1,COUNTIF($AX$3:AX913,1),"")</f>
        <v>911</v>
      </c>
      <c r="AZ913" s="63" t="str">
        <f>IFERROR(INDEX($AM$3:$AM$1165,MATCH(ROWS($AY$3:AY913),$AY$3:$AY$1165,0)),"")</f>
        <v>resetFrequency</v>
      </c>
    </row>
    <row r="914" spans="39:52" x14ac:dyDescent="0.2">
      <c r="AM914" s="63" t="s">
        <v>2837</v>
      </c>
      <c r="AN914" s="63" t="s">
        <v>2838</v>
      </c>
      <c r="AO914" s="63"/>
      <c r="AP914" s="63"/>
      <c r="AQ914" s="63"/>
      <c r="AR914" s="63"/>
      <c r="AS914" s="63"/>
      <c r="AT914" s="63"/>
      <c r="AV914" s="63"/>
      <c r="AW914" s="63"/>
      <c r="AX914" s="63">
        <f>--ISNUMBER(IFERROR(SEARCH(Tempset!$M$4,AM914,1),""))</f>
        <v>1</v>
      </c>
      <c r="AY914" s="63">
        <f>IF(AX914=1,COUNTIF($AX$3:AX914,1),"")</f>
        <v>912</v>
      </c>
      <c r="AZ914" s="63" t="str">
        <f>IFERROR(INDEX($AM$3:$AM$1165,MATCH(ROWS($AY$3:AY914),$AY$3:$AY$1165,0)),"")</f>
        <v>residentialLoanERCvalue</v>
      </c>
    </row>
    <row r="915" spans="39:52" x14ac:dyDescent="0.2">
      <c r="AM915" s="63" t="s">
        <v>2839</v>
      </c>
      <c r="AN915" s="63" t="s">
        <v>2840</v>
      </c>
      <c r="AO915" s="63"/>
      <c r="AP915" s="63"/>
      <c r="AQ915" s="63"/>
      <c r="AR915" s="63"/>
      <c r="AS915" s="63"/>
      <c r="AT915" s="63"/>
      <c r="AV915" s="63"/>
      <c r="AW915" s="63"/>
      <c r="AX915" s="63">
        <f>--ISNUMBER(IFERROR(SEARCH(Tempset!$M$4,AM915,1),""))</f>
        <v>1</v>
      </c>
      <c r="AY915" s="63">
        <f>IF(AX915=1,COUNTIF($AX$3:AX915,1),"")</f>
        <v>913</v>
      </c>
      <c r="AZ915" s="63" t="str">
        <f>IFERROR(INDEX($AM$3:$AM$1165,MATCH(ROWS($AY$3:AY915),$AY$3:$AY$1165,0)),"")</f>
        <v>residentialRealEstateERCValue</v>
      </c>
    </row>
    <row r="916" spans="39:52" x14ac:dyDescent="0.2">
      <c r="AM916" s="63" t="s">
        <v>2841</v>
      </c>
      <c r="AN916" s="63" t="s">
        <v>2842</v>
      </c>
      <c r="AO916" s="63"/>
      <c r="AP916" s="63"/>
      <c r="AQ916" s="63"/>
      <c r="AR916" s="63"/>
      <c r="AS916" s="63"/>
      <c r="AT916" s="63"/>
      <c r="AV916" s="63"/>
      <c r="AW916" s="63"/>
      <c r="AX916" s="63">
        <f>--ISNUMBER(IFERROR(SEARCH(Tempset!$M$4,AM916,1),""))</f>
        <v>1</v>
      </c>
      <c r="AY916" s="63">
        <f>IF(AX916=1,COUNTIF($AX$3:AX916,1),"")</f>
        <v>914</v>
      </c>
      <c r="AZ916" s="63" t="str">
        <f>IFERROR(INDEX($AM$3:$AM$1165,MATCH(ROWS($AY$3:AY916),$AY$3:$AY$1165,0)),"")</f>
        <v>residualExclVAT</v>
      </c>
    </row>
    <row r="917" spans="39:52" x14ac:dyDescent="0.2">
      <c r="AM917" s="63" t="s">
        <v>2843</v>
      </c>
      <c r="AN917" s="63" t="s">
        <v>2844</v>
      </c>
      <c r="AO917" s="63"/>
      <c r="AP917" s="63"/>
      <c r="AQ917" s="63"/>
      <c r="AR917" s="63"/>
      <c r="AS917" s="63"/>
      <c r="AT917" s="63"/>
      <c r="AV917" s="63"/>
      <c r="AW917" s="63"/>
      <c r="AX917" s="63">
        <f>--ISNUMBER(IFERROR(SEARCH(Tempset!$M$4,AM917,1),""))</f>
        <v>1</v>
      </c>
      <c r="AY917" s="63">
        <f>IF(AX917=1,COUNTIF($AX$3:AX917,1),"")</f>
        <v>915</v>
      </c>
      <c r="AZ917" s="63" t="str">
        <f>IFERROR(INDEX($AM$3:$AM$1165,MATCH(ROWS($AY$3:AY917),$AY$3:$AY$1165,0)),"")</f>
        <v>residualInt</v>
      </c>
    </row>
    <row r="918" spans="39:52" x14ac:dyDescent="0.2">
      <c r="AM918" s="63" t="s">
        <v>2845</v>
      </c>
      <c r="AN918" s="63" t="s">
        <v>2846</v>
      </c>
      <c r="AO918" s="63"/>
      <c r="AP918" s="63"/>
      <c r="AQ918" s="63"/>
      <c r="AR918" s="63"/>
      <c r="AS918" s="63"/>
      <c r="AT918" s="63"/>
      <c r="AV918" s="63"/>
      <c r="AW918" s="63"/>
      <c r="AX918" s="63">
        <f>--ISNUMBER(IFERROR(SEARCH(Tempset!$M$4,AM918,1),""))</f>
        <v>1</v>
      </c>
      <c r="AY918" s="63">
        <f>IF(AX918=1,COUNTIF($AX$3:AX918,1),"")</f>
        <v>916</v>
      </c>
      <c r="AZ918" s="63" t="str">
        <f>IFERROR(INDEX($AM$3:$AM$1165,MATCH(ROWS($AY$3:AY918),$AY$3:$AY$1165,0)),"")</f>
        <v>restrictedControlFlag</v>
      </c>
    </row>
    <row r="919" spans="39:52" x14ac:dyDescent="0.2">
      <c r="AM919" s="63" t="s">
        <v>2847</v>
      </c>
      <c r="AN919" s="63" t="s">
        <v>2848</v>
      </c>
      <c r="AO919" s="63"/>
      <c r="AP919" s="63"/>
      <c r="AQ919" s="63"/>
      <c r="AR919" s="63"/>
      <c r="AS919" s="63"/>
      <c r="AT919" s="63"/>
      <c r="AV919" s="63"/>
      <c r="AW919" s="63"/>
      <c r="AX919" s="63">
        <f>--ISNUMBER(IFERROR(SEARCH(Tempset!$M$4,AM919,1),""))</f>
        <v>1</v>
      </c>
      <c r="AY919" s="63">
        <f>IF(AX919=1,COUNTIF($AX$3:AX919,1),"")</f>
        <v>917</v>
      </c>
      <c r="AZ919" s="63" t="str">
        <f>IFERROR(INDEX($AM$3:$AM$1165,MATCH(ROWS($AY$3:AY919),$AY$3:$AY$1165,0)),"")</f>
        <v>restructuringFlag</v>
      </c>
    </row>
    <row r="920" spans="39:52" x14ac:dyDescent="0.2">
      <c r="AM920" s="63" t="s">
        <v>2849</v>
      </c>
      <c r="AN920" s="63" t="s">
        <v>2850</v>
      </c>
      <c r="AO920" s="63"/>
      <c r="AP920" s="63"/>
      <c r="AQ920" s="63"/>
      <c r="AR920" s="63"/>
      <c r="AS920" s="63"/>
      <c r="AT920" s="63"/>
      <c r="AV920" s="63"/>
      <c r="AW920" s="63"/>
      <c r="AX920" s="63">
        <f>--ISNUMBER(IFERROR(SEARCH(Tempset!$M$4,AM920,1),""))</f>
        <v>1</v>
      </c>
      <c r="AY920" s="63">
        <f>IF(AX920=1,COUNTIF($AX$3:AX920,1),"")</f>
        <v>918</v>
      </c>
      <c r="AZ920" s="63" t="str">
        <f>IFERROR(INDEX($AM$3:$AM$1165,MATCH(ROWS($AY$3:AY920),$AY$3:$AY$1165,0)),"")</f>
        <v>restructuringLanguage</v>
      </c>
    </row>
    <row r="921" spans="39:52" x14ac:dyDescent="0.2">
      <c r="AM921" s="63" t="s">
        <v>2851</v>
      </c>
      <c r="AN921" s="63" t="s">
        <v>2852</v>
      </c>
      <c r="AO921" s="63"/>
      <c r="AP921" s="63"/>
      <c r="AQ921" s="63"/>
      <c r="AR921" s="63"/>
      <c r="AS921" s="63"/>
      <c r="AT921" s="63"/>
      <c r="AV921" s="63"/>
      <c r="AW921" s="63"/>
      <c r="AX921" s="63">
        <f>--ISNUMBER(IFERROR(SEARCH(Tempset!$M$4,AM921,1),""))</f>
        <v>1</v>
      </c>
      <c r="AY921" s="63">
        <f>IF(AX921=1,COUNTIF($AX$3:AX921,1),"")</f>
        <v>919</v>
      </c>
      <c r="AZ921" s="63" t="str">
        <f>IFERROR(INDEX($AM$3:$AM$1165,MATCH(ROWS($AY$3:AY921),$AY$3:$AY$1165,0)),"")</f>
        <v>revenueAmount</v>
      </c>
    </row>
    <row r="922" spans="39:52" x14ac:dyDescent="0.2">
      <c r="AM922" s="63" t="s">
        <v>2853</v>
      </c>
      <c r="AN922" s="63" t="s">
        <v>2854</v>
      </c>
      <c r="AO922" s="63"/>
      <c r="AP922" s="63"/>
      <c r="AQ922" s="63"/>
      <c r="AR922" s="63"/>
      <c r="AS922" s="63"/>
      <c r="AT922" s="63"/>
      <c r="AV922" s="63"/>
      <c r="AW922" s="63"/>
      <c r="AX922" s="63">
        <f>--ISNUMBER(IFERROR(SEARCH(Tempset!$M$4,AM922,1),""))</f>
        <v>1</v>
      </c>
      <c r="AY922" s="63">
        <f>IF(AX922=1,COUNTIF($AX$3:AX922,1),"")</f>
        <v>920</v>
      </c>
      <c r="AZ922" s="63" t="str">
        <f>IFERROR(INDEX($AM$3:$AM$1165,MATCH(ROWS($AY$3:AY922),$AY$3:$AY$1165,0)),"")</f>
        <v>riskFactors</v>
      </c>
    </row>
    <row r="923" spans="39:52" x14ac:dyDescent="0.2">
      <c r="AM923" s="63" t="s">
        <v>2855</v>
      </c>
      <c r="AN923" s="63" t="s">
        <v>2856</v>
      </c>
      <c r="AO923" s="63"/>
      <c r="AP923" s="63"/>
      <c r="AQ923" s="63"/>
      <c r="AR923" s="63"/>
      <c r="AS923" s="63"/>
      <c r="AT923" s="63"/>
      <c r="AV923" s="63"/>
      <c r="AW923" s="63"/>
      <c r="AX923" s="63">
        <f>--ISNUMBER(IFERROR(SEARCH(Tempset!$M$4,AM923,1),""))</f>
        <v>1</v>
      </c>
      <c r="AY923" s="63">
        <f>IF(AX923=1,COUNTIF($AX$3:AX923,1),"")</f>
        <v>921</v>
      </c>
      <c r="AZ923" s="63" t="str">
        <f>IFERROR(INDEX($AM$3:$AM$1165,MATCH(ROWS($AY$3:AY923),$AY$3:$AY$1165,0)),"")</f>
        <v>riskPortfolioId</v>
      </c>
    </row>
    <row r="924" spans="39:52" x14ac:dyDescent="0.2">
      <c r="AM924" s="63" t="s">
        <v>2857</v>
      </c>
      <c r="AN924" s="63" t="s">
        <v>2858</v>
      </c>
      <c r="AO924" s="63"/>
      <c r="AP924" s="63"/>
      <c r="AQ924" s="63"/>
      <c r="AR924" s="63"/>
      <c r="AS924" s="63"/>
      <c r="AT924" s="63"/>
      <c r="AV924" s="63"/>
      <c r="AW924" s="63"/>
      <c r="AX924" s="63">
        <f>--ISNUMBER(IFERROR(SEARCH(Tempset!$M$4,AM924,1),""))</f>
        <v>1</v>
      </c>
      <c r="AY924" s="63">
        <f>IF(AX924=1,COUNTIF($AX$3:AX924,1),"")</f>
        <v>922</v>
      </c>
      <c r="AZ924" s="63" t="str">
        <f>IFERROR(INDEX($AM$3:$AM$1165,MATCH(ROWS($AY$3:AY924),$AY$3:$AY$1165,0)),"")</f>
        <v>riskType</v>
      </c>
    </row>
    <row r="925" spans="39:52" x14ac:dyDescent="0.2">
      <c r="AM925" s="63" t="s">
        <v>2859</v>
      </c>
      <c r="AN925" s="63" t="s">
        <v>2860</v>
      </c>
      <c r="AO925" s="63"/>
      <c r="AP925" s="63"/>
      <c r="AQ925" s="63"/>
      <c r="AR925" s="63"/>
      <c r="AS925" s="63"/>
      <c r="AT925" s="63"/>
      <c r="AV925" s="63"/>
      <c r="AW925" s="63"/>
      <c r="AX925" s="63">
        <f>--ISNUMBER(IFERROR(SEARCH(Tempset!$M$4,AM925,1),""))</f>
        <v>1</v>
      </c>
      <c r="AY925" s="63">
        <f>IF(AX925=1,COUNTIF($AX$3:AX925,1),"")</f>
        <v>923</v>
      </c>
      <c r="AZ925" s="63" t="str">
        <f>IFERROR(INDEX($AM$3:$AM$1165,MATCH(ROWS($AY$3:AY925),$AY$3:$AY$1165,0)),"")</f>
        <v>riskValue</v>
      </c>
    </row>
    <row r="926" spans="39:52" x14ac:dyDescent="0.2">
      <c r="AM926" s="63" t="s">
        <v>2861</v>
      </c>
      <c r="AN926" s="63" t="s">
        <v>2862</v>
      </c>
      <c r="AO926" s="63"/>
      <c r="AP926" s="63"/>
      <c r="AQ926" s="63"/>
      <c r="AR926" s="63"/>
      <c r="AS926" s="63"/>
      <c r="AT926" s="63"/>
      <c r="AV926" s="63"/>
      <c r="AW926" s="63"/>
      <c r="AX926" s="63">
        <f>--ISNUMBER(IFERROR(SEARCH(Tempset!$M$4,AM926,1),""))</f>
        <v>1</v>
      </c>
      <c r="AY926" s="63">
        <f>IF(AX926=1,COUNTIF($AX$3:AX926,1),"")</f>
        <v>924</v>
      </c>
      <c r="AZ926" s="63" t="str">
        <f>IFERROR(INDEX($AM$3:$AM$1165,MATCH(ROWS($AY$3:AY926),$AY$3:$AY$1165,0)),"")</f>
        <v>riskValueCcy</v>
      </c>
    </row>
    <row r="927" spans="39:52" x14ac:dyDescent="0.2">
      <c r="AM927" s="63" t="s">
        <v>2863</v>
      </c>
      <c r="AN927" s="63" t="s">
        <v>2864</v>
      </c>
      <c r="AO927" s="63"/>
      <c r="AP927" s="63"/>
      <c r="AQ927" s="63"/>
      <c r="AR927" s="63"/>
      <c r="AS927" s="63"/>
      <c r="AT927" s="63"/>
      <c r="AV927" s="63"/>
      <c r="AW927" s="63"/>
      <c r="AX927" s="63">
        <f>--ISNUMBER(IFERROR(SEARCH(Tempset!$M$4,AM927,1),""))</f>
        <v>1</v>
      </c>
      <c r="AY927" s="63">
        <f>IF(AX927=1,COUNTIF($AX$3:AX927,1),"")</f>
        <v>925</v>
      </c>
      <c r="AZ927" s="63" t="str">
        <f>IFERROR(INDEX($AM$3:$AM$1165,MATCH(ROWS($AY$3:AY927),$AY$3:$AY$1165,0)),"")</f>
        <v>riskyDV01</v>
      </c>
    </row>
    <row r="928" spans="39:52" x14ac:dyDescent="0.2">
      <c r="AM928" s="63" t="s">
        <v>2865</v>
      </c>
      <c r="AN928" s="63" t="s">
        <v>2866</v>
      </c>
      <c r="AO928" s="63"/>
      <c r="AP928" s="63"/>
      <c r="AQ928" s="63"/>
      <c r="AR928" s="63"/>
      <c r="AS928" s="63"/>
      <c r="AT928" s="63"/>
      <c r="AV928" s="63"/>
      <c r="AW928" s="63"/>
      <c r="AX928" s="63">
        <f>--ISNUMBER(IFERROR(SEARCH(Tempset!$M$4,AM928,1),""))</f>
        <v>1</v>
      </c>
      <c r="AY928" s="63">
        <f>IF(AX928=1,COUNTIF($AX$3:AX928,1),"")</f>
        <v>926</v>
      </c>
      <c r="AZ928" s="63" t="str">
        <f>IFERROR(INDEX($AM$3:$AM$1165,MATCH(ROWS($AY$3:AY928),$AY$3:$AY$1165,0)),"")</f>
        <v>RMMRecoveryRate</v>
      </c>
    </row>
    <row r="929" spans="39:52" x14ac:dyDescent="0.2">
      <c r="AM929" s="63" t="s">
        <v>2867</v>
      </c>
      <c r="AN929" s="63" t="s">
        <v>2868</v>
      </c>
      <c r="AO929" s="63"/>
      <c r="AP929" s="63"/>
      <c r="AQ929" s="63"/>
      <c r="AR929" s="63"/>
      <c r="AS929" s="63"/>
      <c r="AT929" s="63"/>
      <c r="AV929" s="63"/>
      <c r="AW929" s="63"/>
      <c r="AX929" s="63">
        <f>--ISNUMBER(IFERROR(SEARCH(Tempset!$M$4,AM929,1),""))</f>
        <v>1</v>
      </c>
      <c r="AY929" s="63">
        <f>IF(AX929=1,COUNTIF($AX$3:AX929,1),"")</f>
        <v>927</v>
      </c>
      <c r="AZ929" s="63" t="str">
        <f>IFERROR(INDEX($AM$3:$AM$1165,MATCH(ROWS($AY$3:AY929),$AY$3:$AY$1165,0)),"")</f>
        <v>RNIERCRiskType</v>
      </c>
    </row>
    <row r="930" spans="39:52" x14ac:dyDescent="0.2">
      <c r="AM930" s="63" t="s">
        <v>2869</v>
      </c>
      <c r="AN930" s="63" t="s">
        <v>2870</v>
      </c>
      <c r="AO930" s="63"/>
      <c r="AP930" s="63"/>
      <c r="AQ930" s="63"/>
      <c r="AR930" s="63"/>
      <c r="AS930" s="63"/>
      <c r="AT930" s="63"/>
      <c r="AV930" s="63"/>
      <c r="AW930" s="63"/>
      <c r="AX930" s="63">
        <f>--ISNUMBER(IFERROR(SEARCH(Tempset!$M$4,AM930,1),""))</f>
        <v>1</v>
      </c>
      <c r="AY930" s="63">
        <f>IF(AX930=1,COUNTIF($AX$3:AX930,1),"")</f>
        <v>928</v>
      </c>
      <c r="AZ930" s="63" t="str">
        <f>IFERROR(INDEX($AM$3:$AM$1165,MATCH(ROWS($AY$3:AY930),$AY$3:$AY$1165,0)),"")</f>
        <v>RNIERCValue</v>
      </c>
    </row>
    <row r="931" spans="39:52" x14ac:dyDescent="0.2">
      <c r="AM931" s="63" t="s">
        <v>2871</v>
      </c>
      <c r="AN931" s="63" t="s">
        <v>2872</v>
      </c>
      <c r="AO931" s="63"/>
      <c r="AP931" s="63"/>
      <c r="AQ931" s="63"/>
      <c r="AR931" s="63"/>
      <c r="AS931" s="63"/>
      <c r="AT931" s="63"/>
      <c r="AV931" s="63"/>
      <c r="AW931" s="63"/>
      <c r="AX931" s="63">
        <f>--ISNUMBER(IFERROR(SEARCH(Tempset!$M$4,AM931,1),""))</f>
        <v>1</v>
      </c>
      <c r="AY931" s="63">
        <f>IF(AX931=1,COUNTIF($AX$3:AX931,1),"")</f>
        <v>929</v>
      </c>
      <c r="AZ931" s="63" t="str">
        <f>IFERROR(INDEX($AM$3:$AM$1165,MATCH(ROWS($AY$3:AY931),$AY$3:$AY$1165,0)),"")</f>
        <v>RNIVModelId</v>
      </c>
    </row>
    <row r="932" spans="39:52" x14ac:dyDescent="0.2">
      <c r="AM932" s="63" t="s">
        <v>2873</v>
      </c>
      <c r="AN932" s="63" t="s">
        <v>2874</v>
      </c>
      <c r="AO932" s="63"/>
      <c r="AP932" s="63"/>
      <c r="AQ932" s="63"/>
      <c r="AR932" s="63"/>
      <c r="AS932" s="63"/>
      <c r="AT932" s="63"/>
      <c r="AV932" s="63"/>
      <c r="AW932" s="63"/>
      <c r="AX932" s="63">
        <f>--ISNUMBER(IFERROR(SEARCH(Tempset!$M$4,AM932,1),""))</f>
        <v>1</v>
      </c>
      <c r="AY932" s="63">
        <f>IF(AX932=1,COUNTIF($AX$3:AX932,1),"")</f>
        <v>930</v>
      </c>
      <c r="AZ932" s="63" t="str">
        <f>IFERROR(INDEX($AM$3:$AM$1165,MATCH(ROWS($AY$3:AY932),$AY$3:$AY$1165,0)),"")</f>
        <v>RNIVModelVersion</v>
      </c>
    </row>
    <row r="933" spans="39:52" x14ac:dyDescent="0.2">
      <c r="AM933" s="63" t="s">
        <v>2875</v>
      </c>
      <c r="AN933" s="63" t="s">
        <v>2876</v>
      </c>
      <c r="AO933" s="63"/>
      <c r="AP933" s="63"/>
      <c r="AQ933" s="63"/>
      <c r="AR933" s="63"/>
      <c r="AS933" s="63"/>
      <c r="AT933" s="63"/>
      <c r="AV933" s="63"/>
      <c r="AW933" s="63"/>
      <c r="AX933" s="63">
        <f>--ISNUMBER(IFERROR(SEARCH(Tempset!$M$4,AM933,1),""))</f>
        <v>1</v>
      </c>
      <c r="AY933" s="63">
        <f>IF(AX933=1,COUNTIF($AX$3:AX933,1),"")</f>
        <v>931</v>
      </c>
      <c r="AZ933" s="63" t="str">
        <f>IFERROR(INDEX($AM$3:$AM$1165,MATCH(ROWS($AY$3:AY933),$AY$3:$AY$1165,0)),"")</f>
        <v>RNIVUplift</v>
      </c>
    </row>
    <row r="934" spans="39:52" x14ac:dyDescent="0.2">
      <c r="AM934" s="63" t="s">
        <v>2877</v>
      </c>
      <c r="AN934" s="63" t="s">
        <v>2878</v>
      </c>
      <c r="AO934" s="63"/>
      <c r="AP934" s="63"/>
      <c r="AQ934" s="63"/>
      <c r="AR934" s="63"/>
      <c r="AS934" s="63"/>
      <c r="AT934" s="63"/>
      <c r="AV934" s="63"/>
      <c r="AW934" s="63"/>
      <c r="AX934" s="63">
        <f>--ISNUMBER(IFERROR(SEARCH(Tempset!$M$4,AM934,1),""))</f>
        <v>1</v>
      </c>
      <c r="AY934" s="63">
        <f>IF(AX934=1,COUNTIF($AX$3:AX934,1),"")</f>
        <v>932</v>
      </c>
      <c r="AZ934" s="63" t="str">
        <f>IFERROR(INDEX($AM$3:$AM$1165,MATCH(ROWS($AY$3:AY934),$AY$3:$AY$1165,0)),"")</f>
        <v>RNIVValue</v>
      </c>
    </row>
    <row r="935" spans="39:52" x14ac:dyDescent="0.2">
      <c r="AM935" s="63" t="s">
        <v>2879</v>
      </c>
      <c r="AN935" s="63" t="s">
        <v>2880</v>
      </c>
      <c r="AO935" s="63"/>
      <c r="AP935" s="63"/>
      <c r="AQ935" s="63"/>
      <c r="AR935" s="63"/>
      <c r="AS935" s="63"/>
      <c r="AT935" s="63"/>
      <c r="AV935" s="63"/>
      <c r="AW935" s="63"/>
      <c r="AX935" s="63">
        <f>--ISNUMBER(IFERROR(SEARCH(Tempset!$M$4,AM935,1),""))</f>
        <v>1</v>
      </c>
      <c r="AY935" s="63">
        <f>IF(AX935=1,COUNTIF($AX$3:AX935,1),"")</f>
        <v>933</v>
      </c>
      <c r="AZ935" s="63" t="str">
        <f>IFERROR(INDEX($AM$3:$AM$1165,MATCH(ROWS($AY$3:AY935),$AY$3:$AY$1165,0)),"")</f>
        <v>RNIVValueCurrency</v>
      </c>
    </row>
    <row r="936" spans="39:52" x14ac:dyDescent="0.2">
      <c r="AM936" s="63" t="s">
        <v>2881</v>
      </c>
      <c r="AN936" s="63" t="s">
        <v>2882</v>
      </c>
      <c r="AO936" s="63"/>
      <c r="AP936" s="63"/>
      <c r="AQ936" s="63"/>
      <c r="AR936" s="63"/>
      <c r="AS936" s="63"/>
      <c r="AT936" s="63"/>
      <c r="AV936" s="63"/>
      <c r="AW936" s="63"/>
      <c r="AX936" s="63">
        <f>--ISNUMBER(IFERROR(SEARCH(Tempset!$M$4,AM936,1),""))</f>
        <v>1</v>
      </c>
      <c r="AY936" s="63">
        <f>IF(AX936=1,COUNTIF($AX$3:AX936,1),"")</f>
        <v>934</v>
      </c>
      <c r="AZ936" s="63" t="str">
        <f>IFERROR(INDEX($AM$3:$AM$1165,MATCH(ROWS($AY$3:AY936),$AY$3:$AY$1165,0)),"")</f>
        <v>roleCode</v>
      </c>
    </row>
    <row r="937" spans="39:52" x14ac:dyDescent="0.2">
      <c r="AM937" s="63" t="s">
        <v>2883</v>
      </c>
      <c r="AN937" s="63" t="s">
        <v>2884</v>
      </c>
      <c r="AO937" s="63"/>
      <c r="AP937" s="63"/>
      <c r="AQ937" s="63"/>
      <c r="AR937" s="63"/>
      <c r="AS937" s="63"/>
      <c r="AT937" s="63"/>
      <c r="AV937" s="63"/>
      <c r="AW937" s="63"/>
      <c r="AX937" s="63">
        <f>--ISNUMBER(IFERROR(SEARCH(Tempset!$M$4,AM937,1),""))</f>
        <v>1</v>
      </c>
      <c r="AY937" s="63">
        <f>IF(AX937=1,COUNTIF($AX$3:AX937,1),"")</f>
        <v>935</v>
      </c>
      <c r="AZ937" s="63" t="str">
        <f>IFERROR(INDEX($AM$3:$AM$1165,MATCH(ROWS($AY$3:AY937),$AY$3:$AY$1165,0)),"")</f>
        <v>RWAAssetClass</v>
      </c>
    </row>
    <row r="938" spans="39:52" x14ac:dyDescent="0.2">
      <c r="AM938" s="63" t="s">
        <v>2885</v>
      </c>
      <c r="AN938" s="63" t="s">
        <v>2886</v>
      </c>
      <c r="AO938" s="63"/>
      <c r="AP938" s="63"/>
      <c r="AQ938" s="63"/>
      <c r="AR938" s="63"/>
      <c r="AS938" s="63"/>
      <c r="AT938" s="63"/>
      <c r="AV938" s="63"/>
      <c r="AW938" s="63"/>
      <c r="AX938" s="63">
        <f>--ISNUMBER(IFERROR(SEARCH(Tempset!$M$4,AM938,1),""))</f>
        <v>1</v>
      </c>
      <c r="AY938" s="63">
        <f>IF(AX938=1,COUNTIF($AX$3:AX938,1),"")</f>
        <v>936</v>
      </c>
      <c r="AZ938" s="63" t="str">
        <f>IFERROR(INDEX($AM$3:$AM$1165,MATCH(ROWS($AY$3:AY938),$AY$3:$AY$1165,0)),"")</f>
        <v>RWAExposureCategory</v>
      </c>
    </row>
    <row r="939" spans="39:52" x14ac:dyDescent="0.2">
      <c r="AM939" s="63" t="s">
        <v>2887</v>
      </c>
      <c r="AN939" s="63" t="s">
        <v>2888</v>
      </c>
      <c r="AO939" s="63"/>
      <c r="AP939" s="63"/>
      <c r="AQ939" s="63"/>
      <c r="AR939" s="63"/>
      <c r="AS939" s="63"/>
      <c r="AT939" s="63"/>
      <c r="AV939" s="63"/>
      <c r="AW939" s="63"/>
      <c r="AX939" s="63">
        <f>--ISNUMBER(IFERROR(SEARCH(Tempset!$M$4,AM939,1),""))</f>
        <v>1</v>
      </c>
      <c r="AY939" s="63">
        <f>IF(AX939=1,COUNTIF($AX$3:AX939,1),"")</f>
        <v>937</v>
      </c>
      <c r="AZ939" s="63" t="str">
        <f>IFERROR(INDEX($AM$3:$AM$1165,MATCH(ROWS($AY$3:AY939),$AY$3:$AY$1165,0)),"")</f>
        <v>RWAExposureSubCategory</v>
      </c>
    </row>
    <row r="940" spans="39:52" x14ac:dyDescent="0.2">
      <c r="AM940" s="63" t="s">
        <v>2889</v>
      </c>
      <c r="AN940" s="63" t="s">
        <v>2890</v>
      </c>
      <c r="AO940" s="63"/>
      <c r="AP940" s="63"/>
      <c r="AQ940" s="63"/>
      <c r="AR940" s="63"/>
      <c r="AS940" s="63"/>
      <c r="AT940" s="63"/>
      <c r="AV940" s="63"/>
      <c r="AW940" s="63"/>
      <c r="AX940" s="63">
        <f>--ISNUMBER(IFERROR(SEARCH(Tempset!$M$4,AM940,1),""))</f>
        <v>1</v>
      </c>
      <c r="AY940" s="63">
        <f>IF(AX940=1,COUNTIF($AX$3:AX940,1),"")</f>
        <v>938</v>
      </c>
      <c r="AZ940" s="63" t="str">
        <f>IFERROR(INDEX($AM$3:$AM$1165,MATCH(ROWS($AY$3:AY940),$AY$3:$AY$1165,0)),"")</f>
        <v>RWAMaturityDays</v>
      </c>
    </row>
    <row r="941" spans="39:52" x14ac:dyDescent="0.2">
      <c r="AM941" s="63" t="s">
        <v>2891</v>
      </c>
      <c r="AN941" s="63" t="s">
        <v>2892</v>
      </c>
      <c r="AO941" s="63"/>
      <c r="AP941" s="63"/>
      <c r="AQ941" s="63"/>
      <c r="AR941" s="63"/>
      <c r="AS941" s="63"/>
      <c r="AT941" s="63"/>
      <c r="AV941" s="63"/>
      <c r="AW941" s="63"/>
      <c r="AX941" s="63">
        <f>--ISNUMBER(IFERROR(SEARCH(Tempset!$M$4,AM941,1),""))</f>
        <v>1</v>
      </c>
      <c r="AY941" s="63">
        <f>IF(AX941=1,COUNTIF($AX$3:AX941,1),"")</f>
        <v>939</v>
      </c>
      <c r="AZ941" s="63" t="str">
        <f>IFERROR(INDEX($AM$3:$AM$1165,MATCH(ROWS($AY$3:AY941),$AY$3:$AY$1165,0)),"")</f>
        <v>RWAReliefFlag</v>
      </c>
    </row>
    <row r="942" spans="39:52" x14ac:dyDescent="0.2">
      <c r="AM942" s="63" t="s">
        <v>2893</v>
      </c>
      <c r="AN942" s="63" t="s">
        <v>2894</v>
      </c>
      <c r="AO942" s="63"/>
      <c r="AP942" s="63"/>
      <c r="AQ942" s="63"/>
      <c r="AR942" s="63"/>
      <c r="AS942" s="63"/>
      <c r="AT942" s="63"/>
      <c r="AV942" s="63"/>
      <c r="AW942" s="63"/>
      <c r="AX942" s="63">
        <f>--ISNUMBER(IFERROR(SEARCH(Tempset!$M$4,AM942,1),""))</f>
        <v>1</v>
      </c>
      <c r="AY942" s="63">
        <f>IF(AX942=1,COUNTIF($AX$3:AX942,1),"")</f>
        <v>940</v>
      </c>
      <c r="AZ942" s="63" t="str">
        <f>IFERROR(INDEX($AM$3:$AM$1165,MATCH(ROWS($AY$3:AY942),$AY$3:$AY$1165,0)),"")</f>
        <v>RWARiskWeightMethodology</v>
      </c>
    </row>
    <row r="943" spans="39:52" x14ac:dyDescent="0.2">
      <c r="AM943" s="63" t="s">
        <v>2895</v>
      </c>
      <c r="AN943" s="63" t="s">
        <v>2896</v>
      </c>
      <c r="AO943" s="63"/>
      <c r="AP943" s="63"/>
      <c r="AQ943" s="63"/>
      <c r="AR943" s="63"/>
      <c r="AS943" s="63"/>
      <c r="AT943" s="63"/>
      <c r="AV943" s="63"/>
      <c r="AW943" s="63"/>
      <c r="AX943" s="63">
        <f>--ISNUMBER(IFERROR(SEARCH(Tempset!$M$4,AM943,1),""))</f>
        <v>1</v>
      </c>
      <c r="AY943" s="63">
        <f>IF(AX943=1,COUNTIF($AX$3:AX943,1),"")</f>
        <v>941</v>
      </c>
      <c r="AZ943" s="63" t="str">
        <f>IFERROR(INDEX($AM$3:$AM$1165,MATCH(ROWS($AY$3:AY943),$AY$3:$AY$1165,0)),"")</f>
        <v>RWAUplift</v>
      </c>
    </row>
    <row r="944" spans="39:52" x14ac:dyDescent="0.2">
      <c r="AM944" s="63" t="s">
        <v>2897</v>
      </c>
      <c r="AN944" s="63" t="s">
        <v>2898</v>
      </c>
      <c r="AO944" s="63"/>
      <c r="AP944" s="63"/>
      <c r="AQ944" s="63"/>
      <c r="AR944" s="63"/>
      <c r="AS944" s="63"/>
      <c r="AT944" s="63"/>
      <c r="AV944" s="63"/>
      <c r="AW944" s="63"/>
      <c r="AX944" s="63">
        <f>--ISNUMBER(IFERROR(SEARCH(Tempset!$M$4,AM944,1),""))</f>
        <v>1</v>
      </c>
      <c r="AY944" s="63">
        <f>IF(AX944=1,COUNTIF($AX$3:AX944,1),"")</f>
        <v>942</v>
      </c>
      <c r="AZ944" s="63" t="str">
        <f>IFERROR(INDEX($AM$3:$AM$1165,MATCH(ROWS($AY$3:AY944),$AY$3:$AY$1165,0)),"")</f>
        <v>RWAValue</v>
      </c>
    </row>
    <row r="945" spans="39:52" x14ac:dyDescent="0.2">
      <c r="AM945" s="63" t="s">
        <v>2899</v>
      </c>
      <c r="AN945" s="63" t="s">
        <v>2900</v>
      </c>
      <c r="AO945" s="63"/>
      <c r="AP945" s="63"/>
      <c r="AQ945" s="63"/>
      <c r="AR945" s="63"/>
      <c r="AS945" s="63"/>
      <c r="AT945" s="63"/>
      <c r="AV945" s="63"/>
      <c r="AW945" s="63"/>
      <c r="AX945" s="63">
        <f>--ISNUMBER(IFERROR(SEARCH(Tempset!$M$4,AM945,1),""))</f>
        <v>1</v>
      </c>
      <c r="AY945" s="63">
        <f>IF(AX945=1,COUNTIF($AX$3:AX945,1),"")</f>
        <v>943</v>
      </c>
      <c r="AZ945" s="63" t="str">
        <f>IFERROR(INDEX($AM$3:$AM$1165,MATCH(ROWS($AY$3:AY945),$AY$3:$AY$1165,0)),"")</f>
        <v>RWAWeightedAverageLifeDate</v>
      </c>
    </row>
    <row r="946" spans="39:52" x14ac:dyDescent="0.2">
      <c r="AM946" s="63" t="s">
        <v>2901</v>
      </c>
      <c r="AN946" s="63" t="s">
        <v>2902</v>
      </c>
      <c r="AO946" s="63"/>
      <c r="AP946" s="63"/>
      <c r="AQ946" s="63"/>
      <c r="AR946" s="63"/>
      <c r="AS946" s="63"/>
      <c r="AT946" s="63"/>
      <c r="AV946" s="63"/>
      <c r="AW946" s="63"/>
      <c r="AX946" s="63">
        <f>--ISNUMBER(IFERROR(SEARCH(Tempset!$M$4,AM946,1),""))</f>
        <v>1</v>
      </c>
      <c r="AY946" s="63">
        <f>IF(AX946=1,COUNTIF($AX$3:AX946,1),"")</f>
        <v>944</v>
      </c>
      <c r="AZ946" s="63" t="str">
        <f>IFERROR(INDEX($AM$3:$AM$1165,MATCH(ROWS($AY$3:AY946),$AY$3:$AY$1165,0)),"")</f>
        <v>SACCRAddonValue</v>
      </c>
    </row>
    <row r="947" spans="39:52" x14ac:dyDescent="0.2">
      <c r="AM947" s="63" t="s">
        <v>2903</v>
      </c>
      <c r="AN947" s="63" t="s">
        <v>2904</v>
      </c>
      <c r="AO947" s="63"/>
      <c r="AP947" s="63"/>
      <c r="AQ947" s="63"/>
      <c r="AR947" s="63"/>
      <c r="AS947" s="63"/>
      <c r="AT947" s="63"/>
      <c r="AV947" s="63"/>
      <c r="AW947" s="63"/>
      <c r="AX947" s="63">
        <f>--ISNUMBER(IFERROR(SEARCH(Tempset!$M$4,AM947,1),""))</f>
        <v>1</v>
      </c>
      <c r="AY947" s="63">
        <f>IF(AX947=1,COUNTIF($AX$3:AX947,1),"")</f>
        <v>945</v>
      </c>
      <c r="AZ947" s="63" t="str">
        <f>IFERROR(INDEX($AM$3:$AM$1165,MATCH(ROWS($AY$3:AY947),$AY$3:$AY$1165,0)),"")</f>
        <v>saccrAssetClass</v>
      </c>
    </row>
    <row r="948" spans="39:52" x14ac:dyDescent="0.2">
      <c r="AM948" s="63" t="s">
        <v>2905</v>
      </c>
      <c r="AN948" s="63" t="s">
        <v>2906</v>
      </c>
      <c r="AO948" s="63"/>
      <c r="AP948" s="63"/>
      <c r="AQ948" s="63"/>
      <c r="AR948" s="63"/>
      <c r="AS948" s="63"/>
      <c r="AT948" s="63"/>
      <c r="AV948" s="63"/>
      <c r="AW948" s="63"/>
      <c r="AX948" s="63">
        <f>--ISNUMBER(IFERROR(SEARCH(Tempset!$M$4,AM948,1),""))</f>
        <v>1</v>
      </c>
      <c r="AY948" s="63">
        <f>IF(AX948=1,COUNTIF($AX$3:AX948,1),"")</f>
        <v>946</v>
      </c>
      <c r="AZ948" s="63" t="str">
        <f>IFERROR(INDEX($AM$3:$AM$1165,MATCH(ROWS($AY$3:AY948),$AY$3:$AY$1165,0)),"")</f>
        <v>SACCRCorrelationFactor</v>
      </c>
    </row>
    <row r="949" spans="39:52" x14ac:dyDescent="0.2">
      <c r="AM949" s="63" t="s">
        <v>2907</v>
      </c>
      <c r="AN949" s="63" t="s">
        <v>2908</v>
      </c>
      <c r="AO949" s="63"/>
      <c r="AP949" s="63"/>
      <c r="AQ949" s="63"/>
      <c r="AR949" s="63"/>
      <c r="AS949" s="63"/>
      <c r="AT949" s="63"/>
      <c r="AV949" s="63"/>
      <c r="AW949" s="63"/>
      <c r="AX949" s="63">
        <f>--ISNUMBER(IFERROR(SEARCH(Tempset!$M$4,AM949,1),""))</f>
        <v>1</v>
      </c>
      <c r="AY949" s="63">
        <f>IF(AX949=1,COUNTIF($AX$3:AX949,1),"")</f>
        <v>947</v>
      </c>
      <c r="AZ949" s="63" t="str">
        <f>IFERROR(INDEX($AM$3:$AM$1165,MATCH(ROWS($AY$3:AY949),$AY$3:$AY$1165,0)),"")</f>
        <v>saccrNotional</v>
      </c>
    </row>
    <row r="950" spans="39:52" x14ac:dyDescent="0.2">
      <c r="AM950" s="63" t="s">
        <v>2909</v>
      </c>
      <c r="AN950" s="63" t="s">
        <v>2910</v>
      </c>
      <c r="AO950" s="63"/>
      <c r="AP950" s="63"/>
      <c r="AQ950" s="63"/>
      <c r="AR950" s="63"/>
      <c r="AS950" s="63"/>
      <c r="AT950" s="63"/>
      <c r="AV950" s="63"/>
      <c r="AW950" s="63"/>
      <c r="AX950" s="63">
        <f>--ISNUMBER(IFERROR(SEARCH(Tempset!$M$4,AM950,1),""))</f>
        <v>1</v>
      </c>
      <c r="AY950" s="63">
        <f>IF(AX950=1,COUNTIF($AX$3:AX950,1),"")</f>
        <v>948</v>
      </c>
      <c r="AZ950" s="63" t="str">
        <f>IFERROR(INDEX($AM$3:$AM$1165,MATCH(ROWS($AY$3:AY950),$AY$3:$AY$1165,0)),"")</f>
        <v>saccrPotentialFutureExposure</v>
      </c>
    </row>
    <row r="951" spans="39:52" x14ac:dyDescent="0.2">
      <c r="AM951" s="63" t="s">
        <v>2911</v>
      </c>
      <c r="AN951" s="63" t="s">
        <v>2912</v>
      </c>
      <c r="AO951" s="63"/>
      <c r="AP951" s="63"/>
      <c r="AQ951" s="63"/>
      <c r="AR951" s="63"/>
      <c r="AS951" s="63"/>
      <c r="AT951" s="63"/>
      <c r="AV951" s="63"/>
      <c r="AW951" s="63"/>
      <c r="AX951" s="63">
        <f>--ISNUMBER(IFERROR(SEARCH(Tempset!$M$4,AM951,1),""))</f>
        <v>1</v>
      </c>
      <c r="AY951" s="63">
        <f>IF(AX951=1,COUNTIF($AX$3:AX951,1),"")</f>
        <v>949</v>
      </c>
      <c r="AZ951" s="63" t="str">
        <f>IFERROR(INDEX($AM$3:$AM$1165,MATCH(ROWS($AY$3:AY951),$AY$3:$AY$1165,0)),"")</f>
        <v>salaryOrPensionBorrowerAmount</v>
      </c>
    </row>
    <row r="952" spans="39:52" x14ac:dyDescent="0.2">
      <c r="AM952" s="63" t="s">
        <v>2913</v>
      </c>
      <c r="AN952" s="63" t="s">
        <v>2914</v>
      </c>
      <c r="AO952" s="63"/>
      <c r="AP952" s="63"/>
      <c r="AQ952" s="63"/>
      <c r="AR952" s="63"/>
      <c r="AS952" s="63"/>
      <c r="AT952" s="63"/>
      <c r="AV952" s="63"/>
      <c r="AW952" s="63"/>
      <c r="AX952" s="63">
        <f>--ISNUMBER(IFERROR(SEARCH(Tempset!$M$4,AM952,1),""))</f>
        <v>1</v>
      </c>
      <c r="AY952" s="63">
        <f>IF(AX952=1,COUNTIF($AX$3:AX952,1),"")</f>
        <v>950</v>
      </c>
      <c r="AZ952" s="63" t="str">
        <f>IFERROR(INDEX($AM$3:$AM$1165,MATCH(ROWS($AY$3:AY952),$AY$3:$AY$1165,0)),"")</f>
        <v>saleDate</v>
      </c>
    </row>
    <row r="953" spans="39:52" x14ac:dyDescent="0.2">
      <c r="AM953" s="63" t="s">
        <v>2915</v>
      </c>
      <c r="AN953" s="63" t="s">
        <v>2916</v>
      </c>
      <c r="AO953" s="63"/>
      <c r="AP953" s="63"/>
      <c r="AQ953" s="63"/>
      <c r="AR953" s="63"/>
      <c r="AS953" s="63"/>
      <c r="AT953" s="63"/>
      <c r="AV953" s="63"/>
      <c r="AW953" s="63"/>
      <c r="AX953" s="63">
        <f>--ISNUMBER(IFERROR(SEARCH(Tempset!$M$4,AM953,1),""))</f>
        <v>1</v>
      </c>
      <c r="AY953" s="63">
        <f>IF(AX953=1,COUNTIF($AX$3:AX953,1),"")</f>
        <v>951</v>
      </c>
      <c r="AZ953" s="63" t="str">
        <f>IFERROR(INDEX($AM$3:$AM$1165,MATCH(ROWS($AY$3:AY953),$AY$3:$AY$1165,0)),"")</f>
        <v>scalingFactor</v>
      </c>
    </row>
    <row r="954" spans="39:52" x14ac:dyDescent="0.2">
      <c r="AM954" s="63" t="s">
        <v>2917</v>
      </c>
      <c r="AN954" s="63" t="s">
        <v>2918</v>
      </c>
      <c r="AO954" s="63"/>
      <c r="AP954" s="63"/>
      <c r="AQ954" s="63"/>
      <c r="AR954" s="63"/>
      <c r="AS954" s="63"/>
      <c r="AT954" s="63"/>
      <c r="AV954" s="63"/>
      <c r="AW954" s="63"/>
      <c r="AX954" s="63">
        <f>--ISNUMBER(IFERROR(SEARCH(Tempset!$M$4,AM954,1),""))</f>
        <v>1</v>
      </c>
      <c r="AY954" s="63">
        <f>IF(AX954=1,COUNTIF($AX$3:AX954,1),"")</f>
        <v>952</v>
      </c>
      <c r="AZ954" s="63" t="str">
        <f>IFERROR(INDEX($AM$3:$AM$1165,MATCH(ROWS($AY$3:AY954),$AY$3:$AY$1165,0)),"")</f>
        <v>scenarioAddOnValue</v>
      </c>
    </row>
    <row r="955" spans="39:52" x14ac:dyDescent="0.2">
      <c r="AM955" s="63" t="s">
        <v>2919</v>
      </c>
      <c r="AN955" s="63" t="s">
        <v>2920</v>
      </c>
      <c r="AO955" s="63"/>
      <c r="AP955" s="63"/>
      <c r="AQ955" s="63"/>
      <c r="AR955" s="63"/>
      <c r="AS955" s="63"/>
      <c r="AT955" s="63"/>
      <c r="AV955" s="63"/>
      <c r="AW955" s="63"/>
      <c r="AX955" s="63">
        <f>--ISNUMBER(IFERROR(SEARCH(Tempset!$M$4,AM955,1),""))</f>
        <v>1</v>
      </c>
      <c r="AY955" s="63">
        <f>IF(AX955=1,COUNTIF($AX$3:AX955,1),"")</f>
        <v>953</v>
      </c>
      <c r="AZ955" s="63" t="str">
        <f>IFERROR(INDEX($AM$3:$AM$1165,MATCH(ROWS($AY$3:AY955),$AY$3:$AY$1165,0)),"")</f>
        <v>scenarioCollateralValue</v>
      </c>
    </row>
    <row r="956" spans="39:52" x14ac:dyDescent="0.2">
      <c r="AM956" s="63" t="s">
        <v>2921</v>
      </c>
      <c r="AN956" s="63" t="s">
        <v>2922</v>
      </c>
      <c r="AO956" s="63"/>
      <c r="AP956" s="63"/>
      <c r="AQ956" s="63"/>
      <c r="AR956" s="63"/>
      <c r="AS956" s="63"/>
      <c r="AT956" s="63"/>
      <c r="AV956" s="63"/>
      <c r="AW956" s="63"/>
      <c r="AX956" s="63">
        <f>--ISNUMBER(IFERROR(SEARCH(Tempset!$M$4,AM956,1),""))</f>
        <v>1</v>
      </c>
      <c r="AY956" s="63">
        <f>IF(AX956=1,COUNTIF($AX$3:AX956,1),"")</f>
        <v>954</v>
      </c>
      <c r="AZ956" s="63" t="str">
        <f>IFERROR(INDEX($AM$3:$AM$1165,MATCH(ROWS($AY$3:AY956),$AY$3:$AY$1165,0)),"")</f>
        <v>scenarioCurrentExposureValue</v>
      </c>
    </row>
    <row r="957" spans="39:52" x14ac:dyDescent="0.2">
      <c r="AM957" s="63" t="s">
        <v>2923</v>
      </c>
      <c r="AN957" s="63" t="s">
        <v>2924</v>
      </c>
      <c r="AO957" s="63"/>
      <c r="AP957" s="63"/>
      <c r="AQ957" s="63"/>
      <c r="AR957" s="63"/>
      <c r="AS957" s="63"/>
      <c r="AT957" s="63"/>
      <c r="AV957" s="63"/>
      <c r="AW957" s="63"/>
      <c r="AX957" s="63">
        <f>--ISNUMBER(IFERROR(SEARCH(Tempset!$M$4,AM957,1),""))</f>
        <v>1</v>
      </c>
      <c r="AY957" s="63">
        <f>IF(AX957=1,COUNTIF($AX$3:AX957,1),"")</f>
        <v>955</v>
      </c>
      <c r="AZ957" s="63" t="str">
        <f>IFERROR(INDEX($AM$3:$AM$1165,MATCH(ROWS($AY$3:AY957),$AY$3:$AY$1165,0)),"")</f>
        <v>scenarioEADValue</v>
      </c>
    </row>
    <row r="958" spans="39:52" x14ac:dyDescent="0.2">
      <c r="AM958" s="63" t="s">
        <v>2925</v>
      </c>
      <c r="AN958" s="63" t="s">
        <v>2926</v>
      </c>
      <c r="AO958" s="63"/>
      <c r="AP958" s="63"/>
      <c r="AQ958" s="63"/>
      <c r="AR958" s="63"/>
      <c r="AS958" s="63"/>
      <c r="AT958" s="63"/>
      <c r="AV958" s="63"/>
      <c r="AW958" s="63"/>
      <c r="AX958" s="63">
        <f>--ISNUMBER(IFERROR(SEARCH(Tempset!$M$4,AM958,1),""))</f>
        <v>1</v>
      </c>
      <c r="AY958" s="63">
        <f>IF(AX958=1,COUNTIF($AX$3:AX958,1),"")</f>
        <v>956</v>
      </c>
      <c r="AZ958" s="63" t="str">
        <f>IFERROR(INDEX($AM$3:$AM$1165,MATCH(ROWS($AY$3:AY958),$AY$3:$AY$1165,0)),"")</f>
        <v>scenarioExpectedLossValue</v>
      </c>
    </row>
    <row r="959" spans="39:52" x14ac:dyDescent="0.2">
      <c r="AM959" s="63" t="s">
        <v>2927</v>
      </c>
      <c r="AN959" s="63" t="s">
        <v>2928</v>
      </c>
      <c r="AO959" s="63"/>
      <c r="AP959" s="63"/>
      <c r="AQ959" s="63"/>
      <c r="AR959" s="63"/>
      <c r="AS959" s="63"/>
      <c r="AT959" s="63"/>
      <c r="AV959" s="63"/>
      <c r="AW959" s="63"/>
      <c r="AX959" s="63">
        <f>--ISNUMBER(IFERROR(SEARCH(Tempset!$M$4,AM959,1),""))</f>
        <v>1</v>
      </c>
      <c r="AY959" s="63">
        <f>IF(AX959=1,COUNTIF($AX$3:AX959,1),"")</f>
        <v>957</v>
      </c>
      <c r="AZ959" s="63" t="str">
        <f>IFERROR(INDEX($AM$3:$AM$1165,MATCH(ROWS($AY$3:AY959),$AY$3:$AY$1165,0)),"")</f>
        <v>scenarioHairCutValue</v>
      </c>
    </row>
    <row r="960" spans="39:52" x14ac:dyDescent="0.2">
      <c r="AM960" s="63" t="s">
        <v>2929</v>
      </c>
      <c r="AN960" s="63" t="s">
        <v>2930</v>
      </c>
      <c r="AO960" s="63"/>
      <c r="AP960" s="63"/>
      <c r="AQ960" s="63"/>
      <c r="AR960" s="63"/>
      <c r="AS960" s="63"/>
      <c r="AT960" s="63"/>
      <c r="AV960" s="63"/>
      <c r="AW960" s="63"/>
      <c r="AX960" s="63">
        <f>--ISNUMBER(IFERROR(SEARCH(Tempset!$M$4,AM960,1),""))</f>
        <v>1</v>
      </c>
      <c r="AY960" s="63">
        <f>IF(AX960=1,COUNTIF($AX$3:AX960,1),"")</f>
        <v>958</v>
      </c>
      <c r="AZ960" s="63" t="str">
        <f>IFERROR(INDEX($AM$3:$AM$1165,MATCH(ROWS($AY$3:AY960),$AY$3:$AY$1165,0)),"")</f>
        <v>scenarioMTMValue</v>
      </c>
    </row>
    <row r="961" spans="39:52" x14ac:dyDescent="0.2">
      <c r="AM961" s="63" t="s">
        <v>2931</v>
      </c>
      <c r="AN961" s="63" t="s">
        <v>2932</v>
      </c>
      <c r="AO961" s="63"/>
      <c r="AP961" s="63"/>
      <c r="AQ961" s="63"/>
      <c r="AR961" s="63"/>
      <c r="AS961" s="63"/>
      <c r="AT961" s="63"/>
      <c r="AV961" s="63"/>
      <c r="AW961" s="63"/>
      <c r="AX961" s="63">
        <f>--ISNUMBER(IFERROR(SEARCH(Tempset!$M$4,AM961,1),""))</f>
        <v>1</v>
      </c>
      <c r="AY961" s="63">
        <f>IF(AX961=1,COUNTIF($AX$3:AX961,1),"")</f>
        <v>959</v>
      </c>
      <c r="AZ961" s="63" t="str">
        <f>IFERROR(INDEX($AM$3:$AM$1165,MATCH(ROWS($AY$3:AY961),$AY$3:$AY$1165,0)),"")</f>
        <v>scenarioName</v>
      </c>
    </row>
    <row r="962" spans="39:52" x14ac:dyDescent="0.2">
      <c r="AM962" s="63" t="s">
        <v>2933</v>
      </c>
      <c r="AN962" s="63" t="s">
        <v>2934</v>
      </c>
      <c r="AO962" s="63"/>
      <c r="AP962" s="63"/>
      <c r="AQ962" s="63"/>
      <c r="AR962" s="63"/>
      <c r="AS962" s="63"/>
      <c r="AT962" s="63"/>
      <c r="AV962" s="63"/>
      <c r="AW962" s="63"/>
      <c r="AX962" s="63">
        <f>--ISNUMBER(IFERROR(SEARCH(Tempset!$M$4,AM962,1),""))</f>
        <v>1</v>
      </c>
      <c r="AY962" s="63">
        <f>IF(AX962=1,COUNTIF($AX$3:AX962,1),"")</f>
        <v>960</v>
      </c>
      <c r="AZ962" s="63" t="str">
        <f>IFERROR(INDEX($AM$3:$AM$1165,MATCH(ROWS($AY$3:AY962),$AY$3:$AY$1165,0)),"")</f>
        <v>scenarioPBCreditLossBufferValue</v>
      </c>
    </row>
    <row r="963" spans="39:52" x14ac:dyDescent="0.2">
      <c r="AM963" s="63" t="s">
        <v>2935</v>
      </c>
      <c r="AN963" s="63" t="s">
        <v>2936</v>
      </c>
      <c r="AO963" s="63"/>
      <c r="AP963" s="63"/>
      <c r="AQ963" s="63"/>
      <c r="AR963" s="63"/>
      <c r="AS963" s="63"/>
      <c r="AT963" s="63"/>
      <c r="AV963" s="63"/>
      <c r="AW963" s="63"/>
      <c r="AX963" s="63">
        <f>--ISNUMBER(IFERROR(SEARCH(Tempset!$M$4,AM963,1),""))</f>
        <v>1</v>
      </c>
      <c r="AY963" s="63">
        <f>IF(AX963=1,COUNTIF($AX$3:AX963,1),"")</f>
        <v>961</v>
      </c>
      <c r="AZ963" s="63" t="str">
        <f>IFERROR(INDEX($AM$3:$AM$1165,MATCH(ROWS($AY$3:AY963),$AY$3:$AY$1165,0)),"")</f>
        <v>scenarioPBCreditLossValue</v>
      </c>
    </row>
    <row r="964" spans="39:52" x14ac:dyDescent="0.2">
      <c r="AM964" s="63" t="s">
        <v>2937</v>
      </c>
      <c r="AN964" s="63" t="s">
        <v>2938</v>
      </c>
      <c r="AO964" s="63"/>
      <c r="AP964" s="63"/>
      <c r="AQ964" s="63"/>
      <c r="AR964" s="63"/>
      <c r="AS964" s="63"/>
      <c r="AT964" s="63"/>
      <c r="AV964" s="63"/>
      <c r="AW964" s="63"/>
      <c r="AX964" s="63">
        <f>--ISNUMBER(IFERROR(SEARCH(Tempset!$M$4,AM964,1),""))</f>
        <v>1</v>
      </c>
      <c r="AY964" s="63">
        <f>IF(AX964=1,COUNTIF($AX$3:AX964,1),"")</f>
        <v>962</v>
      </c>
      <c r="AZ964" s="63" t="str">
        <f>IFERROR(INDEX($AM$3:$AM$1165,MATCH(ROWS($AY$3:AY964),$AY$3:$AY$1165,0)),"")</f>
        <v>scenarioPEValue</v>
      </c>
    </row>
    <row r="965" spans="39:52" x14ac:dyDescent="0.2">
      <c r="AM965" s="63" t="s">
        <v>2939</v>
      </c>
      <c r="AN965" s="63" t="s">
        <v>2940</v>
      </c>
      <c r="AO965" s="63"/>
      <c r="AP965" s="63"/>
      <c r="AQ965" s="63"/>
      <c r="AR965" s="63"/>
      <c r="AS965" s="63"/>
      <c r="AT965" s="63"/>
      <c r="AV965" s="63"/>
      <c r="AW965" s="63"/>
      <c r="AX965" s="63">
        <f>--ISNUMBER(IFERROR(SEARCH(Tempset!$M$4,AM965,1),""))</f>
        <v>1</v>
      </c>
      <c r="AY965" s="63">
        <f>IF(AX965=1,COUNTIF($AX$3:AX965,1),"")</f>
        <v>963</v>
      </c>
      <c r="AZ965" s="63" t="str">
        <f>IFERROR(INDEX($AM$3:$AM$1165,MATCH(ROWS($AY$3:AY965),$AY$3:$AY$1165,0)),"")</f>
        <v>scenarioPnLValue</v>
      </c>
    </row>
    <row r="966" spans="39:52" x14ac:dyDescent="0.2">
      <c r="AM966" s="63" t="s">
        <v>2941</v>
      </c>
      <c r="AN966" s="63" t="s">
        <v>2942</v>
      </c>
      <c r="AO966" s="63"/>
      <c r="AP966" s="63"/>
      <c r="AQ966" s="63"/>
      <c r="AR966" s="63"/>
      <c r="AS966" s="63"/>
      <c r="AT966" s="63"/>
      <c r="AV966" s="63"/>
      <c r="AW966" s="63"/>
      <c r="AX966" s="63">
        <f>--ISNUMBER(IFERROR(SEARCH(Tempset!$M$4,AM966,1),""))</f>
        <v>1</v>
      </c>
      <c r="AY966" s="63">
        <f>IF(AX966=1,COUNTIF($AX$3:AX966,1),"")</f>
        <v>964</v>
      </c>
      <c r="AZ966" s="63" t="str">
        <f>IFERROR(INDEX($AM$3:$AM$1165,MATCH(ROWS($AY$3:AY966),$AY$3:$AY$1165,0)),"")</f>
        <v>ScenarioPTIexGMSValue</v>
      </c>
    </row>
    <row r="967" spans="39:52" x14ac:dyDescent="0.2">
      <c r="AM967" s="63" t="s">
        <v>2943</v>
      </c>
      <c r="AN967" s="63" t="s">
        <v>2944</v>
      </c>
      <c r="AO967" s="63"/>
      <c r="AP967" s="63"/>
      <c r="AQ967" s="63"/>
      <c r="AR967" s="63"/>
      <c r="AS967" s="63"/>
      <c r="AT967" s="63"/>
      <c r="AV967" s="63"/>
      <c r="AW967" s="63"/>
      <c r="AX967" s="63">
        <f>--ISNUMBER(IFERROR(SEARCH(Tempset!$M$4,AM967,1),""))</f>
        <v>1</v>
      </c>
      <c r="AY967" s="63">
        <f>IF(AX967=1,COUNTIF($AX$3:AX967,1),"")</f>
        <v>965</v>
      </c>
      <c r="AZ967" s="63" t="str">
        <f>IFERROR(INDEX($AM$3:$AM$1165,MATCH(ROWS($AY$3:AY967),$AY$3:$AY$1165,0)),"")</f>
        <v>ScenarioPTIValue</v>
      </c>
    </row>
    <row r="968" spans="39:52" x14ac:dyDescent="0.2">
      <c r="AM968" s="63" t="s">
        <v>2945</v>
      </c>
      <c r="AN968" s="63" t="s">
        <v>2946</v>
      </c>
      <c r="AO968" s="63"/>
      <c r="AP968" s="63"/>
      <c r="AQ968" s="63"/>
      <c r="AR968" s="63"/>
      <c r="AS968" s="63"/>
      <c r="AT968" s="63"/>
      <c r="AV968" s="63"/>
      <c r="AW968" s="63"/>
      <c r="AX968" s="63">
        <f>--ISNUMBER(IFERROR(SEARCH(Tempset!$M$4,AM968,1),""))</f>
        <v>1</v>
      </c>
      <c r="AY968" s="63">
        <f>IF(AX968=1,COUNTIF($AX$3:AX968,1),"")</f>
        <v>966</v>
      </c>
      <c r="AZ968" s="63" t="str">
        <f>IFERROR(INDEX($AM$3:$AM$1165,MATCH(ROWS($AY$3:AY968),$AY$3:$AY$1165,0)),"")</f>
        <v>ScenarioPTIValueCcy</v>
      </c>
    </row>
    <row r="969" spans="39:52" x14ac:dyDescent="0.2">
      <c r="AM969" s="63" t="s">
        <v>2947</v>
      </c>
      <c r="AN969" s="63" t="s">
        <v>2948</v>
      </c>
      <c r="AO969" s="63"/>
      <c r="AP969" s="63"/>
      <c r="AQ969" s="63"/>
      <c r="AR969" s="63"/>
      <c r="AS969" s="63"/>
      <c r="AT969" s="63"/>
      <c r="AV969" s="63"/>
      <c r="AW969" s="63"/>
      <c r="AX969" s="63">
        <f>--ISNUMBER(IFERROR(SEARCH(Tempset!$M$4,AM969,1),""))</f>
        <v>1</v>
      </c>
      <c r="AY969" s="63">
        <f>IF(AX969=1,COUNTIF($AX$3:AX969,1),"")</f>
        <v>967</v>
      </c>
      <c r="AZ969" s="63" t="str">
        <f>IFERROR(INDEX($AM$3:$AM$1165,MATCH(ROWS($AY$3:AY969),$AY$3:$AY$1165,0)),"")</f>
        <v>scenarioYear</v>
      </c>
    </row>
    <row r="970" spans="39:52" x14ac:dyDescent="0.2">
      <c r="AM970" s="63" t="s">
        <v>2949</v>
      </c>
      <c r="AN970" s="63" t="s">
        <v>2950</v>
      </c>
      <c r="AO970" s="63"/>
      <c r="AP970" s="63"/>
      <c r="AQ970" s="63"/>
      <c r="AR970" s="63"/>
      <c r="AS970" s="63"/>
      <c r="AT970" s="63"/>
      <c r="AV970" s="63"/>
      <c r="AW970" s="63"/>
      <c r="AX970" s="63">
        <f>--ISNUMBER(IFERROR(SEARCH(Tempset!$M$4,AM970,1),""))</f>
        <v>1</v>
      </c>
      <c r="AY970" s="63">
        <f>IF(AX970=1,COUNTIF($AX$3:AX970,1),"")</f>
        <v>968</v>
      </c>
      <c r="AZ970" s="63" t="str">
        <f>IFERROR(INDEX($AM$3:$AM$1165,MATCH(ROWS($AY$3:AY970),$AY$3:$AY$1165,0)),"")</f>
        <v>SCVARWAValue</v>
      </c>
    </row>
    <row r="971" spans="39:52" x14ac:dyDescent="0.2">
      <c r="AM971" s="63" t="s">
        <v>2951</v>
      </c>
      <c r="AN971" s="63" t="s">
        <v>2952</v>
      </c>
      <c r="AO971" s="63"/>
      <c r="AP971" s="63"/>
      <c r="AQ971" s="63"/>
      <c r="AR971" s="63"/>
      <c r="AS971" s="63"/>
      <c r="AT971" s="63"/>
      <c r="AV971" s="63"/>
      <c r="AW971" s="63"/>
      <c r="AX971" s="63">
        <f>--ISNUMBER(IFERROR(SEARCH(Tempset!$M$4,AM971,1),""))</f>
        <v>1</v>
      </c>
      <c r="AY971" s="63">
        <f>IF(AX971=1,COUNTIF($AX$3:AX971,1),"")</f>
        <v>969</v>
      </c>
      <c r="AZ971" s="63" t="str">
        <f>IFERROR(INDEX($AM$3:$AM$1165,MATCH(ROWS($AY$3:AY971),$AY$3:$AY$1165,0)),"")</f>
        <v>secfinModelCategory</v>
      </c>
    </row>
    <row r="972" spans="39:52" x14ac:dyDescent="0.2">
      <c r="AM972" s="63" t="s">
        <v>2953</v>
      </c>
      <c r="AN972" s="63" t="s">
        <v>2954</v>
      </c>
      <c r="AO972" s="63"/>
      <c r="AP972" s="63"/>
      <c r="AQ972" s="63"/>
      <c r="AR972" s="63"/>
      <c r="AS972" s="63"/>
      <c r="AT972" s="63"/>
      <c r="AV972" s="63"/>
      <c r="AW972" s="63"/>
      <c r="AX972" s="63">
        <f>--ISNUMBER(IFERROR(SEARCH(Tempset!$M$4,AM972,1),""))</f>
        <v>1</v>
      </c>
      <c r="AY972" s="63">
        <f>IF(AX972=1,COUNTIF($AX$3:AX972,1),"")</f>
        <v>970</v>
      </c>
      <c r="AZ972" s="63" t="str">
        <f>IFERROR(INDEX($AM$3:$AM$1165,MATCH(ROWS($AY$3:AY972),$AY$3:$AY$1165,0)),"")</f>
        <v>secrecyWaiver</v>
      </c>
    </row>
    <row r="973" spans="39:52" x14ac:dyDescent="0.2">
      <c r="AM973" s="63" t="s">
        <v>2955</v>
      </c>
      <c r="AN973" s="63" t="s">
        <v>2956</v>
      </c>
      <c r="AO973" s="63"/>
      <c r="AP973" s="63"/>
      <c r="AQ973" s="63"/>
      <c r="AR973" s="63"/>
      <c r="AS973" s="63"/>
      <c r="AT973" s="63"/>
      <c r="AV973" s="63"/>
      <c r="AW973" s="63"/>
      <c r="AX973" s="63">
        <f>--ISNUMBER(IFERROR(SEARCH(Tempset!$M$4,AM973,1),""))</f>
        <v>1</v>
      </c>
      <c r="AY973" s="63">
        <f>IF(AX973=1,COUNTIF($AX$3:AX973,1),"")</f>
        <v>971</v>
      </c>
      <c r="AZ973" s="63" t="str">
        <f>IFERROR(INDEX($AM$3:$AM$1165,MATCH(ROWS($AY$3:AY973),$AY$3:$AY$1165,0)),"")</f>
        <v>securedByComRealEstate</v>
      </c>
    </row>
    <row r="974" spans="39:52" x14ac:dyDescent="0.2">
      <c r="AM974" s="63" t="s">
        <v>2957</v>
      </c>
      <c r="AN974" s="63" t="s">
        <v>2958</v>
      </c>
      <c r="AO974" s="63"/>
      <c r="AP974" s="63"/>
      <c r="AQ974" s="63"/>
      <c r="AR974" s="63"/>
      <c r="AS974" s="63"/>
      <c r="AT974" s="63"/>
      <c r="AV974" s="63"/>
      <c r="AW974" s="63"/>
      <c r="AX974" s="63">
        <f>--ISNUMBER(IFERROR(SEARCH(Tempset!$M$4,AM974,1),""))</f>
        <v>1</v>
      </c>
      <c r="AY974" s="63">
        <f>IF(AX974=1,COUNTIF($AX$3:AX974,1),"")</f>
        <v>972</v>
      </c>
      <c r="AZ974" s="63" t="str">
        <f>IFERROR(INDEX($AM$3:$AM$1165,MATCH(ROWS($AY$3:AY974),$AY$3:$AY$1165,0)),"")</f>
        <v>securedInd</v>
      </c>
    </row>
    <row r="975" spans="39:52" x14ac:dyDescent="0.2">
      <c r="AM975" s="63" t="s">
        <v>2959</v>
      </c>
      <c r="AN975" s="63" t="s">
        <v>2960</v>
      </c>
      <c r="AO975" s="63"/>
      <c r="AP975" s="63"/>
      <c r="AQ975" s="63"/>
      <c r="AR975" s="63"/>
      <c r="AS975" s="63"/>
      <c r="AT975" s="63"/>
      <c r="AV975" s="63"/>
      <c r="AW975" s="63"/>
      <c r="AX975" s="63">
        <f>--ISNUMBER(IFERROR(SEARCH(Tempset!$M$4,AM975,1),""))</f>
        <v>1</v>
      </c>
      <c r="AY975" s="63">
        <f>IF(AX975=1,COUNTIF($AX$3:AX975,1),"")</f>
        <v>973</v>
      </c>
      <c r="AZ975" s="63" t="str">
        <f>IFERROR(INDEX($AM$3:$AM$1165,MATCH(ROWS($AY$3:AY975),$AY$3:$AY$1165,0)),"")</f>
        <v>securitizationAmount</v>
      </c>
    </row>
    <row r="976" spans="39:52" x14ac:dyDescent="0.2">
      <c r="AM976" s="63" t="s">
        <v>2961</v>
      </c>
      <c r="AN976" s="63" t="s">
        <v>2962</v>
      </c>
      <c r="AO976" s="63"/>
      <c r="AP976" s="63"/>
      <c r="AQ976" s="63"/>
      <c r="AR976" s="63"/>
      <c r="AS976" s="63"/>
      <c r="AT976" s="63"/>
      <c r="AV976" s="63"/>
      <c r="AW976" s="63"/>
      <c r="AX976" s="63">
        <f>--ISNUMBER(IFERROR(SEARCH(Tempset!$M$4,AM976,1),""))</f>
        <v>1</v>
      </c>
      <c r="AY976" s="63">
        <f>IF(AX976=1,COUNTIF($AX$3:AX976,1),"")</f>
        <v>974</v>
      </c>
      <c r="AZ976" s="63" t="str">
        <f>IFERROR(INDEX($AM$3:$AM$1165,MATCH(ROWS($AY$3:AY976),$AY$3:$AY$1165,0)),"")</f>
        <v>securitizationFlag</v>
      </c>
    </row>
    <row r="977" spans="39:52" x14ac:dyDescent="0.2">
      <c r="AM977" s="63" t="s">
        <v>2963</v>
      </c>
      <c r="AN977" s="63" t="s">
        <v>2964</v>
      </c>
      <c r="AO977" s="63"/>
      <c r="AP977" s="63"/>
      <c r="AQ977" s="63"/>
      <c r="AR977" s="63"/>
      <c r="AS977" s="63"/>
      <c r="AT977" s="63"/>
      <c r="AV977" s="63"/>
      <c r="AW977" s="63"/>
      <c r="AX977" s="63">
        <f>--ISNUMBER(IFERROR(SEARCH(Tempset!$M$4,AM977,1),""))</f>
        <v>1</v>
      </c>
      <c r="AY977" s="63">
        <f>IF(AX977=1,COUNTIF($AX$3:AX977,1),"")</f>
        <v>975</v>
      </c>
      <c r="AZ977" s="63" t="str">
        <f>IFERROR(INDEX($AM$3:$AM$1165,MATCH(ROWS($AY$3:AY977),$AY$3:$AY$1165,0)),"")</f>
        <v>securitizationIRBRiskWeightValue</v>
      </c>
    </row>
    <row r="978" spans="39:52" x14ac:dyDescent="0.2">
      <c r="AM978" s="63" t="s">
        <v>2965</v>
      </c>
      <c r="AN978" s="63" t="s">
        <v>2966</v>
      </c>
      <c r="AO978" s="63"/>
      <c r="AP978" s="63"/>
      <c r="AQ978" s="63"/>
      <c r="AR978" s="63"/>
      <c r="AS978" s="63"/>
      <c r="AT978" s="63"/>
      <c r="AV978" s="63"/>
      <c r="AW978" s="63"/>
      <c r="AX978" s="63">
        <f>--ISNUMBER(IFERROR(SEARCH(Tempset!$M$4,AM978,1),""))</f>
        <v>1</v>
      </c>
      <c r="AY978" s="63">
        <f>IF(AX978=1,COUNTIF($AX$3:AX978,1),"")</f>
        <v>976</v>
      </c>
      <c r="AZ978" s="63" t="str">
        <f>IFERROR(INDEX($AM$3:$AM$1165,MATCH(ROWS($AY$3:AY978),$AY$3:$AY$1165,0)),"")</f>
        <v>securitizationStandardizedRiskWeightValue</v>
      </c>
    </row>
    <row r="979" spans="39:52" x14ac:dyDescent="0.2">
      <c r="AM979" s="63" t="s">
        <v>2967</v>
      </c>
      <c r="AN979" s="63" t="s">
        <v>2968</v>
      </c>
      <c r="AO979" s="63"/>
      <c r="AP979" s="63"/>
      <c r="AQ979" s="63"/>
      <c r="AR979" s="63"/>
      <c r="AS979" s="63"/>
      <c r="AT979" s="63"/>
      <c r="AV979" s="63"/>
      <c r="AW979" s="63"/>
      <c r="AX979" s="63">
        <f>--ISNUMBER(IFERROR(SEARCH(Tempset!$M$4,AM979,1),""))</f>
        <v>1</v>
      </c>
      <c r="AY979" s="63">
        <f>IF(AX979=1,COUNTIF($AX$3:AX979,1),"")</f>
        <v>977</v>
      </c>
      <c r="AZ979" s="63" t="str">
        <f>IFERROR(INDEX($AM$3:$AM$1165,MATCH(ROWS($AY$3:AY979),$AY$3:$AY$1165,0)),"")</f>
        <v>securitizationType</v>
      </c>
    </row>
    <row r="980" spans="39:52" x14ac:dyDescent="0.2">
      <c r="AM980" s="63" t="s">
        <v>2969</v>
      </c>
      <c r="AN980" s="63" t="s">
        <v>2970</v>
      </c>
      <c r="AO980" s="63"/>
      <c r="AP980" s="63"/>
      <c r="AQ980" s="63"/>
      <c r="AR980" s="63"/>
      <c r="AS980" s="63"/>
      <c r="AT980" s="63"/>
      <c r="AV980" s="63"/>
      <c r="AW980" s="63"/>
      <c r="AX980" s="63">
        <f>--ISNUMBER(IFERROR(SEARCH(Tempset!$M$4,AM980,1),""))</f>
        <v>1</v>
      </c>
      <c r="AY980" s="63">
        <f>IF(AX980=1,COUNTIF($AX$3:AX980,1),"")</f>
        <v>978</v>
      </c>
      <c r="AZ980" s="63" t="str">
        <f>IFERROR(INDEX($AM$3:$AM$1165,MATCH(ROWS($AY$3:AY980),$AY$3:$AY$1165,0)),"")</f>
        <v>securitizedAssetClass</v>
      </c>
    </row>
    <row r="981" spans="39:52" x14ac:dyDescent="0.2">
      <c r="AM981" s="63" t="s">
        <v>2971</v>
      </c>
      <c r="AN981" s="63" t="s">
        <v>2972</v>
      </c>
      <c r="AO981" s="63"/>
      <c r="AP981" s="63"/>
      <c r="AQ981" s="63"/>
      <c r="AR981" s="63"/>
      <c r="AS981" s="63"/>
      <c r="AT981" s="63"/>
      <c r="AV981" s="63"/>
      <c r="AW981" s="63"/>
      <c r="AX981" s="63">
        <f>--ISNUMBER(IFERROR(SEARCH(Tempset!$M$4,AM981,1),""))</f>
        <v>1</v>
      </c>
      <c r="AY981" s="63">
        <f>IF(AX981=1,COUNTIF($AX$3:AX981,1),"")</f>
        <v>979</v>
      </c>
      <c r="AZ981" s="63" t="str">
        <f>IFERROR(INDEX($AM$3:$AM$1165,MATCH(ROWS($AY$3:AY981),$AY$3:$AY$1165,0)),"")</f>
        <v>securitizedProductsERCValue</v>
      </c>
    </row>
    <row r="982" spans="39:52" x14ac:dyDescent="0.2">
      <c r="AM982" s="63" t="s">
        <v>2973</v>
      </c>
      <c r="AN982" s="63" t="s">
        <v>2974</v>
      </c>
      <c r="AO982" s="63"/>
      <c r="AP982" s="63"/>
      <c r="AQ982" s="63"/>
      <c r="AR982" s="63"/>
      <c r="AS982" s="63"/>
      <c r="AT982" s="63"/>
      <c r="AV982" s="63"/>
      <c r="AW982" s="63"/>
      <c r="AX982" s="63">
        <f>--ISNUMBER(IFERROR(SEARCH(Tempset!$M$4,AM982,1),""))</f>
        <v>1</v>
      </c>
      <c r="AY982" s="63">
        <f>IF(AX982=1,COUNTIF($AX$3:AX982,1),"")</f>
        <v>980</v>
      </c>
      <c r="AZ982" s="63" t="str">
        <f>IFERROR(INDEX($AM$3:$AM$1165,MATCH(ROWS($AY$3:AY982),$AY$3:$AY$1165,0)),"")</f>
        <v>securityCashBorrowLendFlag</v>
      </c>
    </row>
    <row r="983" spans="39:52" x14ac:dyDescent="0.2">
      <c r="AM983" s="63" t="s">
        <v>2975</v>
      </c>
      <c r="AN983" s="63" t="s">
        <v>2976</v>
      </c>
      <c r="AO983" s="63"/>
      <c r="AP983" s="63"/>
      <c r="AQ983" s="63"/>
      <c r="AR983" s="63"/>
      <c r="AS983" s="63"/>
      <c r="AT983" s="63"/>
      <c r="AV983" s="63"/>
      <c r="AW983" s="63"/>
      <c r="AX983" s="63">
        <f>--ISNUMBER(IFERROR(SEARCH(Tempset!$M$4,AM983,1),""))</f>
        <v>1</v>
      </c>
      <c r="AY983" s="63">
        <f>IF(AX983=1,COUNTIF($AX$3:AX983,1),"")</f>
        <v>981</v>
      </c>
      <c r="AZ983" s="63" t="str">
        <f>IFERROR(INDEX($AM$3:$AM$1165,MATCH(ROWS($AY$3:AY983),$AY$3:$AY$1165,0)),"")</f>
        <v>securityCashExclusionFlag</v>
      </c>
    </row>
    <row r="984" spans="39:52" x14ac:dyDescent="0.2">
      <c r="AM984" s="63" t="s">
        <v>2977</v>
      </c>
      <c r="AN984" s="63" t="s">
        <v>2978</v>
      </c>
      <c r="AO984" s="63"/>
      <c r="AP984" s="63"/>
      <c r="AQ984" s="63"/>
      <c r="AR984" s="63"/>
      <c r="AS984" s="63"/>
      <c r="AT984" s="63"/>
      <c r="AV984" s="63"/>
      <c r="AW984" s="63"/>
      <c r="AX984" s="63">
        <f>--ISNUMBER(IFERROR(SEARCH(Tempset!$M$4,AM984,1),""))</f>
        <v>1</v>
      </c>
      <c r="AY984" s="63">
        <f>IF(AX984=1,COUNTIF($AX$3:AX984,1),"")</f>
        <v>982</v>
      </c>
      <c r="AZ984" s="63" t="str">
        <f>IFERROR(INDEX($AM$3:$AM$1165,MATCH(ROWS($AY$3:AY984),$AY$3:$AY$1165,0)),"")</f>
        <v>securityVolatilityHaircut</v>
      </c>
    </row>
    <row r="985" spans="39:52" x14ac:dyDescent="0.2">
      <c r="AM985" s="63" t="s">
        <v>2979</v>
      </c>
      <c r="AN985" s="63" t="s">
        <v>2980</v>
      </c>
      <c r="AO985" s="63"/>
      <c r="AP985" s="63"/>
      <c r="AQ985" s="63"/>
      <c r="AR985" s="63"/>
      <c r="AS985" s="63"/>
      <c r="AT985" s="63"/>
      <c r="AV985" s="63"/>
      <c r="AW985" s="63"/>
      <c r="AX985" s="63">
        <f>--ISNUMBER(IFERROR(SEARCH(Tempset!$M$4,AM985,1),""))</f>
        <v>1</v>
      </c>
      <c r="AY985" s="63">
        <f>IF(AX985=1,COUNTIF($AX$3:AX985,1),"")</f>
        <v>983</v>
      </c>
      <c r="AZ985" s="63" t="str">
        <f>IFERROR(INDEX($AM$3:$AM$1165,MATCH(ROWS($AY$3:AY985),$AY$3:$AY$1165,0)),"")</f>
        <v>segmentTypeCode</v>
      </c>
    </row>
    <row r="986" spans="39:52" x14ac:dyDescent="0.2">
      <c r="AM986" s="63" t="s">
        <v>2981</v>
      </c>
      <c r="AN986" s="63" t="s">
        <v>2982</v>
      </c>
      <c r="AO986" s="63"/>
      <c r="AP986" s="63"/>
      <c r="AQ986" s="63"/>
      <c r="AR986" s="63"/>
      <c r="AS986" s="63"/>
      <c r="AT986" s="63"/>
      <c r="AV986" s="63"/>
      <c r="AW986" s="63"/>
      <c r="AX986" s="63">
        <f>--ISNUMBER(IFERROR(SEARCH(Tempset!$M$4,AM986,1),""))</f>
        <v>1</v>
      </c>
      <c r="AY986" s="63">
        <f>IF(AX986=1,COUNTIF($AX$3:AX986,1),"")</f>
        <v>984</v>
      </c>
      <c r="AZ986" s="63" t="str">
        <f>IFERROR(INDEX($AM$3:$AM$1165,MATCH(ROWS($AY$3:AY986),$AY$3:$AY$1165,0)),"")</f>
        <v>segregationIndicator</v>
      </c>
    </row>
    <row r="987" spans="39:52" x14ac:dyDescent="0.2">
      <c r="AM987" s="63" t="s">
        <v>2983</v>
      </c>
      <c r="AN987" s="63" t="s">
        <v>2984</v>
      </c>
      <c r="AO987" s="63"/>
      <c r="AP987" s="63"/>
      <c r="AQ987" s="63"/>
      <c r="AR987" s="63"/>
      <c r="AS987" s="63"/>
      <c r="AT987" s="63"/>
      <c r="AV987" s="63"/>
      <c r="AW987" s="63"/>
      <c r="AX987" s="63">
        <f>--ISNUMBER(IFERROR(SEARCH(Tempset!$M$4,AM987,1),""))</f>
        <v>1</v>
      </c>
      <c r="AY987" s="63">
        <f>IF(AX987=1,COUNTIF($AX$3:AX987,1),"")</f>
        <v>985</v>
      </c>
      <c r="AZ987" s="63" t="str">
        <f>IFERROR(INDEX($AM$3:$AM$1165,MATCH(ROWS($AY$3:AY987),$AY$3:$AY$1165,0)),"")</f>
        <v>SellerSharePc</v>
      </c>
    </row>
    <row r="988" spans="39:52" x14ac:dyDescent="0.2">
      <c r="AM988" s="63" t="s">
        <v>2985</v>
      </c>
      <c r="AN988" s="63" t="s">
        <v>2986</v>
      </c>
      <c r="AO988" s="63"/>
      <c r="AP988" s="63"/>
      <c r="AQ988" s="63"/>
      <c r="AR988" s="63"/>
      <c r="AS988" s="63"/>
      <c r="AT988" s="63"/>
      <c r="AV988" s="63"/>
      <c r="AW988" s="63"/>
      <c r="AX988" s="63">
        <f>--ISNUMBER(IFERROR(SEARCH(Tempset!$M$4,AM988,1),""))</f>
        <v>1</v>
      </c>
      <c r="AY988" s="63">
        <f>IF(AX988=1,COUNTIF($AX$3:AX988,1),"")</f>
        <v>986</v>
      </c>
      <c r="AZ988" s="63" t="str">
        <f>IFERROR(INDEX($AM$3:$AM$1165,MATCH(ROWS($AY$3:AY988),$AY$3:$AY$1165,0)),"")</f>
        <v>seniorFlag</v>
      </c>
    </row>
    <row r="989" spans="39:52" x14ac:dyDescent="0.2">
      <c r="AM989" s="63" t="s">
        <v>2987</v>
      </c>
      <c r="AN989" s="63" t="s">
        <v>2988</v>
      </c>
      <c r="AO989" s="63"/>
      <c r="AP989" s="63"/>
      <c r="AQ989" s="63"/>
      <c r="AR989" s="63"/>
      <c r="AS989" s="63"/>
      <c r="AT989" s="63"/>
      <c r="AV989" s="63"/>
      <c r="AW989" s="63"/>
      <c r="AX989" s="63">
        <f>--ISNUMBER(IFERROR(SEARCH(Tempset!$M$4,AM989,1),""))</f>
        <v>1</v>
      </c>
      <c r="AY989" s="63">
        <f>IF(AX989=1,COUNTIF($AX$3:AX989,1),"")</f>
        <v>987</v>
      </c>
      <c r="AZ989" s="63" t="str">
        <f>IFERROR(INDEX($AM$3:$AM$1165,MATCH(ROWS($AY$3:AY989),$AY$3:$AY$1165,0)),"")</f>
        <v>seniority</v>
      </c>
    </row>
    <row r="990" spans="39:52" x14ac:dyDescent="0.2">
      <c r="AM990" s="63" t="s">
        <v>2989</v>
      </c>
      <c r="AN990" s="63" t="s">
        <v>2990</v>
      </c>
      <c r="AO990" s="63"/>
      <c r="AP990" s="63"/>
      <c r="AQ990" s="63"/>
      <c r="AR990" s="63"/>
      <c r="AS990" s="63"/>
      <c r="AT990" s="63"/>
      <c r="AV990" s="63"/>
      <c r="AW990" s="63"/>
      <c r="AX990" s="63">
        <f>--ISNUMBER(IFERROR(SEARCH(Tempset!$M$4,AM990,1),""))</f>
        <v>1</v>
      </c>
      <c r="AY990" s="63">
        <f>IF(AX990=1,COUNTIF($AX$3:AX990,1),"")</f>
        <v>988</v>
      </c>
      <c r="AZ990" s="63" t="str">
        <f>IFERROR(INDEX($AM$3:$AM$1165,MATCH(ROWS($AY$3:AY990),$AY$3:$AY$1165,0)),"")</f>
        <v>servicingFee</v>
      </c>
    </row>
    <row r="991" spans="39:52" x14ac:dyDescent="0.2">
      <c r="AM991" s="63" t="s">
        <v>2991</v>
      </c>
      <c r="AN991" s="63" t="s">
        <v>2992</v>
      </c>
      <c r="AO991" s="63"/>
      <c r="AP991" s="63"/>
      <c r="AQ991" s="63"/>
      <c r="AR991" s="63"/>
      <c r="AS991" s="63"/>
      <c r="AT991" s="63"/>
      <c r="AV991" s="63"/>
      <c r="AW991" s="63"/>
      <c r="AX991" s="63">
        <f>--ISNUMBER(IFERROR(SEARCH(Tempset!$M$4,AM991,1),""))</f>
        <v>1</v>
      </c>
      <c r="AY991" s="63">
        <f>IF(AX991=1,COUNTIF($AX$3:AX991,1),"")</f>
        <v>989</v>
      </c>
      <c r="AZ991" s="63" t="str">
        <f>IFERROR(INDEX($AM$3:$AM$1165,MATCH(ROWS($AY$3:AY991),$AY$3:$AY$1165,0)),"")</f>
        <v>settlementCurrency</v>
      </c>
    </row>
    <row r="992" spans="39:52" x14ac:dyDescent="0.2">
      <c r="AM992" s="63" t="s">
        <v>2993</v>
      </c>
      <c r="AN992" s="63" t="s">
        <v>2994</v>
      </c>
      <c r="AO992" s="63"/>
      <c r="AP992" s="63"/>
      <c r="AQ992" s="63"/>
      <c r="AR992" s="63"/>
      <c r="AS992" s="63"/>
      <c r="AT992" s="63"/>
      <c r="AV992" s="63"/>
      <c r="AW992" s="63"/>
      <c r="AX992" s="63">
        <f>--ISNUMBER(IFERROR(SEARCH(Tempset!$M$4,AM992,1),""))</f>
        <v>1</v>
      </c>
      <c r="AY992" s="63">
        <f>IF(AX992=1,COUNTIF($AX$3:AX992,1),"")</f>
        <v>990</v>
      </c>
      <c r="AZ992" s="63" t="str">
        <f>IFERROR(INDEX($AM$3:$AM$1165,MATCH(ROWS($AY$3:AY992),$AY$3:$AY$1165,0)),"")</f>
        <v>settlementDate</v>
      </c>
    </row>
    <row r="993" spans="39:52" x14ac:dyDescent="0.2">
      <c r="AM993" s="63" t="s">
        <v>2995</v>
      </c>
      <c r="AN993" s="63" t="s">
        <v>2996</v>
      </c>
      <c r="AO993" s="63"/>
      <c r="AP993" s="63"/>
      <c r="AQ993" s="63"/>
      <c r="AR993" s="63"/>
      <c r="AS993" s="63"/>
      <c r="AT993" s="63"/>
      <c r="AV993" s="63"/>
      <c r="AW993" s="63"/>
      <c r="AX993" s="63">
        <f>--ISNUMBER(IFERROR(SEARCH(Tempset!$M$4,AM993,1),""))</f>
        <v>1</v>
      </c>
      <c r="AY993" s="63">
        <f>IF(AX993=1,COUNTIF($AX$3:AX993,1),"")</f>
        <v>991</v>
      </c>
      <c r="AZ993" s="63" t="str">
        <f>IFERROR(INDEX($AM$3:$AM$1165,MATCH(ROWS($AY$3:AY993),$AY$3:$AY$1165,0)),"")</f>
        <v>settlementExposureValue</v>
      </c>
    </row>
    <row r="994" spans="39:52" x14ac:dyDescent="0.2">
      <c r="AM994" s="63" t="s">
        <v>2997</v>
      </c>
      <c r="AN994" s="63" t="s">
        <v>2998</v>
      </c>
      <c r="AO994" s="63"/>
      <c r="AP994" s="63"/>
      <c r="AQ994" s="63"/>
      <c r="AR994" s="63"/>
      <c r="AS994" s="63"/>
      <c r="AT994" s="63"/>
      <c r="AV994" s="63"/>
      <c r="AW994" s="63"/>
      <c r="AX994" s="63">
        <f>--ISNUMBER(IFERROR(SEARCH(Tempset!$M$4,AM994,1),""))</f>
        <v>1</v>
      </c>
      <c r="AY994" s="63">
        <f>IF(AX994=1,COUNTIF($AX$3:AX994,1),"")</f>
        <v>992</v>
      </c>
      <c r="AZ994" s="63" t="str">
        <f>IFERROR(INDEX($AM$3:$AM$1165,MATCH(ROWS($AY$3:AY994),$AY$3:$AY$1165,0)),"")</f>
        <v>settlementMonth</v>
      </c>
    </row>
    <row r="995" spans="39:52" x14ac:dyDescent="0.2">
      <c r="AM995" s="63" t="s">
        <v>2999</v>
      </c>
      <c r="AN995" s="63" t="s">
        <v>3000</v>
      </c>
      <c r="AO995" s="63"/>
      <c r="AP995" s="63"/>
      <c r="AQ995" s="63"/>
      <c r="AR995" s="63"/>
      <c r="AS995" s="63"/>
      <c r="AT995" s="63"/>
      <c r="AV995" s="63"/>
      <c r="AW995" s="63"/>
      <c r="AX995" s="63">
        <f>--ISNUMBER(IFERROR(SEARCH(Tempset!$M$4,AM995,1),""))</f>
        <v>1</v>
      </c>
      <c r="AY995" s="63">
        <f>IF(AX995=1,COUNTIF($AX$3:AX995,1),"")</f>
        <v>993</v>
      </c>
      <c r="AZ995" s="63" t="str">
        <f>IFERROR(INDEX($AM$3:$AM$1165,MATCH(ROWS($AY$3:AY995),$AY$3:$AY$1165,0)),"")</f>
        <v>settlementQuantity</v>
      </c>
    </row>
    <row r="996" spans="39:52" x14ac:dyDescent="0.2">
      <c r="AM996" s="63" t="s">
        <v>3001</v>
      </c>
      <c r="AN996" s="63" t="s">
        <v>3002</v>
      </c>
      <c r="AO996" s="63"/>
      <c r="AP996" s="63"/>
      <c r="AQ996" s="63"/>
      <c r="AR996" s="63"/>
      <c r="AS996" s="63"/>
      <c r="AT996" s="63"/>
      <c r="AV996" s="63"/>
      <c r="AW996" s="63"/>
      <c r="AX996" s="63">
        <f>--ISNUMBER(IFERROR(SEARCH(Tempset!$M$4,AM996,1),""))</f>
        <v>1</v>
      </c>
      <c r="AY996" s="63">
        <f>IF(AX996=1,COUNTIF($AX$3:AX996,1),"")</f>
        <v>994</v>
      </c>
      <c r="AZ996" s="63" t="str">
        <f>IFERROR(INDEX($AM$3:$AM$1165,MATCH(ROWS($AY$3:AY996),$AY$3:$AY$1165,0)),"")</f>
        <v>settlementStatusIndicator</v>
      </c>
    </row>
    <row r="997" spans="39:52" x14ac:dyDescent="0.2">
      <c r="AM997" s="63" t="s">
        <v>3003</v>
      </c>
      <c r="AN997" s="63" t="s">
        <v>3004</v>
      </c>
      <c r="AO997" s="63"/>
      <c r="AP997" s="63"/>
      <c r="AQ997" s="63"/>
      <c r="AR997" s="63"/>
      <c r="AS997" s="63"/>
      <c r="AT997" s="63"/>
      <c r="AV997" s="63"/>
      <c r="AW997" s="63"/>
      <c r="AX997" s="63">
        <f>--ISNUMBER(IFERROR(SEARCH(Tempset!$M$4,AM997,1),""))</f>
        <v>1</v>
      </c>
      <c r="AY997" s="63">
        <f>IF(AX997=1,COUNTIF($AX$3:AX997,1),"")</f>
        <v>995</v>
      </c>
      <c r="AZ997" s="63" t="str">
        <f>IFERROR(INDEX($AM$3:$AM$1165,MATCH(ROWS($AY$3:AY997),$AY$3:$AY$1165,0)),"")</f>
        <v>settlementTypeIndicator</v>
      </c>
    </row>
    <row r="998" spans="39:52" x14ac:dyDescent="0.2">
      <c r="AM998" s="63" t="s">
        <v>3005</v>
      </c>
      <c r="AN998" s="63" t="s">
        <v>3006</v>
      </c>
      <c r="AO998" s="63"/>
      <c r="AP998" s="63"/>
      <c r="AQ998" s="63"/>
      <c r="AR998" s="63"/>
      <c r="AS998" s="63"/>
      <c r="AT998" s="63"/>
      <c r="AV998" s="63"/>
      <c r="AW998" s="63"/>
      <c r="AX998" s="63">
        <f>--ISNUMBER(IFERROR(SEARCH(Tempset!$M$4,AM998,1),""))</f>
        <v>1</v>
      </c>
      <c r="AY998" s="63">
        <f>IF(AX998=1,COUNTIF($AX$3:AX998,1),"")</f>
        <v>996</v>
      </c>
      <c r="AZ998" s="63" t="str">
        <f>IFERROR(INDEX($AM$3:$AM$1165,MATCH(ROWS($AY$3:AY998),$AY$3:$AY$1165,0)),"")</f>
        <v>SFTCollateralHaircutEADValue</v>
      </c>
    </row>
    <row r="999" spans="39:52" x14ac:dyDescent="0.2">
      <c r="AM999" s="63" t="s">
        <v>3007</v>
      </c>
      <c r="AN999" s="63" t="s">
        <v>3008</v>
      </c>
      <c r="AO999" s="63"/>
      <c r="AP999" s="63"/>
      <c r="AQ999" s="63"/>
      <c r="AR999" s="63"/>
      <c r="AS999" s="63"/>
      <c r="AT999" s="63"/>
      <c r="AV999" s="63"/>
      <c r="AW999" s="63"/>
      <c r="AX999" s="63">
        <f>--ISNUMBER(IFERROR(SEARCH(Tempset!$M$4,AM999,1),""))</f>
        <v>1</v>
      </c>
      <c r="AY999" s="63">
        <f>IF(AX999=1,COUNTIF($AX$3:AX999,1),"")</f>
        <v>997</v>
      </c>
      <c r="AZ999" s="63" t="str">
        <f>IFERROR(INDEX($AM$3:$AM$1165,MATCH(ROWS($AY$3:AY999),$AY$3:$AY$1165,0)),"")</f>
        <v>SFTFCCMEADValue</v>
      </c>
    </row>
    <row r="1000" spans="39:52" x14ac:dyDescent="0.2">
      <c r="AM1000" s="63" t="s">
        <v>3009</v>
      </c>
      <c r="AN1000" s="63" t="s">
        <v>3010</v>
      </c>
      <c r="AO1000" s="63"/>
      <c r="AP1000" s="63"/>
      <c r="AQ1000" s="63"/>
      <c r="AR1000" s="63"/>
      <c r="AS1000" s="63"/>
      <c r="AT1000" s="63"/>
      <c r="AV1000" s="63"/>
      <c r="AW1000" s="63"/>
      <c r="AX1000" s="63">
        <f>--ISNUMBER(IFERROR(SEARCH(Tempset!$M$4,AM1000,1),""))</f>
        <v>1</v>
      </c>
      <c r="AY1000" s="63">
        <f>IF(AX1000=1,COUNTIF($AX$3:AX1000,1),"")</f>
        <v>998</v>
      </c>
      <c r="AZ1000" s="63" t="str">
        <f>IFERROR(INDEX($AM$3:$AM$1165,MATCH(ROWS($AY$3:AY1000),$AY$3:$AY$1165,0)),"")</f>
        <v>SFTQPosititonLossAmt</v>
      </c>
    </row>
    <row r="1001" spans="39:52" x14ac:dyDescent="0.2">
      <c r="AM1001" s="63" t="s">
        <v>3011</v>
      </c>
      <c r="AN1001" s="63" t="s">
        <v>3012</v>
      </c>
      <c r="AO1001" s="63"/>
      <c r="AP1001" s="63"/>
      <c r="AQ1001" s="63"/>
      <c r="AR1001" s="63"/>
      <c r="AS1001" s="63"/>
      <c r="AT1001" s="63"/>
      <c r="AV1001" s="63"/>
      <c r="AW1001" s="63"/>
      <c r="AX1001" s="63">
        <f>--ISNUMBER(IFERROR(SEARCH(Tempset!$M$4,AM1001,1),""))</f>
        <v>1</v>
      </c>
      <c r="AY1001" s="63">
        <f>IF(AX1001=1,COUNTIF($AX$3:AX1001,1),"")</f>
        <v>999</v>
      </c>
      <c r="AZ1001" s="63" t="str">
        <f>IFERROR(INDEX($AM$3:$AM$1165,MATCH(ROWS($AY$3:AY1001),$AY$3:$AY$1165,0)),"")</f>
        <v>SFTQPosititonLossAmtCcy</v>
      </c>
    </row>
    <row r="1002" spans="39:52" x14ac:dyDescent="0.2">
      <c r="AM1002" s="63" t="s">
        <v>3013</v>
      </c>
      <c r="AN1002" s="63" t="s">
        <v>3014</v>
      </c>
      <c r="AO1002" s="63"/>
      <c r="AP1002" s="63"/>
      <c r="AQ1002" s="63"/>
      <c r="AR1002" s="63"/>
      <c r="AS1002" s="63"/>
      <c r="AT1002" s="63"/>
      <c r="AV1002" s="63"/>
      <c r="AW1002" s="63"/>
      <c r="AX1002" s="63">
        <f>--ISNUMBER(IFERROR(SEARCH(Tempset!$M$4,AM1002,1),""))</f>
        <v>1</v>
      </c>
      <c r="AY1002" s="63">
        <f>IF(AX1002=1,COUNTIF($AX$3:AX1002,1),"")</f>
        <v>1000</v>
      </c>
      <c r="AZ1002" s="63" t="str">
        <f>IFERROR(INDEX($AM$3:$AM$1165,MATCH(ROWS($AY$3:AY1002),$AY$3:$AY$1165,0)),"")</f>
        <v>shipAge</v>
      </c>
    </row>
    <row r="1003" spans="39:52" x14ac:dyDescent="0.2">
      <c r="AM1003" s="63" t="s">
        <v>3015</v>
      </c>
      <c r="AN1003" s="63" t="s">
        <v>3016</v>
      </c>
      <c r="AO1003" s="63"/>
      <c r="AP1003" s="63"/>
      <c r="AQ1003" s="63"/>
      <c r="AR1003" s="63"/>
      <c r="AS1003" s="63"/>
      <c r="AT1003" s="63"/>
      <c r="AV1003" s="63"/>
      <c r="AW1003" s="63"/>
      <c r="AX1003" s="63">
        <f>--ISNUMBER(IFERROR(SEARCH(Tempset!$M$4,AM1003,1),""))</f>
        <v>1</v>
      </c>
      <c r="AY1003" s="63">
        <f>IF(AX1003=1,COUNTIF($AX$3:AX1003,1),"")</f>
        <v>1001</v>
      </c>
      <c r="AZ1003" s="63" t="str">
        <f>IFERROR(INDEX($AM$3:$AM$1165,MATCH(ROWS($AY$3:AY1003),$AY$3:$AY$1165,0)),"")</f>
        <v>shipScrapValue</v>
      </c>
    </row>
    <row r="1004" spans="39:52" x14ac:dyDescent="0.2">
      <c r="AM1004" s="63" t="s">
        <v>3017</v>
      </c>
      <c r="AN1004" s="63" t="s">
        <v>3018</v>
      </c>
      <c r="AO1004" s="63"/>
      <c r="AP1004" s="63"/>
      <c r="AQ1004" s="63"/>
      <c r="AR1004" s="63"/>
      <c r="AS1004" s="63"/>
      <c r="AT1004" s="63"/>
      <c r="AV1004" s="63"/>
      <c r="AW1004" s="63"/>
      <c r="AX1004" s="63">
        <f>--ISNUMBER(IFERROR(SEARCH(Tempset!$M$4,AM1004,1),""))</f>
        <v>1</v>
      </c>
      <c r="AY1004" s="63">
        <f>IF(AX1004=1,COUNTIF($AX$3:AX1004,1),"")</f>
        <v>1002</v>
      </c>
      <c r="AZ1004" s="63" t="str">
        <f>IFERROR(INDEX($AM$3:$AM$1165,MATCH(ROWS($AY$3:AY1004),$AY$3:$AY$1165,0)),"")</f>
        <v>shipType</v>
      </c>
    </row>
    <row r="1005" spans="39:52" x14ac:dyDescent="0.2">
      <c r="AM1005" s="63" t="s">
        <v>3019</v>
      </c>
      <c r="AN1005" s="63" t="s">
        <v>3020</v>
      </c>
      <c r="AO1005" s="63"/>
      <c r="AP1005" s="63"/>
      <c r="AQ1005" s="63"/>
      <c r="AR1005" s="63"/>
      <c r="AS1005" s="63"/>
      <c r="AT1005" s="63"/>
      <c r="AV1005" s="63"/>
      <c r="AW1005" s="63"/>
      <c r="AX1005" s="63">
        <f>--ISNUMBER(IFERROR(SEARCH(Tempset!$M$4,AM1005,1),""))</f>
        <v>1</v>
      </c>
      <c r="AY1005" s="63">
        <f>IF(AX1005=1,COUNTIF($AX$3:AX1005,1),"")</f>
        <v>1003</v>
      </c>
      <c r="AZ1005" s="63" t="str">
        <f>IFERROR(INDEX($AM$3:$AM$1165,MATCH(ROWS($AY$3:AY1005),$AY$3:$AY$1165,0)),"")</f>
        <v>shipValue</v>
      </c>
    </row>
    <row r="1006" spans="39:52" x14ac:dyDescent="0.2">
      <c r="AM1006" s="63" t="s">
        <v>3021</v>
      </c>
      <c r="AN1006" s="63" t="s">
        <v>3022</v>
      </c>
      <c r="AO1006" s="63"/>
      <c r="AP1006" s="63"/>
      <c r="AQ1006" s="63"/>
      <c r="AR1006" s="63"/>
      <c r="AS1006" s="63"/>
      <c r="AT1006" s="63"/>
      <c r="AV1006" s="63"/>
      <c r="AW1006" s="63"/>
      <c r="AX1006" s="63">
        <f>--ISNUMBER(IFERROR(SEARCH(Tempset!$M$4,AM1006,1),""))</f>
        <v>1</v>
      </c>
      <c r="AY1006" s="63">
        <f>IF(AX1006=1,COUNTIF($AX$3:AX1006,1),"")</f>
        <v>1004</v>
      </c>
      <c r="AZ1006" s="63" t="str">
        <f>IFERROR(INDEX($AM$3:$AM$1165,MATCH(ROWS($AY$3:AY1006),$AY$3:$AY$1165,0)),"")</f>
        <v>shockValue</v>
      </c>
    </row>
    <row r="1007" spans="39:52" x14ac:dyDescent="0.2">
      <c r="AM1007" s="63" t="s">
        <v>3023</v>
      </c>
      <c r="AN1007" s="63" t="s">
        <v>3024</v>
      </c>
      <c r="AO1007" s="63"/>
      <c r="AP1007" s="63"/>
      <c r="AQ1007" s="63"/>
      <c r="AR1007" s="63"/>
      <c r="AS1007" s="63"/>
      <c r="AT1007" s="63"/>
      <c r="AV1007" s="63"/>
      <c r="AW1007" s="63"/>
      <c r="AX1007" s="63">
        <f>--ISNUMBER(IFERROR(SEARCH(Tempset!$M$4,AM1007,1),""))</f>
        <v>1</v>
      </c>
      <c r="AY1007" s="63">
        <f>IF(AX1007=1,COUNTIF($AX$3:AX1007,1),"")</f>
        <v>1005</v>
      </c>
      <c r="AZ1007" s="63" t="str">
        <f>IFERROR(INDEX($AM$3:$AM$1165,MATCH(ROWS($AY$3:AY1007),$AY$3:$AY$1165,0)),"")</f>
        <v>shortCoverFlag</v>
      </c>
    </row>
    <row r="1008" spans="39:52" x14ac:dyDescent="0.2">
      <c r="AM1008" s="63" t="s">
        <v>3025</v>
      </c>
      <c r="AN1008" s="63" t="s">
        <v>3026</v>
      </c>
      <c r="AO1008" s="63"/>
      <c r="AP1008" s="63"/>
      <c r="AQ1008" s="63"/>
      <c r="AR1008" s="63"/>
      <c r="AS1008" s="63"/>
      <c r="AT1008" s="63"/>
      <c r="AV1008" s="63"/>
      <c r="AW1008" s="63"/>
      <c r="AX1008" s="63">
        <f>--ISNUMBER(IFERROR(SEARCH(Tempset!$M$4,AM1008,1),""))</f>
        <v>1</v>
      </c>
      <c r="AY1008" s="63">
        <f>IF(AX1008=1,COUNTIF($AX$3:AX1008,1),"")</f>
        <v>1006</v>
      </c>
      <c r="AZ1008" s="63" t="str">
        <f>IFERROR(INDEX($AM$3:$AM$1165,MATCH(ROWS($AY$3:AY1008),$AY$3:$AY$1165,0)),"")</f>
        <v>shortTermClaimFlag</v>
      </c>
    </row>
    <row r="1009" spans="39:52" x14ac:dyDescent="0.2">
      <c r="AM1009" s="63" t="s">
        <v>3027</v>
      </c>
      <c r="AN1009" s="63" t="s">
        <v>3028</v>
      </c>
      <c r="AO1009" s="63"/>
      <c r="AP1009" s="63"/>
      <c r="AQ1009" s="63"/>
      <c r="AR1009" s="63"/>
      <c r="AS1009" s="63"/>
      <c r="AT1009" s="63"/>
      <c r="AV1009" s="63"/>
      <c r="AW1009" s="63"/>
      <c r="AX1009" s="63">
        <f>--ISNUMBER(IFERROR(SEARCH(Tempset!$M$4,AM1009,1),""))</f>
        <v>1</v>
      </c>
      <c r="AY1009" s="63">
        <f>IF(AX1009=1,COUNTIF($AX$3:AX1009,1),"")</f>
        <v>1007</v>
      </c>
      <c r="AZ1009" s="63" t="str">
        <f>IFERROR(INDEX($AM$3:$AM$1165,MATCH(ROWS($AY$3:AY1009),$AY$3:$AY$1165,0)),"")</f>
        <v>simpleRiskWeightValue</v>
      </c>
    </row>
    <row r="1010" spans="39:52" x14ac:dyDescent="0.2">
      <c r="AM1010" s="63" t="s">
        <v>3029</v>
      </c>
      <c r="AN1010" s="63" t="s">
        <v>3030</v>
      </c>
      <c r="AO1010" s="63"/>
      <c r="AP1010" s="63"/>
      <c r="AQ1010" s="63"/>
      <c r="AR1010" s="63"/>
      <c r="AS1010" s="63"/>
      <c r="AT1010" s="63"/>
      <c r="AV1010" s="63"/>
      <c r="AW1010" s="63"/>
      <c r="AX1010" s="63">
        <f>--ISNUMBER(IFERROR(SEARCH(Tempset!$M$4,AM1010,1),""))</f>
        <v>1</v>
      </c>
      <c r="AY1010" s="63">
        <f>IF(AX1010=1,COUNTIF($AX$3:AX1010,1),"")</f>
        <v>1008</v>
      </c>
      <c r="AZ1010" s="63" t="str">
        <f>IFERROR(INDEX($AM$3:$AM$1165,MATCH(ROWS($AY$3:AY1010),$AY$3:$AY$1165,0)),"")</f>
        <v>singleClientIdentifier</v>
      </c>
    </row>
    <row r="1011" spans="39:52" x14ac:dyDescent="0.2">
      <c r="AM1011" s="63" t="s">
        <v>3031</v>
      </c>
      <c r="AN1011" s="63" t="s">
        <v>3032</v>
      </c>
      <c r="AO1011" s="63"/>
      <c r="AP1011" s="63"/>
      <c r="AQ1011" s="63"/>
      <c r="AR1011" s="63"/>
      <c r="AS1011" s="63"/>
      <c r="AT1011" s="63"/>
      <c r="AV1011" s="63"/>
      <c r="AW1011" s="63"/>
      <c r="AX1011" s="63">
        <f>--ISNUMBER(IFERROR(SEARCH(Tempset!$M$4,AM1011,1),""))</f>
        <v>1</v>
      </c>
      <c r="AY1011" s="63">
        <f>IF(AX1011=1,COUNTIF($AX$3:AX1011,1),"")</f>
        <v>1009</v>
      </c>
      <c r="AZ1011" s="63" t="str">
        <f>IFERROR(INDEX($AM$3:$AM$1165,MATCH(ROWS($AY$3:AY1011),$AY$3:$AY$1165,0)),"")</f>
        <v>singleNameConcentrationBufferValue</v>
      </c>
    </row>
    <row r="1012" spans="39:52" x14ac:dyDescent="0.2">
      <c r="AM1012" s="63" t="s">
        <v>3033</v>
      </c>
      <c r="AN1012" s="63" t="s">
        <v>3034</v>
      </c>
      <c r="AO1012" s="63"/>
      <c r="AP1012" s="63"/>
      <c r="AQ1012" s="63"/>
      <c r="AR1012" s="63"/>
      <c r="AS1012" s="63"/>
      <c r="AT1012" s="63"/>
      <c r="AV1012" s="63"/>
      <c r="AW1012" s="63"/>
      <c r="AX1012" s="63">
        <f>--ISNUMBER(IFERROR(SEARCH(Tempset!$M$4,AM1012,1),""))</f>
        <v>1</v>
      </c>
      <c r="AY1012" s="63">
        <f>IF(AX1012=1,COUNTIF($AX$3:AX1012,1),"")</f>
        <v>1010</v>
      </c>
      <c r="AZ1012" s="63" t="str">
        <f>IFERROR(INDEX($AM$3:$AM$1165,MATCH(ROWS($AY$3:AY1012),$AY$3:$AY$1165,0)),"")</f>
        <v>singleNameConcentrationLossAmount</v>
      </c>
    </row>
    <row r="1013" spans="39:52" x14ac:dyDescent="0.2">
      <c r="AM1013" s="63" t="s">
        <v>3035</v>
      </c>
      <c r="AN1013" s="63" t="s">
        <v>3036</v>
      </c>
      <c r="AO1013" s="63"/>
      <c r="AP1013" s="63"/>
      <c r="AQ1013" s="63"/>
      <c r="AR1013" s="63"/>
      <c r="AS1013" s="63"/>
      <c r="AT1013" s="63"/>
      <c r="AV1013" s="63"/>
      <c r="AW1013" s="63"/>
      <c r="AX1013" s="63">
        <f>--ISNUMBER(IFERROR(SEARCH(Tempset!$M$4,AM1013,1),""))</f>
        <v>1</v>
      </c>
      <c r="AY1013" s="63">
        <f>IF(AX1013=1,COUNTIF($AX$3:AX1013,1),"")</f>
        <v>1011</v>
      </c>
      <c r="AZ1013" s="63" t="str">
        <f>IFERROR(INDEX($AM$3:$AM$1165,MATCH(ROWS($AY$3:AY1013),$AY$3:$AY$1165,0)),"")</f>
        <v>singleNameIndexFlag</v>
      </c>
    </row>
    <row r="1014" spans="39:52" x14ac:dyDescent="0.2">
      <c r="AM1014" s="63" t="s">
        <v>3037</v>
      </c>
      <c r="AN1014" s="63" t="s">
        <v>3038</v>
      </c>
      <c r="AO1014" s="63"/>
      <c r="AP1014" s="63"/>
      <c r="AQ1014" s="63"/>
      <c r="AR1014" s="63"/>
      <c r="AS1014" s="63"/>
      <c r="AT1014" s="63"/>
      <c r="AV1014" s="63"/>
      <c r="AW1014" s="63"/>
      <c r="AX1014" s="63">
        <f>--ISNUMBER(IFERROR(SEARCH(Tempset!$M$4,AM1014,1),""))</f>
        <v>1</v>
      </c>
      <c r="AY1014" s="63">
        <f>IF(AX1014=1,COUNTIF($AX$3:AX1014,1),"")</f>
        <v>1012</v>
      </c>
      <c r="AZ1014" s="63" t="str">
        <f>IFERROR(INDEX($AM$3:$AM$1165,MATCH(ROWS($AY$3:AY1014),$AY$3:$AY$1165,0)),"")</f>
        <v>skewSurfaceIndicator</v>
      </c>
    </row>
    <row r="1015" spans="39:52" x14ac:dyDescent="0.2">
      <c r="AM1015" s="63" t="s">
        <v>3039</v>
      </c>
      <c r="AN1015" s="63" t="s">
        <v>3040</v>
      </c>
      <c r="AO1015" s="63"/>
      <c r="AP1015" s="63"/>
      <c r="AQ1015" s="63"/>
      <c r="AR1015" s="63"/>
      <c r="AS1015" s="63"/>
      <c r="AT1015" s="63"/>
      <c r="AV1015" s="63"/>
      <c r="AW1015" s="63"/>
      <c r="AX1015" s="63">
        <f>--ISNUMBER(IFERROR(SEARCH(Tempset!$M$4,AM1015,1),""))</f>
        <v>1</v>
      </c>
      <c r="AY1015" s="63">
        <f>IF(AX1015=1,COUNTIF($AX$3:AX1015,1),"")</f>
        <v>1013</v>
      </c>
      <c r="AZ1015" s="63" t="str">
        <f>IFERROR(INDEX($AM$3:$AM$1165,MATCH(ROWS($AY$3:AY1015),$AY$3:$AY$1165,0)),"")</f>
        <v>skewType</v>
      </c>
    </row>
    <row r="1016" spans="39:52" x14ac:dyDescent="0.2">
      <c r="AM1016" s="63" t="s">
        <v>3041</v>
      </c>
      <c r="AN1016" s="63" t="s">
        <v>3042</v>
      </c>
      <c r="AO1016" s="63"/>
      <c r="AP1016" s="63"/>
      <c r="AQ1016" s="63"/>
      <c r="AR1016" s="63"/>
      <c r="AS1016" s="63"/>
      <c r="AT1016" s="63"/>
      <c r="AV1016" s="63"/>
      <c r="AW1016" s="63"/>
      <c r="AX1016" s="63">
        <f>--ISNUMBER(IFERROR(SEARCH(Tempset!$M$4,AM1016,1),""))</f>
        <v>1</v>
      </c>
      <c r="AY1016" s="63">
        <f>IF(AX1016=1,COUNTIF($AX$3:AX1016,1),"")</f>
        <v>1014</v>
      </c>
      <c r="AZ1016" s="63" t="str">
        <f>IFERROR(INDEX($AM$3:$AM$1165,MATCH(ROWS($AY$3:AY1016),$AY$3:$AY$1165,0)),"")</f>
        <v>slottingCriteriaRiskWeightValue</v>
      </c>
    </row>
    <row r="1017" spans="39:52" x14ac:dyDescent="0.2">
      <c r="AM1017" s="63" t="s">
        <v>3043</v>
      </c>
      <c r="AN1017" s="63" t="s">
        <v>3044</v>
      </c>
      <c r="AO1017" s="63"/>
      <c r="AP1017" s="63"/>
      <c r="AQ1017" s="63"/>
      <c r="AR1017" s="63"/>
      <c r="AS1017" s="63"/>
      <c r="AT1017" s="63"/>
      <c r="AV1017" s="63"/>
      <c r="AW1017" s="63"/>
      <c r="AX1017" s="63">
        <f>--ISNUMBER(IFERROR(SEARCH(Tempset!$M$4,AM1017,1),""))</f>
        <v>1</v>
      </c>
      <c r="AY1017" s="63">
        <f>IF(AX1017=1,COUNTIF($AX$3:AX1017,1),"")</f>
        <v>1015</v>
      </c>
      <c r="AZ1017" s="63" t="str">
        <f>IFERROR(INDEX($AM$3:$AM$1165,MATCH(ROWS($AY$3:AY1017),$AY$3:$AY$1165,0)),"")</f>
        <v>SOIDate</v>
      </c>
    </row>
    <row r="1018" spans="39:52" x14ac:dyDescent="0.2">
      <c r="AM1018" s="63" t="s">
        <v>3045</v>
      </c>
      <c r="AN1018" s="63" t="s">
        <v>3046</v>
      </c>
      <c r="AO1018" s="63"/>
      <c r="AP1018" s="63"/>
      <c r="AQ1018" s="63"/>
      <c r="AR1018" s="63"/>
      <c r="AS1018" s="63"/>
      <c r="AT1018" s="63"/>
      <c r="AV1018" s="63"/>
      <c r="AW1018" s="63"/>
      <c r="AX1018" s="63">
        <f>--ISNUMBER(IFERROR(SEARCH(Tempset!$M$4,AM1018,1),""))</f>
        <v>1</v>
      </c>
      <c r="AY1018" s="63">
        <f>IF(AX1018=1,COUNTIF($AX$3:AX1018,1),"")</f>
        <v>1016</v>
      </c>
      <c r="AZ1018" s="63" t="str">
        <f>IFERROR(INDEX($AM$3:$AM$1165,MATCH(ROWS($AY$3:AY1018),$AY$3:$AY$1165,0)),"")</f>
        <v>sourceSystemCode</v>
      </c>
    </row>
    <row r="1019" spans="39:52" x14ac:dyDescent="0.2">
      <c r="AM1019" s="63" t="s">
        <v>3047</v>
      </c>
      <c r="AN1019" s="63" t="s">
        <v>3048</v>
      </c>
      <c r="AO1019" s="63"/>
      <c r="AP1019" s="63"/>
      <c r="AQ1019" s="63"/>
      <c r="AR1019" s="63"/>
      <c r="AS1019" s="63"/>
      <c r="AT1019" s="63"/>
      <c r="AV1019" s="63"/>
      <c r="AW1019" s="63"/>
      <c r="AX1019" s="63">
        <f>--ISNUMBER(IFERROR(SEARCH(Tempset!$M$4,AM1019,1),""))</f>
        <v>1</v>
      </c>
      <c r="AY1019" s="63">
        <f>IF(AX1019=1,COUNTIF($AX$3:AX1019,1),"")</f>
        <v>1017</v>
      </c>
      <c r="AZ1019" s="63" t="str">
        <f>IFERROR(INDEX($AM$3:$AM$1165,MATCH(ROWS($AY$3:AY1019),$AY$3:$AY$1165,0)),"")</f>
        <v>sovereignDefaultIndicator</v>
      </c>
    </row>
    <row r="1020" spans="39:52" x14ac:dyDescent="0.2">
      <c r="AM1020" s="63" t="s">
        <v>3049</v>
      </c>
      <c r="AN1020" s="63" t="s">
        <v>3050</v>
      </c>
      <c r="AO1020" s="63"/>
      <c r="AP1020" s="63"/>
      <c r="AQ1020" s="63"/>
      <c r="AR1020" s="63"/>
      <c r="AS1020" s="63"/>
      <c r="AT1020" s="63"/>
      <c r="AV1020" s="63"/>
      <c r="AW1020" s="63"/>
      <c r="AX1020" s="63">
        <f>--ISNUMBER(IFERROR(SEARCH(Tempset!$M$4,AM1020,1),""))</f>
        <v>1</v>
      </c>
      <c r="AY1020" s="63">
        <f>IF(AX1020=1,COUNTIF($AX$3:AX1020,1),"")</f>
        <v>1018</v>
      </c>
      <c r="AZ1020" s="63" t="str">
        <f>IFERROR(INDEX($AM$3:$AM$1165,MATCH(ROWS($AY$3:AY1020),$AY$3:$AY$1165,0)),"")</f>
        <v>specificRiskAddOnValue</v>
      </c>
    </row>
    <row r="1021" spans="39:52" x14ac:dyDescent="0.2">
      <c r="AM1021" s="63" t="s">
        <v>3051</v>
      </c>
      <c r="AN1021" s="63" t="s">
        <v>3052</v>
      </c>
      <c r="AO1021" s="63"/>
      <c r="AP1021" s="63"/>
      <c r="AQ1021" s="63"/>
      <c r="AR1021" s="63"/>
      <c r="AS1021" s="63"/>
      <c r="AT1021" s="63"/>
      <c r="AV1021" s="63"/>
      <c r="AW1021" s="63"/>
      <c r="AX1021" s="63">
        <f>--ISNUMBER(IFERROR(SEARCH(Tempset!$M$4,AM1021,1),""))</f>
        <v>1</v>
      </c>
      <c r="AY1021" s="63">
        <f>IF(AX1021=1,COUNTIF($AX$3:AX1021,1),"")</f>
        <v>1019</v>
      </c>
      <c r="AZ1021" s="63" t="str">
        <f>IFERROR(INDEX($AM$3:$AM$1165,MATCH(ROWS($AY$3:AY1021),$AY$3:$AY$1165,0)),"")</f>
        <v>spotLeverageExposurevalue</v>
      </c>
    </row>
    <row r="1022" spans="39:52" x14ac:dyDescent="0.2">
      <c r="AM1022" s="63" t="s">
        <v>3053</v>
      </c>
      <c r="AN1022" s="63" t="s">
        <v>3054</v>
      </c>
      <c r="AO1022" s="63"/>
      <c r="AP1022" s="63"/>
      <c r="AQ1022" s="63"/>
      <c r="AR1022" s="63"/>
      <c r="AS1022" s="63"/>
      <c r="AT1022" s="63"/>
      <c r="AV1022" s="63"/>
      <c r="AW1022" s="63"/>
      <c r="AX1022" s="63">
        <f>--ISNUMBER(IFERROR(SEARCH(Tempset!$M$4,AM1022,1),""))</f>
        <v>1</v>
      </c>
      <c r="AY1022" s="63">
        <f>IF(AX1022=1,COUNTIF($AX$3:AX1022,1),"")</f>
        <v>1020</v>
      </c>
      <c r="AZ1022" s="63" t="str">
        <f>IFERROR(INDEX($AM$3:$AM$1165,MATCH(ROWS($AY$3:AY1022),$AY$3:$AY$1165,0)),"")</f>
        <v>SpotRWAAdjustmentsValue</v>
      </c>
    </row>
    <row r="1023" spans="39:52" x14ac:dyDescent="0.2">
      <c r="AM1023" s="63" t="s">
        <v>3055</v>
      </c>
      <c r="AN1023" s="63" t="s">
        <v>3056</v>
      </c>
      <c r="AO1023" s="63"/>
      <c r="AP1023" s="63"/>
      <c r="AQ1023" s="63"/>
      <c r="AR1023" s="63"/>
      <c r="AS1023" s="63"/>
      <c r="AT1023" s="63"/>
      <c r="AV1023" s="63"/>
      <c r="AW1023" s="63"/>
      <c r="AX1023" s="63">
        <f>--ISNUMBER(IFERROR(SEARCH(Tempset!$M$4,AM1023,1),""))</f>
        <v>1</v>
      </c>
      <c r="AY1023" s="63">
        <f>IF(AX1023=1,COUNTIF($AX$3:AX1023,1),"")</f>
        <v>1021</v>
      </c>
      <c r="AZ1023" s="63" t="str">
        <f>IFERROR(INDEX($AM$3:$AM$1165,MATCH(ROWS($AY$3:AY1023),$AY$3:$AY$1165,0)),"")</f>
        <v>spreadPercentage</v>
      </c>
    </row>
    <row r="1024" spans="39:52" x14ac:dyDescent="0.2">
      <c r="AM1024" s="63" t="s">
        <v>3057</v>
      </c>
      <c r="AN1024" s="63" t="s">
        <v>3058</v>
      </c>
      <c r="AO1024" s="63"/>
      <c r="AP1024" s="63"/>
      <c r="AQ1024" s="63"/>
      <c r="AR1024" s="63"/>
      <c r="AS1024" s="63"/>
      <c r="AT1024" s="63"/>
      <c r="AV1024" s="63"/>
      <c r="AW1024" s="63"/>
      <c r="AX1024" s="63">
        <f>--ISNUMBER(IFERROR(SEARCH(Tempset!$M$4,AM1024,1),""))</f>
        <v>1</v>
      </c>
      <c r="AY1024" s="63">
        <f>IF(AX1024=1,COUNTIF($AX$3:AX1024,1),"")</f>
        <v>1022</v>
      </c>
      <c r="AZ1024" s="63" t="str">
        <f>IFERROR(INDEX($AM$3:$AM$1165,MATCH(ROWS($AY$3:AY1024),$AY$3:$AY$1165,0)),"")</f>
        <v>SPVID</v>
      </c>
    </row>
    <row r="1025" spans="39:52" x14ac:dyDescent="0.2">
      <c r="AM1025" s="63" t="s">
        <v>3059</v>
      </c>
      <c r="AN1025" s="63" t="s">
        <v>3060</v>
      </c>
      <c r="AO1025" s="63"/>
      <c r="AP1025" s="63"/>
      <c r="AQ1025" s="63"/>
      <c r="AR1025" s="63"/>
      <c r="AS1025" s="63"/>
      <c r="AT1025" s="63"/>
      <c r="AV1025" s="63"/>
      <c r="AW1025" s="63"/>
      <c r="AX1025" s="63">
        <f>--ISNUMBER(IFERROR(SEARCH(Tempset!$M$4,AM1025,1),""))</f>
        <v>1</v>
      </c>
      <c r="AY1025" s="63">
        <f>IF(AX1025=1,COUNTIF($AX$3:AX1025,1),"")</f>
        <v>1023</v>
      </c>
      <c r="AZ1025" s="63" t="str">
        <f>IFERROR(INDEX($AM$3:$AM$1165,MATCH(ROWS($AY$3:AY1025),$AY$3:$AY$1165,0)),"")</f>
        <v>standardApproachPostCollateralizedEADValue</v>
      </c>
    </row>
    <row r="1026" spans="39:52" x14ac:dyDescent="0.2">
      <c r="AM1026" s="63" t="s">
        <v>3061</v>
      </c>
      <c r="AN1026" s="63" t="s">
        <v>3060</v>
      </c>
      <c r="AO1026" s="63"/>
      <c r="AP1026" s="63"/>
      <c r="AQ1026" s="63"/>
      <c r="AR1026" s="63"/>
      <c r="AS1026" s="63"/>
      <c r="AT1026" s="63"/>
      <c r="AV1026" s="63"/>
      <c r="AW1026" s="63"/>
      <c r="AX1026" s="63">
        <f>--ISNUMBER(IFERROR(SEARCH(Tempset!$M$4,AM1026,1),""))</f>
        <v>1</v>
      </c>
      <c r="AY1026" s="63">
        <f>IF(AX1026=1,COUNTIF($AX$3:AX1026,1),"")</f>
        <v>1024</v>
      </c>
      <c r="AZ1026" s="63" t="str">
        <f>IFERROR(INDEX($AM$3:$AM$1165,MATCH(ROWS($AY$3:AY1026),$AY$3:$AY$1165,0)),"")</f>
        <v>standardApproachPreCollateralizedEADValue</v>
      </c>
    </row>
    <row r="1027" spans="39:52" x14ac:dyDescent="0.2">
      <c r="AM1027" s="63" t="s">
        <v>3062</v>
      </c>
      <c r="AN1027" s="63" t="s">
        <v>3063</v>
      </c>
      <c r="AO1027" s="63"/>
      <c r="AP1027" s="63"/>
      <c r="AQ1027" s="63"/>
      <c r="AR1027" s="63"/>
      <c r="AS1027" s="63"/>
      <c r="AT1027" s="63"/>
      <c r="AV1027" s="63"/>
      <c r="AW1027" s="63"/>
      <c r="AX1027" s="63">
        <f>--ISNUMBER(IFERROR(SEARCH(Tempset!$M$4,AM1027,1),""))</f>
        <v>1</v>
      </c>
      <c r="AY1027" s="63">
        <f>IF(AX1027=1,COUNTIF($AX$3:AX1027,1),"")</f>
        <v>1025</v>
      </c>
      <c r="AZ1027" s="63" t="str">
        <f>IFERROR(INDEX($AM$3:$AM$1165,MATCH(ROWS($AY$3:AY1027),$AY$3:$AY$1165,0)),"")</f>
        <v>standardizedRiskWeightValue</v>
      </c>
    </row>
    <row r="1028" spans="39:52" x14ac:dyDescent="0.2">
      <c r="AM1028" s="63" t="s">
        <v>3064</v>
      </c>
      <c r="AN1028" s="63" t="s">
        <v>3065</v>
      </c>
      <c r="AO1028" s="63"/>
      <c r="AP1028" s="63"/>
      <c r="AQ1028" s="63"/>
      <c r="AR1028" s="63"/>
      <c r="AS1028" s="63"/>
      <c r="AT1028" s="63"/>
      <c r="AV1028" s="63"/>
      <c r="AW1028" s="63"/>
      <c r="AX1028" s="63">
        <f>--ISNUMBER(IFERROR(SEARCH(Tempset!$M$4,AM1028,1),""))</f>
        <v>1</v>
      </c>
      <c r="AY1028" s="63">
        <f>IF(AX1028=1,COUNTIF($AX$3:AX1028,1),"")</f>
        <v>1026</v>
      </c>
      <c r="AZ1028" s="63" t="str">
        <f>IFERROR(INDEX($AM$3:$AM$1165,MATCH(ROWS($AY$3:AY1028),$AY$3:$AY$1165,0)),"")</f>
        <v>standardLombardFlag</v>
      </c>
    </row>
    <row r="1029" spans="39:52" x14ac:dyDescent="0.2">
      <c r="AM1029" s="63" t="s">
        <v>3066</v>
      </c>
      <c r="AN1029" s="63" t="s">
        <v>3067</v>
      </c>
      <c r="AO1029" s="63"/>
      <c r="AP1029" s="63"/>
      <c r="AQ1029" s="63"/>
      <c r="AR1029" s="63"/>
      <c r="AS1029" s="63"/>
      <c r="AT1029" s="63"/>
      <c r="AV1029" s="63"/>
      <c r="AW1029" s="63"/>
      <c r="AX1029" s="63">
        <f>--ISNUMBER(IFERROR(SEARCH(Tempset!$M$4,AM1029,1),""))</f>
        <v>1</v>
      </c>
      <c r="AY1029" s="63">
        <f>IF(AX1029=1,COUNTIF($AX$3:AX1029,1),"")</f>
        <v>1027</v>
      </c>
      <c r="AZ1029" s="63" t="str">
        <f>IFERROR(INDEX($AM$3:$AM$1165,MATCH(ROWS($AY$3:AY1029),$AY$3:$AY$1165,0)),"")</f>
        <v>STCFlag</v>
      </c>
    </row>
    <row r="1030" spans="39:52" x14ac:dyDescent="0.2">
      <c r="AM1030" s="63" t="s">
        <v>3068</v>
      </c>
      <c r="AN1030" s="63" t="s">
        <v>3069</v>
      </c>
      <c r="AO1030" s="63"/>
      <c r="AP1030" s="63"/>
      <c r="AQ1030" s="63"/>
      <c r="AR1030" s="63"/>
      <c r="AS1030" s="63"/>
      <c r="AT1030" s="63"/>
      <c r="AV1030" s="63"/>
      <c r="AW1030" s="63"/>
      <c r="AX1030" s="63">
        <f>--ISNUMBER(IFERROR(SEARCH(Tempset!$M$4,AM1030,1),""))</f>
        <v>1</v>
      </c>
      <c r="AY1030" s="63">
        <f>IF(AX1030=1,COUNTIF($AX$3:AX1030,1),"")</f>
        <v>1028</v>
      </c>
      <c r="AZ1030" s="63" t="str">
        <f>IFERROR(INDEX($AM$3:$AM$1165,MATCH(ROWS($AY$3:AY1030),$AY$3:$AY$1165,0)),"")</f>
        <v>strategicTransactionERCValue</v>
      </c>
    </row>
    <row r="1031" spans="39:52" x14ac:dyDescent="0.2">
      <c r="AM1031" s="63" t="s">
        <v>3070</v>
      </c>
      <c r="AN1031" s="63" t="s">
        <v>3071</v>
      </c>
      <c r="AO1031" s="63"/>
      <c r="AP1031" s="63"/>
      <c r="AQ1031" s="63"/>
      <c r="AR1031" s="63"/>
      <c r="AS1031" s="63"/>
      <c r="AT1031" s="63"/>
      <c r="AV1031" s="63"/>
      <c r="AW1031" s="63"/>
      <c r="AX1031" s="63">
        <f>--ISNUMBER(IFERROR(SEARCH(Tempset!$M$4,AM1031,1),""))</f>
        <v>1</v>
      </c>
      <c r="AY1031" s="63">
        <f>IF(AX1031=1,COUNTIF($AX$3:AX1031,1),"")</f>
        <v>1029</v>
      </c>
      <c r="AZ1031" s="63" t="str">
        <f>IFERROR(INDEX($AM$3:$AM$1165,MATCH(ROWS($AY$3:AY1031),$AY$3:$AY$1165,0)),"")</f>
        <v>strategyStyle</v>
      </c>
    </row>
    <row r="1032" spans="39:52" x14ac:dyDescent="0.2">
      <c r="AM1032" s="63" t="s">
        <v>3072</v>
      </c>
      <c r="AN1032" s="63" t="s">
        <v>3073</v>
      </c>
      <c r="AO1032" s="63"/>
      <c r="AP1032" s="63"/>
      <c r="AQ1032" s="63"/>
      <c r="AR1032" s="63"/>
      <c r="AS1032" s="63"/>
      <c r="AT1032" s="63"/>
      <c r="AV1032" s="63"/>
      <c r="AW1032" s="63"/>
      <c r="AX1032" s="63">
        <f>--ISNUMBER(IFERROR(SEARCH(Tempset!$M$4,AM1032,1),""))</f>
        <v>1</v>
      </c>
      <c r="AY1032" s="63">
        <f>IF(AX1032=1,COUNTIF($AX$3:AX1032,1),"")</f>
        <v>1030</v>
      </c>
      <c r="AZ1032" s="63" t="str">
        <f>IFERROR(INDEX($AM$3:$AM$1165,MATCH(ROWS($AY$3:AY1032),$AY$3:$AY$1165,0)),"")</f>
        <v>stressedCapitalValue</v>
      </c>
    </row>
    <row r="1033" spans="39:52" x14ac:dyDescent="0.2">
      <c r="AM1033" s="63" t="s">
        <v>3074</v>
      </c>
      <c r="AN1033" s="63" t="s">
        <v>3075</v>
      </c>
      <c r="AO1033" s="63"/>
      <c r="AP1033" s="63"/>
      <c r="AQ1033" s="63"/>
      <c r="AR1033" s="63"/>
      <c r="AS1033" s="63"/>
      <c r="AT1033" s="63"/>
      <c r="AV1033" s="63"/>
      <c r="AW1033" s="63"/>
      <c r="AX1033" s="63">
        <f>--ISNUMBER(IFERROR(SEARCH(Tempset!$M$4,AM1033,1),""))</f>
        <v>1</v>
      </c>
      <c r="AY1033" s="63">
        <f>IF(AX1033=1,COUNTIF($AX$3:AX1033,1),"")</f>
        <v>1031</v>
      </c>
      <c r="AZ1033" s="63" t="str">
        <f>IFERROR(INDEX($AM$3:$AM$1165,MATCH(ROWS($AY$3:AY1033),$AY$3:$AY$1165,0)),"")</f>
        <v>stressedCompensationRiskValue</v>
      </c>
    </row>
    <row r="1034" spans="39:52" x14ac:dyDescent="0.2">
      <c r="AM1034" s="63" t="s">
        <v>3076</v>
      </c>
      <c r="AN1034" s="63" t="s">
        <v>3077</v>
      </c>
      <c r="AO1034" s="63"/>
      <c r="AP1034" s="63"/>
      <c r="AQ1034" s="63"/>
      <c r="AR1034" s="63"/>
      <c r="AS1034" s="63"/>
      <c r="AT1034" s="63"/>
      <c r="AV1034" s="63"/>
      <c r="AW1034" s="63"/>
      <c r="AX1034" s="63">
        <f>--ISNUMBER(IFERROR(SEARCH(Tempset!$M$4,AM1034,1),""))</f>
        <v>1</v>
      </c>
      <c r="AY1034" s="63">
        <f>IF(AX1034=1,COUNTIF($AX$3:AX1034,1),"")</f>
        <v>1032</v>
      </c>
      <c r="AZ1034" s="63" t="str">
        <f>IFERROR(INDEX($AM$3:$AM$1165,MATCH(ROWS($AY$3:AY1034),$AY$3:$AY$1165,0)),"")</f>
        <v>stressedCTM</v>
      </c>
    </row>
    <row r="1035" spans="39:52" x14ac:dyDescent="0.2">
      <c r="AM1035" s="63" t="s">
        <v>3078</v>
      </c>
      <c r="AN1035" s="63" t="s">
        <v>3079</v>
      </c>
      <c r="AO1035" s="63"/>
      <c r="AP1035" s="63"/>
      <c r="AQ1035" s="63"/>
      <c r="AR1035" s="63"/>
      <c r="AS1035" s="63"/>
      <c r="AT1035" s="63"/>
      <c r="AV1035" s="63"/>
      <c r="AW1035" s="63"/>
      <c r="AX1035" s="63">
        <f>--ISNUMBER(IFERROR(SEARCH(Tempset!$M$4,AM1035,1),""))</f>
        <v>1</v>
      </c>
      <c r="AY1035" s="63">
        <f>IF(AX1035=1,COUNTIF($AX$3:AX1035,1),"")</f>
        <v>1033</v>
      </c>
      <c r="AZ1035" s="63" t="str">
        <f>IFERROR(INDEX($AM$3:$AM$1165,MATCH(ROWS($AY$3:AY1035),$AY$3:$AY$1165,0)),"")</f>
        <v>stressedDARValue</v>
      </c>
    </row>
    <row r="1036" spans="39:52" x14ac:dyDescent="0.2">
      <c r="AM1036" s="63" t="s">
        <v>3080</v>
      </c>
      <c r="AN1036" s="63" t="s">
        <v>3081</v>
      </c>
      <c r="AO1036" s="63"/>
      <c r="AP1036" s="63"/>
      <c r="AQ1036" s="63"/>
      <c r="AR1036" s="63"/>
      <c r="AS1036" s="63"/>
      <c r="AT1036" s="63"/>
      <c r="AV1036" s="63"/>
      <c r="AW1036" s="63"/>
      <c r="AX1036" s="63">
        <f>--ISNUMBER(IFERROR(SEARCH(Tempset!$M$4,AM1036,1),""))</f>
        <v>1</v>
      </c>
      <c r="AY1036" s="63">
        <f>IF(AX1036=1,COUNTIF($AX$3:AX1036,1),"")</f>
        <v>1034</v>
      </c>
      <c r="AZ1036" s="63" t="str">
        <f>IFERROR(INDEX($AM$3:$AM$1165,MATCH(ROWS($AY$3:AY1036),$AY$3:$AY$1165,0)),"")</f>
        <v>stressedDeferredCompensationImpactValue</v>
      </c>
    </row>
    <row r="1037" spans="39:52" x14ac:dyDescent="0.2">
      <c r="AM1037" s="63" t="s">
        <v>3082</v>
      </c>
      <c r="AN1037" s="63" t="s">
        <v>3083</v>
      </c>
      <c r="AO1037" s="63"/>
      <c r="AP1037" s="63"/>
      <c r="AQ1037" s="63"/>
      <c r="AR1037" s="63"/>
      <c r="AS1037" s="63"/>
      <c r="AT1037" s="63"/>
      <c r="AV1037" s="63"/>
      <c r="AW1037" s="63"/>
      <c r="AX1037" s="63">
        <f>--ISNUMBER(IFERROR(SEARCH(Tempset!$M$4,AM1037,1),""))</f>
        <v>1</v>
      </c>
      <c r="AY1037" s="63">
        <f>IF(AX1037=1,COUNTIF($AX$3:AX1037,1),"")</f>
        <v>1035</v>
      </c>
      <c r="AZ1037" s="63" t="str">
        <f>IFERROR(INDEX($AM$3:$AM$1165,MATCH(ROWS($AY$3:AY1037),$AY$3:$AY$1165,0)),"")</f>
        <v>stressedDeferredTaxAssetsImpactValue</v>
      </c>
    </row>
    <row r="1038" spans="39:52" x14ac:dyDescent="0.2">
      <c r="AM1038" s="63" t="s">
        <v>3084</v>
      </c>
      <c r="AN1038" s="63" t="s">
        <v>3085</v>
      </c>
      <c r="AO1038" s="63"/>
      <c r="AP1038" s="63"/>
      <c r="AQ1038" s="63"/>
      <c r="AR1038" s="63"/>
      <c r="AS1038" s="63"/>
      <c r="AT1038" s="63"/>
      <c r="AV1038" s="63"/>
      <c r="AW1038" s="63"/>
      <c r="AX1038" s="63">
        <f>--ISNUMBER(IFERROR(SEARCH(Tempset!$M$4,AM1038,1),""))</f>
        <v>1</v>
      </c>
      <c r="AY1038" s="63">
        <f>IF(AX1038=1,COUNTIF($AX$3:AX1038,1),"")</f>
        <v>1036</v>
      </c>
      <c r="AZ1038" s="63" t="str">
        <f>IFERROR(INDEX($AM$3:$AM$1165,MATCH(ROWS($AY$3:AY1038),$AY$3:$AY$1165,0)),"")</f>
        <v>stressedEADValue</v>
      </c>
    </row>
    <row r="1039" spans="39:52" x14ac:dyDescent="0.2">
      <c r="AM1039" s="63" t="s">
        <v>3086</v>
      </c>
      <c r="AN1039" s="63" t="s">
        <v>3087</v>
      </c>
      <c r="AO1039" s="63"/>
      <c r="AP1039" s="63"/>
      <c r="AQ1039" s="63"/>
      <c r="AR1039" s="63"/>
      <c r="AS1039" s="63"/>
      <c r="AT1039" s="63"/>
      <c r="AV1039" s="63"/>
      <c r="AW1039" s="63"/>
      <c r="AX1039" s="63">
        <f>--ISNUMBER(IFERROR(SEARCH(Tempset!$M$4,AM1039,1),""))</f>
        <v>1</v>
      </c>
      <c r="AY1039" s="63">
        <f>IF(AX1039=1,COUNTIF($AX$3:AX1039,1),"")</f>
        <v>1037</v>
      </c>
      <c r="AZ1039" s="63" t="str">
        <f>IFERROR(INDEX($AM$3:$AM$1165,MATCH(ROWS($AY$3:AY1039),$AY$3:$AY$1165,0)),"")</f>
        <v>stressedEEPEValue</v>
      </c>
    </row>
    <row r="1040" spans="39:52" x14ac:dyDescent="0.2">
      <c r="AM1040" s="63" t="s">
        <v>3088</v>
      </c>
      <c r="AN1040" s="63" t="s">
        <v>3089</v>
      </c>
      <c r="AO1040" s="63"/>
      <c r="AP1040" s="63"/>
      <c r="AQ1040" s="63"/>
      <c r="AR1040" s="63"/>
      <c r="AS1040" s="63"/>
      <c r="AT1040" s="63"/>
      <c r="AV1040" s="63"/>
      <c r="AW1040" s="63"/>
      <c r="AX1040" s="63">
        <f>--ISNUMBER(IFERROR(SEARCH(Tempset!$M$4,AM1040,1),""))</f>
        <v>1</v>
      </c>
      <c r="AY1040" s="63">
        <f>IF(AX1040=1,COUNTIF($AX$3:AX1040,1),"")</f>
        <v>1038</v>
      </c>
      <c r="AZ1040" s="63" t="str">
        <f>IFERROR(INDEX($AM$3:$AM$1165,MATCH(ROWS($AY$3:AY1040),$AY$3:$AY$1165,0)),"")</f>
        <v>stressedFXMismatchValue</v>
      </c>
    </row>
    <row r="1041" spans="39:52" x14ac:dyDescent="0.2">
      <c r="AM1041" s="63" t="s">
        <v>3090</v>
      </c>
      <c r="AN1041" s="63" t="s">
        <v>3091</v>
      </c>
      <c r="AO1041" s="63"/>
      <c r="AP1041" s="63"/>
      <c r="AQ1041" s="63"/>
      <c r="AR1041" s="63"/>
      <c r="AS1041" s="63"/>
      <c r="AT1041" s="63"/>
      <c r="AV1041" s="63"/>
      <c r="AW1041" s="63"/>
      <c r="AX1041" s="63">
        <f>--ISNUMBER(IFERROR(SEARCH(Tempset!$M$4,AM1041,1),""))</f>
        <v>1</v>
      </c>
      <c r="AY1041" s="63">
        <f>IF(AX1041=1,COUNTIF($AX$3:AX1041,1),"")</f>
        <v>1039</v>
      </c>
      <c r="AZ1041" s="63" t="str">
        <f>IFERROR(INDEX($AM$3:$AM$1165,MATCH(ROWS($AY$3:AY1041),$AY$3:$AY$1165,0)),"")</f>
        <v>stressedGroupROE</v>
      </c>
    </row>
    <row r="1042" spans="39:52" x14ac:dyDescent="0.2">
      <c r="AM1042" s="63" t="s">
        <v>3092</v>
      </c>
      <c r="AN1042" s="63" t="s">
        <v>3093</v>
      </c>
      <c r="AO1042" s="63"/>
      <c r="AP1042" s="63"/>
      <c r="AQ1042" s="63"/>
      <c r="AR1042" s="63"/>
      <c r="AS1042" s="63"/>
      <c r="AT1042" s="63"/>
      <c r="AV1042" s="63"/>
      <c r="AW1042" s="63"/>
      <c r="AX1042" s="63">
        <f>--ISNUMBER(IFERROR(SEARCH(Tempset!$M$4,AM1042,1),""))</f>
        <v>1</v>
      </c>
      <c r="AY1042" s="63">
        <f>IF(AX1042=1,COUNTIF($AX$3:AX1042,1),"")</f>
        <v>1040</v>
      </c>
      <c r="AZ1042" s="63" t="str">
        <f>IFERROR(INDEX($AM$3:$AM$1165,MATCH(ROWS($AY$3:AY1042),$AY$3:$AY$1165,0)),"")</f>
        <v>StressedITSAllocationValue</v>
      </c>
    </row>
    <row r="1043" spans="39:52" x14ac:dyDescent="0.2">
      <c r="AM1043" s="63" t="s">
        <v>3094</v>
      </c>
      <c r="AN1043" s="63" t="s">
        <v>3095</v>
      </c>
      <c r="AO1043" s="63"/>
      <c r="AP1043" s="63"/>
      <c r="AQ1043" s="63"/>
      <c r="AR1043" s="63"/>
      <c r="AS1043" s="63"/>
      <c r="AT1043" s="63"/>
      <c r="AV1043" s="63"/>
      <c r="AW1043" s="63"/>
      <c r="AX1043" s="63">
        <f>--ISNUMBER(IFERROR(SEARCH(Tempset!$M$4,AM1043,1),""))</f>
        <v>1</v>
      </c>
      <c r="AY1043" s="63">
        <f>IF(AX1043=1,COUNTIF($AX$3:AX1043,1),"")</f>
        <v>1041</v>
      </c>
      <c r="AZ1043" s="63" t="str">
        <f>IFERROR(INDEX($AM$3:$AM$1165,MATCH(ROWS($AY$3:AY1043),$AY$3:$AY$1165,0)),"")</f>
        <v>stressedLeverageExposureValue</v>
      </c>
    </row>
    <row r="1044" spans="39:52" x14ac:dyDescent="0.2">
      <c r="AM1044" s="63" t="s">
        <v>3096</v>
      </c>
      <c r="AN1044" s="63" t="s">
        <v>3097</v>
      </c>
      <c r="AO1044" s="63"/>
      <c r="AP1044" s="63"/>
      <c r="AQ1044" s="63"/>
      <c r="AR1044" s="63"/>
      <c r="AS1044" s="63"/>
      <c r="AT1044" s="63"/>
      <c r="AV1044" s="63"/>
      <c r="AW1044" s="63"/>
      <c r="AX1044" s="63">
        <f>--ISNUMBER(IFERROR(SEARCH(Tempset!$M$4,AM1044,1),""))</f>
        <v>1</v>
      </c>
      <c r="AY1044" s="63">
        <f>IF(AX1044=1,COUNTIF($AX$3:AX1044,1),"")</f>
        <v>1042</v>
      </c>
      <c r="AZ1044" s="63" t="str">
        <f>IFERROR(INDEX($AM$3:$AM$1165,MATCH(ROWS($AY$3:AY1044),$AY$3:$AY$1165,0)),"")</f>
        <v>stressedLGDValue</v>
      </c>
    </row>
    <row r="1045" spans="39:52" x14ac:dyDescent="0.2">
      <c r="AM1045" s="63" t="s">
        <v>3098</v>
      </c>
      <c r="AN1045" s="63" t="s">
        <v>3099</v>
      </c>
      <c r="AO1045" s="63"/>
      <c r="AP1045" s="63"/>
      <c r="AQ1045" s="63"/>
      <c r="AR1045" s="63"/>
      <c r="AS1045" s="63"/>
      <c r="AT1045" s="63"/>
      <c r="AV1045" s="63"/>
      <c r="AW1045" s="63"/>
      <c r="AX1045" s="63">
        <f>--ISNUMBER(IFERROR(SEARCH(Tempset!$M$4,AM1045,1),""))</f>
        <v>1</v>
      </c>
      <c r="AY1045" s="63">
        <f>IF(AX1045=1,COUNTIF($AX$3:AX1045,1),"")</f>
        <v>1043</v>
      </c>
      <c r="AZ1045" s="63" t="str">
        <f>IFERROR(INDEX($AM$3:$AM$1165,MATCH(ROWS($AY$3:AY1045),$AY$3:$AY$1165,0)),"")</f>
        <v>stressedLongevityCashFlow</v>
      </c>
    </row>
    <row r="1046" spans="39:52" x14ac:dyDescent="0.2">
      <c r="AM1046" s="63" t="s">
        <v>3100</v>
      </c>
      <c r="AN1046" s="63" t="s">
        <v>3101</v>
      </c>
      <c r="AO1046" s="63"/>
      <c r="AP1046" s="63"/>
      <c r="AQ1046" s="63"/>
      <c r="AR1046" s="63"/>
      <c r="AS1046" s="63"/>
      <c r="AT1046" s="63"/>
      <c r="AV1046" s="63"/>
      <c r="AW1046" s="63"/>
      <c r="AX1046" s="63">
        <f>--ISNUMBER(IFERROR(SEARCH(Tempset!$M$4,AM1046,1),""))</f>
        <v>1</v>
      </c>
      <c r="AY1046" s="63">
        <f>IF(AX1046=1,COUNTIF($AX$3:AX1046,1),"")</f>
        <v>1044</v>
      </c>
      <c r="AZ1046" s="63" t="str">
        <f>IFERROR(INDEX($AM$3:$AM$1165,MATCH(ROWS($AY$3:AY1046),$AY$3:$AY$1165,0)),"")</f>
        <v>StressedNSFRValue</v>
      </c>
    </row>
    <row r="1047" spans="39:52" x14ac:dyDescent="0.2">
      <c r="AM1047" s="63" t="s">
        <v>3102</v>
      </c>
      <c r="AN1047" s="63" t="s">
        <v>3103</v>
      </c>
      <c r="AO1047" s="63"/>
      <c r="AP1047" s="63"/>
      <c r="AQ1047" s="63"/>
      <c r="AR1047" s="63"/>
      <c r="AS1047" s="63"/>
      <c r="AT1047" s="63"/>
      <c r="AV1047" s="63"/>
      <c r="AW1047" s="63"/>
      <c r="AX1047" s="63">
        <f>--ISNUMBER(IFERROR(SEARCH(Tempset!$M$4,AM1047,1),""))</f>
        <v>1</v>
      </c>
      <c r="AY1047" s="63">
        <f>IF(AX1047=1,COUNTIF($AX$3:AX1047,1),"")</f>
        <v>1045</v>
      </c>
      <c r="AZ1047" s="63" t="str">
        <f>IFERROR(INDEX($AM$3:$AM$1165,MATCH(ROWS($AY$3:AY1047),$AY$3:$AY$1165,0)),"")</f>
        <v>stressedOpRiskImpact</v>
      </c>
    </row>
    <row r="1048" spans="39:52" x14ac:dyDescent="0.2">
      <c r="AM1048" s="63" t="s">
        <v>3104</v>
      </c>
      <c r="AN1048" s="63" t="s">
        <v>3105</v>
      </c>
      <c r="AO1048" s="63"/>
      <c r="AP1048" s="63"/>
      <c r="AQ1048" s="63"/>
      <c r="AR1048" s="63"/>
      <c r="AS1048" s="63"/>
      <c r="AT1048" s="63"/>
      <c r="AV1048" s="63"/>
      <c r="AW1048" s="63"/>
      <c r="AX1048" s="63">
        <f>--ISNUMBER(IFERROR(SEARCH(Tempset!$M$4,AM1048,1),""))</f>
        <v>1</v>
      </c>
      <c r="AY1048" s="63">
        <f>IF(AX1048=1,COUNTIF($AX$3:AX1048,1),"")</f>
        <v>1046</v>
      </c>
      <c r="AZ1048" s="63" t="str">
        <f>IFERROR(INDEX($AM$3:$AM$1165,MATCH(ROWS($AY$3:AY1048),$AY$3:$AY$1165,0)),"")</f>
        <v>stressedPDValue</v>
      </c>
    </row>
    <row r="1049" spans="39:52" x14ac:dyDescent="0.2">
      <c r="AM1049" s="63" t="s">
        <v>3106</v>
      </c>
      <c r="AN1049" s="63" t="s">
        <v>3107</v>
      </c>
      <c r="AO1049" s="63"/>
      <c r="AP1049" s="63"/>
      <c r="AQ1049" s="63"/>
      <c r="AR1049" s="63"/>
      <c r="AS1049" s="63"/>
      <c r="AT1049" s="63"/>
      <c r="AV1049" s="63"/>
      <c r="AW1049" s="63"/>
      <c r="AX1049" s="63">
        <f>--ISNUMBER(IFERROR(SEARCH(Tempset!$M$4,AM1049,1),""))</f>
        <v>1</v>
      </c>
      <c r="AY1049" s="63">
        <f>IF(AX1049=1,COUNTIF($AX$3:AX1049,1),"")</f>
        <v>1047</v>
      </c>
      <c r="AZ1049" s="63" t="str">
        <f>IFERROR(INDEX($AM$3:$AM$1165,MATCH(ROWS($AY$3:AY1049),$AY$3:$AY$1165,0)),"")</f>
        <v>stressedPensionRiskPTIImpact</v>
      </c>
    </row>
    <row r="1050" spans="39:52" x14ac:dyDescent="0.2">
      <c r="AM1050" s="63" t="s">
        <v>3108</v>
      </c>
      <c r="AN1050" s="63" t="s">
        <v>3109</v>
      </c>
      <c r="AO1050" s="63"/>
      <c r="AP1050" s="63"/>
      <c r="AQ1050" s="63"/>
      <c r="AR1050" s="63"/>
      <c r="AS1050" s="63"/>
      <c r="AT1050" s="63"/>
      <c r="AV1050" s="63"/>
      <c r="AW1050" s="63"/>
      <c r="AX1050" s="63">
        <f>--ISNUMBER(IFERROR(SEARCH(Tempset!$M$4,AM1050,1),""))</f>
        <v>1</v>
      </c>
      <c r="AY1050" s="63">
        <f>IF(AX1050=1,COUNTIF($AX$3:AX1050,1),"")</f>
        <v>1048</v>
      </c>
      <c r="AZ1050" s="63" t="str">
        <f>IFERROR(INDEX($AM$3:$AM$1165,MATCH(ROWS($AY$3:AY1050),$AY$3:$AY$1165,0)),"")</f>
        <v>stressedRevenueDecline</v>
      </c>
    </row>
    <row r="1051" spans="39:52" x14ac:dyDescent="0.2">
      <c r="AM1051" s="63" t="s">
        <v>3110</v>
      </c>
      <c r="AN1051" s="63" t="s">
        <v>3111</v>
      </c>
      <c r="AO1051" s="63"/>
      <c r="AP1051" s="63"/>
      <c r="AQ1051" s="63"/>
      <c r="AR1051" s="63"/>
      <c r="AS1051" s="63"/>
      <c r="AT1051" s="63"/>
      <c r="AV1051" s="63"/>
      <c r="AW1051" s="63"/>
      <c r="AX1051" s="63">
        <f>--ISNUMBER(IFERROR(SEARCH(Tempset!$M$4,AM1051,1),""))</f>
        <v>1</v>
      </c>
      <c r="AY1051" s="63">
        <f>IF(AX1051=1,COUNTIF($AX$3:AX1051,1),"")</f>
        <v>1049</v>
      </c>
      <c r="AZ1051" s="63" t="str">
        <f>IFERROR(INDEX($AM$3:$AM$1165,MATCH(ROWS($AY$3:AY1051),$AY$3:$AY$1165,0)),"")</f>
        <v>stressedRNiVRWAValue</v>
      </c>
    </row>
    <row r="1052" spans="39:52" x14ac:dyDescent="0.2">
      <c r="AM1052" s="63" t="s">
        <v>3112</v>
      </c>
      <c r="AN1052" s="63" t="s">
        <v>3113</v>
      </c>
      <c r="AO1052" s="63"/>
      <c r="AP1052" s="63"/>
      <c r="AQ1052" s="63"/>
      <c r="AR1052" s="63"/>
      <c r="AS1052" s="63"/>
      <c r="AT1052" s="63"/>
      <c r="AV1052" s="63"/>
      <c r="AW1052" s="63"/>
      <c r="AX1052" s="63">
        <f>--ISNUMBER(IFERROR(SEARCH(Tempset!$M$4,AM1052,1),""))</f>
        <v>1</v>
      </c>
      <c r="AY1052" s="63">
        <f>IF(AX1052=1,COUNTIF($AX$3:AX1052,1),"")</f>
        <v>1050</v>
      </c>
      <c r="AZ1052" s="63" t="str">
        <f>IFERROR(INDEX($AM$3:$AM$1165,MATCH(ROWS($AY$3:AY1052),$AY$3:$AY$1165,0)),"")</f>
        <v>stressedRWAExtrapolated</v>
      </c>
    </row>
    <row r="1053" spans="39:52" x14ac:dyDescent="0.2">
      <c r="AM1053" s="63" t="s">
        <v>3114</v>
      </c>
      <c r="AN1053" s="63" t="s">
        <v>3115</v>
      </c>
      <c r="AO1053" s="63"/>
      <c r="AP1053" s="63"/>
      <c r="AQ1053" s="63"/>
      <c r="AR1053" s="63"/>
      <c r="AS1053" s="63"/>
      <c r="AT1053" s="63"/>
      <c r="AV1053" s="63"/>
      <c r="AW1053" s="63"/>
      <c r="AX1053" s="63">
        <f>--ISNUMBER(IFERROR(SEARCH(Tempset!$M$4,AM1053,1),""))</f>
        <v>1</v>
      </c>
      <c r="AY1053" s="63">
        <f>IF(AX1053=1,COUNTIF($AX$3:AX1053,1),"")</f>
        <v>1051</v>
      </c>
      <c r="AZ1053" s="63" t="str">
        <f>IFERROR(INDEX($AM$3:$AM$1165,MATCH(ROWS($AY$3:AY1053),$AY$3:$AY$1165,0)),"")</f>
        <v>stressedTaxImpact</v>
      </c>
    </row>
    <row r="1054" spans="39:52" x14ac:dyDescent="0.2">
      <c r="AM1054" s="63" t="s">
        <v>3116</v>
      </c>
      <c r="AN1054" s="63" t="s">
        <v>3117</v>
      </c>
      <c r="AO1054" s="63"/>
      <c r="AP1054" s="63"/>
      <c r="AQ1054" s="63"/>
      <c r="AR1054" s="63"/>
      <c r="AS1054" s="63"/>
      <c r="AT1054" s="63"/>
      <c r="AV1054" s="63"/>
      <c r="AW1054" s="63"/>
      <c r="AX1054" s="63">
        <f>--ISNUMBER(IFERROR(SEARCH(Tempset!$M$4,AM1054,1),""))</f>
        <v>1</v>
      </c>
      <c r="AY1054" s="63">
        <f>IF(AX1054=1,COUNTIF($AX$3:AX1054,1),"")</f>
        <v>1052</v>
      </c>
      <c r="AZ1054" s="63" t="str">
        <f>IFERROR(INDEX($AM$3:$AM$1165,MATCH(ROWS($AY$3:AY1054),$AY$3:$AY$1165,0)),"")</f>
        <v>stressedTreasuryPnLCcy</v>
      </c>
    </row>
    <row r="1055" spans="39:52" x14ac:dyDescent="0.2">
      <c r="AM1055" s="63" t="s">
        <v>3118</v>
      </c>
      <c r="AN1055" s="63" t="s">
        <v>3119</v>
      </c>
      <c r="AO1055" s="63"/>
      <c r="AP1055" s="63"/>
      <c r="AQ1055" s="63"/>
      <c r="AR1055" s="63"/>
      <c r="AS1055" s="63"/>
      <c r="AT1055" s="63"/>
      <c r="AV1055" s="63"/>
      <c r="AW1055" s="63"/>
      <c r="AX1055" s="63">
        <f>--ISNUMBER(IFERROR(SEARCH(Tempset!$M$4,AM1055,1),""))</f>
        <v>1</v>
      </c>
      <c r="AY1055" s="63">
        <f>IF(AX1055=1,COUNTIF($AX$3:AX1055,1),"")</f>
        <v>1053</v>
      </c>
      <c r="AZ1055" s="63" t="str">
        <f>IFERROR(INDEX($AM$3:$AM$1165,MATCH(ROWS($AY$3:AY1055),$AY$3:$AY$1165,0)),"")</f>
        <v>stressedTreasuryPnLValue</v>
      </c>
    </row>
    <row r="1056" spans="39:52" x14ac:dyDescent="0.2">
      <c r="AM1056" s="63" t="s">
        <v>3120</v>
      </c>
      <c r="AN1056" s="63" t="s">
        <v>3121</v>
      </c>
      <c r="AO1056" s="63"/>
      <c r="AP1056" s="63"/>
      <c r="AQ1056" s="63"/>
      <c r="AR1056" s="63"/>
      <c r="AS1056" s="63"/>
      <c r="AT1056" s="63"/>
      <c r="AV1056" s="63"/>
      <c r="AW1056" s="63"/>
      <c r="AX1056" s="63">
        <f>--ISNUMBER(IFERROR(SEARCH(Tempset!$M$4,AM1056,1),""))</f>
        <v>1</v>
      </c>
      <c r="AY1056" s="63">
        <f>IF(AX1056=1,COUNTIF($AX$3:AX1056,1),"")</f>
        <v>1054</v>
      </c>
      <c r="AZ1056" s="63" t="str">
        <f>IFERROR(INDEX($AM$3:$AM$1165,MATCH(ROWS($AY$3:AY1056),$AY$3:$AY$1165,0)),"")</f>
        <v>stressedVaRRWAValue</v>
      </c>
    </row>
    <row r="1057" spans="39:52" x14ac:dyDescent="0.2">
      <c r="AM1057" s="63" t="s">
        <v>3122</v>
      </c>
      <c r="AN1057" s="63" t="s">
        <v>3123</v>
      </c>
      <c r="AO1057" s="63"/>
      <c r="AP1057" s="63"/>
      <c r="AQ1057" s="63"/>
      <c r="AR1057" s="63"/>
      <c r="AS1057" s="63"/>
      <c r="AT1057" s="63"/>
      <c r="AV1057" s="63"/>
      <c r="AW1057" s="63"/>
      <c r="AX1057" s="63">
        <f>--ISNUMBER(IFERROR(SEARCH(Tempset!$M$4,AM1057,1),""))</f>
        <v>1</v>
      </c>
      <c r="AY1057" s="63">
        <f>IF(AX1057=1,COUNTIF($AX$3:AX1057,1),"")</f>
        <v>1055</v>
      </c>
      <c r="AZ1057" s="63" t="str">
        <f>IFERROR(INDEX($AM$3:$AM$1165,MATCH(ROWS($AY$3:AY1057),$AY$3:$AY$1165,0)),"")</f>
        <v>StressedVarValue</v>
      </c>
    </row>
    <row r="1058" spans="39:52" x14ac:dyDescent="0.2">
      <c r="AM1058" s="63" t="s">
        <v>3124</v>
      </c>
      <c r="AN1058" s="63" t="s">
        <v>3125</v>
      </c>
      <c r="AO1058" s="63"/>
      <c r="AP1058" s="63"/>
      <c r="AQ1058" s="63"/>
      <c r="AR1058" s="63"/>
      <c r="AS1058" s="63"/>
      <c r="AT1058" s="63"/>
      <c r="AV1058" s="63"/>
      <c r="AW1058" s="63"/>
      <c r="AX1058" s="63">
        <f>--ISNUMBER(IFERROR(SEARCH(Tempset!$M$4,AM1058,1),""))</f>
        <v>1</v>
      </c>
      <c r="AY1058" s="63">
        <f>IF(AX1058=1,COUNTIF($AX$3:AX1058,1),"")</f>
        <v>1056</v>
      </c>
      <c r="AZ1058" s="63" t="str">
        <f>IFERROR(INDEX($AM$3:$AM$1165,MATCH(ROWS($AY$3:AY1058),$AY$3:$AY$1165,0)),"")</f>
        <v>strike</v>
      </c>
    </row>
    <row r="1059" spans="39:52" x14ac:dyDescent="0.2">
      <c r="AM1059" s="63" t="s">
        <v>3126</v>
      </c>
      <c r="AN1059" s="63" t="s">
        <v>3127</v>
      </c>
      <c r="AO1059" s="63"/>
      <c r="AP1059" s="63"/>
      <c r="AQ1059" s="63"/>
      <c r="AR1059" s="63"/>
      <c r="AS1059" s="63"/>
      <c r="AT1059" s="63"/>
      <c r="AV1059" s="63"/>
      <c r="AW1059" s="63"/>
      <c r="AX1059" s="63">
        <f>--ISNUMBER(IFERROR(SEARCH(Tempset!$M$4,AM1059,1),""))</f>
        <v>1</v>
      </c>
      <c r="AY1059" s="63">
        <f>IF(AX1059=1,COUNTIF($AX$3:AX1059,1),"")</f>
        <v>1057</v>
      </c>
      <c r="AZ1059" s="63" t="str">
        <f>IFERROR(INDEX($AM$3:$AM$1165,MATCH(ROWS($AY$3:AY1059),$AY$3:$AY$1165,0)),"")</f>
        <v>strikeccy</v>
      </c>
    </row>
    <row r="1060" spans="39:52" x14ac:dyDescent="0.2">
      <c r="AM1060" s="63" t="s">
        <v>3128</v>
      </c>
      <c r="AN1060" s="63" t="s">
        <v>3129</v>
      </c>
      <c r="AO1060" s="63"/>
      <c r="AP1060" s="63"/>
      <c r="AQ1060" s="63"/>
      <c r="AR1060" s="63"/>
      <c r="AS1060" s="63"/>
      <c r="AT1060" s="63"/>
      <c r="AV1060" s="63"/>
      <c r="AW1060" s="63"/>
      <c r="AX1060" s="63">
        <f>--ISNUMBER(IFERROR(SEARCH(Tempset!$M$4,AM1060,1),""))</f>
        <v>1</v>
      </c>
      <c r="AY1060" s="63">
        <f>IF(AX1060=1,COUNTIF($AX$3:AX1060,1),"")</f>
        <v>1058</v>
      </c>
      <c r="AZ1060" s="63" t="str">
        <f>IFERROR(INDEX($AM$3:$AM$1165,MATCH(ROWS($AY$3:AY1060),$AY$3:$AY$1165,0)),"")</f>
        <v>strikePriceMultiplier</v>
      </c>
    </row>
    <row r="1061" spans="39:52" x14ac:dyDescent="0.2">
      <c r="AM1061" s="63" t="s">
        <v>3130</v>
      </c>
      <c r="AN1061" s="63" t="s">
        <v>3131</v>
      </c>
      <c r="AO1061" s="63"/>
      <c r="AP1061" s="63"/>
      <c r="AQ1061" s="63"/>
      <c r="AR1061" s="63"/>
      <c r="AS1061" s="63"/>
      <c r="AT1061" s="63"/>
      <c r="AV1061" s="63"/>
      <c r="AW1061" s="63"/>
      <c r="AX1061" s="63">
        <f>--ISNUMBER(IFERROR(SEARCH(Tempset!$M$4,AM1061,1),""))</f>
        <v>1</v>
      </c>
      <c r="AY1061" s="63">
        <f>IF(AX1061=1,COUNTIF($AX$3:AX1061,1),"")</f>
        <v>1059</v>
      </c>
      <c r="AZ1061" s="63" t="str">
        <f>IFERROR(INDEX($AM$3:$AM$1165,MATCH(ROWS($AY$3:AY1061),$AY$3:$AY$1165,0)),"")</f>
        <v>strikeRate</v>
      </c>
    </row>
    <row r="1062" spans="39:52" x14ac:dyDescent="0.2">
      <c r="AM1062" s="63" t="s">
        <v>3132</v>
      </c>
      <c r="AN1062" s="63" t="s">
        <v>3133</v>
      </c>
      <c r="AO1062" s="63"/>
      <c r="AP1062" s="63"/>
      <c r="AQ1062" s="63"/>
      <c r="AR1062" s="63"/>
      <c r="AS1062" s="63"/>
      <c r="AT1062" s="63"/>
      <c r="AV1062" s="63"/>
      <c r="AW1062" s="63"/>
      <c r="AX1062" s="63">
        <f>--ISNUMBER(IFERROR(SEARCH(Tempset!$M$4,AM1062,1),""))</f>
        <v>1</v>
      </c>
      <c r="AY1062" s="63">
        <f>IF(AX1062=1,COUNTIF($AX$3:AX1062,1),"")</f>
        <v>1060</v>
      </c>
      <c r="AZ1062" s="63" t="str">
        <f>IFERROR(INDEX($AM$3:$AM$1165,MATCH(ROWS($AY$3:AY1062),$AY$3:$AY$1165,0)),"")</f>
        <v>structureIdOrderNumberExternalId</v>
      </c>
    </row>
    <row r="1063" spans="39:52" x14ac:dyDescent="0.2">
      <c r="AM1063" s="63" t="s">
        <v>3134</v>
      </c>
      <c r="AN1063" s="63" t="s">
        <v>3135</v>
      </c>
      <c r="AO1063" s="63"/>
      <c r="AP1063" s="63"/>
      <c r="AQ1063" s="63"/>
      <c r="AR1063" s="63"/>
      <c r="AS1063" s="63"/>
      <c r="AT1063" s="63"/>
      <c r="AV1063" s="63"/>
      <c r="AW1063" s="63"/>
      <c r="AX1063" s="63">
        <f>--ISNUMBER(IFERROR(SEARCH(Tempset!$M$4,AM1063,1),""))</f>
        <v>1</v>
      </c>
      <c r="AY1063" s="63">
        <f>IF(AX1063=1,COUNTIF($AX$3:AX1063,1),"")</f>
        <v>1061</v>
      </c>
      <c r="AZ1063" s="63" t="str">
        <f>IFERROR(INDEX($AM$3:$AM$1165,MATCH(ROWS($AY$3:AY1063),$AY$3:$AY$1165,0)),"")</f>
        <v>subAccountNostroID</v>
      </c>
    </row>
    <row r="1064" spans="39:52" x14ac:dyDescent="0.2">
      <c r="AM1064" s="63" t="s">
        <v>3136</v>
      </c>
      <c r="AN1064" s="63" t="s">
        <v>3137</v>
      </c>
      <c r="AO1064" s="63"/>
      <c r="AP1064" s="63"/>
      <c r="AQ1064" s="63"/>
      <c r="AR1064" s="63"/>
      <c r="AS1064" s="63"/>
      <c r="AT1064" s="63"/>
      <c r="AV1064" s="63"/>
      <c r="AW1064" s="63"/>
      <c r="AX1064" s="63">
        <f>--ISNUMBER(IFERROR(SEARCH(Tempset!$M$4,AM1064,1),""))</f>
        <v>1</v>
      </c>
      <c r="AY1064" s="63">
        <f>IF(AX1064=1,COUNTIF($AX$3:AX1064,1),"")</f>
        <v>1062</v>
      </c>
      <c r="AZ1064" s="63" t="str">
        <f>IFERROR(INDEX($AM$3:$AM$1165,MATCH(ROWS($AY$3:AY1064),$AY$3:$AY$1165,0)),"")</f>
        <v>subAllocationPercentage</v>
      </c>
    </row>
    <row r="1065" spans="39:52" x14ac:dyDescent="0.2">
      <c r="AM1065" s="63" t="s">
        <v>3138</v>
      </c>
      <c r="AN1065" s="63" t="s">
        <v>3139</v>
      </c>
      <c r="AO1065" s="63"/>
      <c r="AP1065" s="63"/>
      <c r="AQ1065" s="63"/>
      <c r="AR1065" s="63"/>
      <c r="AS1065" s="63"/>
      <c r="AT1065" s="63"/>
      <c r="AV1065" s="63"/>
      <c r="AW1065" s="63"/>
      <c r="AX1065" s="63">
        <f>--ISNUMBER(IFERROR(SEARCH(Tempset!$M$4,AM1065,1),""))</f>
        <v>1</v>
      </c>
      <c r="AY1065" s="63">
        <f>IF(AX1065=1,COUNTIF($AX$3:AX1065,1),"")</f>
        <v>1063</v>
      </c>
      <c r="AZ1065" s="63" t="str">
        <f>IFERROR(INDEX($AM$3:$AM$1165,MATCH(ROWS($AY$3:AY1065),$AY$3:$AY$1165,0)),"")</f>
        <v>subLimitAmount</v>
      </c>
    </row>
    <row r="1066" spans="39:52" x14ac:dyDescent="0.2">
      <c r="AM1066" s="63" t="s">
        <v>3140</v>
      </c>
      <c r="AN1066" s="63" t="s">
        <v>3141</v>
      </c>
      <c r="AO1066" s="63"/>
      <c r="AP1066" s="63"/>
      <c r="AQ1066" s="63"/>
      <c r="AR1066" s="63"/>
      <c r="AS1066" s="63"/>
      <c r="AT1066" s="63"/>
      <c r="AV1066" s="63"/>
      <c r="AW1066" s="63"/>
      <c r="AX1066" s="63">
        <f>--ISNUMBER(IFERROR(SEARCH(Tempset!$M$4,AM1066,1),""))</f>
        <v>1</v>
      </c>
      <c r="AY1066" s="63">
        <f>IF(AX1066=1,COUNTIF($AX$3:AX1066,1),"")</f>
        <v>1064</v>
      </c>
      <c r="AZ1066" s="63" t="str">
        <f>IFERROR(INDEX($AM$3:$AM$1165,MATCH(ROWS($AY$3:AY1066),$AY$3:$AY$1165,0)),"")</f>
        <v>subNettingSet</v>
      </c>
    </row>
    <row r="1067" spans="39:52" x14ac:dyDescent="0.2">
      <c r="AM1067" s="63" t="s">
        <v>3142</v>
      </c>
      <c r="AN1067" s="63" t="s">
        <v>3143</v>
      </c>
      <c r="AO1067" s="63"/>
      <c r="AP1067" s="63"/>
      <c r="AQ1067" s="63"/>
      <c r="AR1067" s="63"/>
      <c r="AS1067" s="63"/>
      <c r="AT1067" s="63"/>
      <c r="AV1067" s="63"/>
      <c r="AW1067" s="63"/>
      <c r="AX1067" s="63">
        <f>--ISNUMBER(IFERROR(SEARCH(Tempset!$M$4,AM1067,1),""))</f>
        <v>1</v>
      </c>
      <c r="AY1067" s="63">
        <f>IF(AX1067=1,COUNTIF($AX$3:AX1067,1),"")</f>
        <v>1065</v>
      </c>
      <c r="AZ1067" s="63" t="str">
        <f>IFERROR(INDEX($AM$3:$AM$1165,MATCH(ROWS($AY$3:AY1067),$AY$3:$AY$1165,0)),"")</f>
        <v>subOrdinationFlag</v>
      </c>
    </row>
    <row r="1068" spans="39:52" x14ac:dyDescent="0.2">
      <c r="AM1068" s="63" t="s">
        <v>3144</v>
      </c>
      <c r="AN1068" s="63" t="s">
        <v>3145</v>
      </c>
      <c r="AO1068" s="63"/>
      <c r="AP1068" s="63"/>
      <c r="AQ1068" s="63"/>
      <c r="AR1068" s="63"/>
      <c r="AS1068" s="63"/>
      <c r="AT1068" s="63"/>
      <c r="AV1068" s="63"/>
      <c r="AW1068" s="63"/>
      <c r="AX1068" s="63">
        <f>--ISNUMBER(IFERROR(SEARCH(Tempset!$M$4,AM1068,1),""))</f>
        <v>1</v>
      </c>
      <c r="AY1068" s="63">
        <f>IF(AX1068=1,COUNTIF($AX$3:AX1068,1),"")</f>
        <v>1066</v>
      </c>
      <c r="AZ1068" s="63" t="str">
        <f>IFERROR(INDEX($AM$3:$AM$1165,MATCH(ROWS($AY$3:AY1068),$AY$3:$AY$1165,0)),"")</f>
        <v>subParticipationFlag</v>
      </c>
    </row>
    <row r="1069" spans="39:52" x14ac:dyDescent="0.2">
      <c r="AM1069" s="63" t="s">
        <v>3146</v>
      </c>
      <c r="AN1069" s="63" t="s">
        <v>3147</v>
      </c>
      <c r="AO1069" s="63"/>
      <c r="AP1069" s="63"/>
      <c r="AQ1069" s="63"/>
      <c r="AR1069" s="63"/>
      <c r="AS1069" s="63"/>
      <c r="AT1069" s="63"/>
      <c r="AV1069" s="63"/>
      <c r="AW1069" s="63"/>
      <c r="AX1069" s="63">
        <f>--ISNUMBER(IFERROR(SEARCH(Tempset!$M$4,AM1069,1),""))</f>
        <v>1</v>
      </c>
      <c r="AY1069" s="63">
        <f>IF(AX1069=1,COUNTIF($AX$3:AX1069,1),"")</f>
        <v>1067</v>
      </c>
      <c r="AZ1069" s="63" t="str">
        <f>IFERROR(INDEX($AM$3:$AM$1165,MATCH(ROWS($AY$3:AY1069),$AY$3:$AY$1165,0)),"")</f>
        <v>supervisoryDelta</v>
      </c>
    </row>
    <row r="1070" spans="39:52" x14ac:dyDescent="0.2">
      <c r="AM1070" s="63" t="s">
        <v>3148</v>
      </c>
      <c r="AN1070" s="63" t="s">
        <v>3149</v>
      </c>
      <c r="AO1070" s="63"/>
      <c r="AP1070" s="63"/>
      <c r="AQ1070" s="63"/>
      <c r="AR1070" s="63"/>
      <c r="AS1070" s="63"/>
      <c r="AT1070" s="63"/>
      <c r="AV1070" s="63"/>
      <c r="AW1070" s="63"/>
      <c r="AX1070" s="63">
        <f>--ISNUMBER(IFERROR(SEARCH(Tempset!$M$4,AM1070,1),""))</f>
        <v>1</v>
      </c>
      <c r="AY1070" s="63">
        <f>IF(AX1070=1,COUNTIF($AX$3:AX1070,1),"")</f>
        <v>1068</v>
      </c>
      <c r="AZ1070" s="63" t="str">
        <f>IFERROR(INDEX($AM$3:$AM$1165,MATCH(ROWS($AY$3:AY1070),$AY$3:$AY$1165,0)),"")</f>
        <v>supervisoryDuration</v>
      </c>
    </row>
    <row r="1071" spans="39:52" x14ac:dyDescent="0.2">
      <c r="AM1071" s="63" t="s">
        <v>3150</v>
      </c>
      <c r="AN1071" s="63" t="s">
        <v>3151</v>
      </c>
      <c r="AO1071" s="63"/>
      <c r="AP1071" s="63"/>
      <c r="AQ1071" s="63"/>
      <c r="AR1071" s="63"/>
      <c r="AS1071" s="63"/>
      <c r="AT1071" s="63"/>
      <c r="AV1071" s="63"/>
      <c r="AW1071" s="63"/>
      <c r="AX1071" s="63">
        <f>--ISNUMBER(IFERROR(SEARCH(Tempset!$M$4,AM1071,1),""))</f>
        <v>1</v>
      </c>
      <c r="AY1071" s="63">
        <f>IF(AX1071=1,COUNTIF($AX$3:AX1071,1),"")</f>
        <v>1069</v>
      </c>
      <c r="AZ1071" s="63" t="str">
        <f>IFERROR(INDEX($AM$3:$AM$1165,MATCH(ROWS($AY$3:AY1071),$AY$3:$AY$1165,0)),"")</f>
        <v>supervisoryFormulaRiskWeightValue</v>
      </c>
    </row>
    <row r="1072" spans="39:52" x14ac:dyDescent="0.2">
      <c r="AM1072" s="63" t="s">
        <v>3152</v>
      </c>
      <c r="AN1072" s="63" t="s">
        <v>3153</v>
      </c>
      <c r="AO1072" s="63"/>
      <c r="AP1072" s="63"/>
      <c r="AQ1072" s="63"/>
      <c r="AR1072" s="63"/>
      <c r="AS1072" s="63"/>
      <c r="AT1072" s="63"/>
      <c r="AV1072" s="63"/>
      <c r="AW1072" s="63"/>
      <c r="AX1072" s="63">
        <f>--ISNUMBER(IFERROR(SEARCH(Tempset!$M$4,AM1072,1),""))</f>
        <v>1</v>
      </c>
      <c r="AY1072" s="63">
        <f>IF(AX1072=1,COUNTIF($AX$3:AX1072,1),"")</f>
        <v>1070</v>
      </c>
      <c r="AZ1072" s="63" t="str">
        <f>IFERROR(INDEX($AM$3:$AM$1165,MATCH(ROWS($AY$3:AY1072),$AY$3:$AY$1165,0)),"")</f>
        <v>supervisorySecuritizationRole</v>
      </c>
    </row>
    <row r="1073" spans="39:52" x14ac:dyDescent="0.2">
      <c r="AM1073" s="63" t="s">
        <v>3154</v>
      </c>
      <c r="AN1073" s="63" t="s">
        <v>3155</v>
      </c>
      <c r="AO1073" s="63"/>
      <c r="AP1073" s="63"/>
      <c r="AQ1073" s="63"/>
      <c r="AR1073" s="63"/>
      <c r="AS1073" s="63"/>
      <c r="AT1073" s="63"/>
      <c r="AV1073" s="63"/>
      <c r="AW1073" s="63"/>
      <c r="AX1073" s="63">
        <f>--ISNUMBER(IFERROR(SEARCH(Tempset!$M$4,AM1073,1),""))</f>
        <v>1</v>
      </c>
      <c r="AY1073" s="63">
        <f>IF(AX1073=1,COUNTIF($AX$3:AX1073,1),"")</f>
        <v>1071</v>
      </c>
      <c r="AZ1073" s="63" t="str">
        <f>IFERROR(INDEX($AM$3:$AM$1165,MATCH(ROWS($AY$3:AY1073),$AY$3:$AY$1165,0)),"")</f>
        <v>swaptionId</v>
      </c>
    </row>
    <row r="1074" spans="39:52" x14ac:dyDescent="0.2">
      <c r="AM1074" s="63" t="s">
        <v>3156</v>
      </c>
      <c r="AN1074" s="63" t="s">
        <v>3157</v>
      </c>
      <c r="AO1074" s="63"/>
      <c r="AP1074" s="63"/>
      <c r="AQ1074" s="63"/>
      <c r="AR1074" s="63"/>
      <c r="AS1074" s="63"/>
      <c r="AT1074" s="63"/>
      <c r="AV1074" s="63"/>
      <c r="AW1074" s="63"/>
      <c r="AX1074" s="63">
        <f>--ISNUMBER(IFERROR(SEARCH(Tempset!$M$4,AM1074,1),""))</f>
        <v>1</v>
      </c>
      <c r="AY1074" s="63">
        <f>IF(AX1074=1,COUNTIF($AX$3:AX1074,1),"")</f>
        <v>1072</v>
      </c>
      <c r="AZ1074" s="63" t="str">
        <f>IFERROR(INDEX($AM$3:$AM$1165,MATCH(ROWS($AY$3:AY1074),$AY$3:$AY$1165,0)),"")</f>
        <v>SWWRCollateralHaircutValue</v>
      </c>
    </row>
    <row r="1075" spans="39:52" x14ac:dyDescent="0.2">
      <c r="AM1075" s="63" t="s">
        <v>3158</v>
      </c>
      <c r="AN1075" s="63" t="s">
        <v>3159</v>
      </c>
      <c r="AO1075" s="63"/>
      <c r="AP1075" s="63"/>
      <c r="AQ1075" s="63"/>
      <c r="AR1075" s="63"/>
      <c r="AS1075" s="63"/>
      <c r="AT1075" s="63"/>
      <c r="AV1075" s="63"/>
      <c r="AW1075" s="63"/>
      <c r="AX1075" s="63">
        <f>--ISNUMBER(IFERROR(SEARCH(Tempset!$M$4,AM1075,1),""))</f>
        <v>1</v>
      </c>
      <c r="AY1075" s="63">
        <f>IF(AX1075=1,COUNTIF($AX$3:AX1075,1),"")</f>
        <v>1073</v>
      </c>
      <c r="AZ1075" s="63" t="str">
        <f>IFERROR(INDEX($AM$3:$AM$1165,MATCH(ROWS($AY$3:AY1075),$AY$3:$AY$1165,0)),"")</f>
        <v>systematicFactorCorrelationMatrix</v>
      </c>
    </row>
    <row r="1076" spans="39:52" x14ac:dyDescent="0.2">
      <c r="AM1076" s="63" t="s">
        <v>3160</v>
      </c>
      <c r="AN1076" s="63" t="s">
        <v>3161</v>
      </c>
      <c r="AO1076" s="63"/>
      <c r="AP1076" s="63"/>
      <c r="AQ1076" s="63"/>
      <c r="AR1076" s="63"/>
      <c r="AS1076" s="63"/>
      <c r="AT1076" s="63"/>
      <c r="AV1076" s="63"/>
      <c r="AW1076" s="63"/>
      <c r="AX1076" s="63">
        <f>--ISNUMBER(IFERROR(SEARCH(Tempset!$M$4,AM1076,1),""))</f>
        <v>1</v>
      </c>
      <c r="AY1076" s="63">
        <f>IF(AX1076=1,COUNTIF($AX$3:AX1076,1),"")</f>
        <v>1074</v>
      </c>
      <c r="AZ1076" s="63" t="str">
        <f>IFERROR(INDEX($AM$3:$AM$1165,MATCH(ROWS($AY$3:AY1076),$AY$3:$AY$1165,0)),"")</f>
        <v>taxExpenseValue</v>
      </c>
    </row>
    <row r="1077" spans="39:52" x14ac:dyDescent="0.2">
      <c r="AM1077" s="63" t="s">
        <v>3162</v>
      </c>
      <c r="AN1077" s="63" t="s">
        <v>3163</v>
      </c>
      <c r="AO1077" s="63"/>
      <c r="AP1077" s="63"/>
      <c r="AQ1077" s="63"/>
      <c r="AR1077" s="63"/>
      <c r="AS1077" s="63"/>
      <c r="AT1077" s="63"/>
      <c r="AV1077" s="63"/>
      <c r="AW1077" s="63"/>
      <c r="AX1077" s="63">
        <f>--ISNUMBER(IFERROR(SEARCH(Tempset!$M$4,AM1077,1),""))</f>
        <v>1</v>
      </c>
      <c r="AY1077" s="63">
        <f>IF(AX1077=1,COUNTIF($AX$3:AX1077,1),"")</f>
        <v>1075</v>
      </c>
      <c r="AZ1077" s="63" t="str">
        <f>IFERROR(INDEX($AM$3:$AM$1165,MATCH(ROWS($AY$3:AY1077),$AY$3:$AY$1165,0)),"")</f>
        <v>tenor</v>
      </c>
    </row>
    <row r="1078" spans="39:52" x14ac:dyDescent="0.2">
      <c r="AM1078" s="63" t="s">
        <v>3164</v>
      </c>
      <c r="AN1078" s="63" t="s">
        <v>3165</v>
      </c>
      <c r="AO1078" s="63"/>
      <c r="AP1078" s="63"/>
      <c r="AQ1078" s="63"/>
      <c r="AR1078" s="63"/>
      <c r="AS1078" s="63"/>
      <c r="AT1078" s="63"/>
      <c r="AV1078" s="63"/>
      <c r="AW1078" s="63"/>
      <c r="AX1078" s="63">
        <f>--ISNUMBER(IFERROR(SEARCH(Tempset!$M$4,AM1078,1),""))</f>
        <v>1</v>
      </c>
      <c r="AY1078" s="63">
        <f>IF(AX1078=1,COUNTIF($AX$3:AX1078,1),"")</f>
        <v>1076</v>
      </c>
      <c r="AZ1078" s="63" t="str">
        <f>IFERROR(INDEX($AM$3:$AM$1165,MATCH(ROWS($AY$3:AY1078),$AY$3:$AY$1165,0)),"")</f>
        <v>tenorBucket</v>
      </c>
    </row>
    <row r="1079" spans="39:52" x14ac:dyDescent="0.2">
      <c r="AM1079" s="63" t="s">
        <v>3166</v>
      </c>
      <c r="AN1079" s="63" t="s">
        <v>3167</v>
      </c>
      <c r="AO1079" s="63"/>
      <c r="AP1079" s="63"/>
      <c r="AQ1079" s="63"/>
      <c r="AR1079" s="63"/>
      <c r="AS1079" s="63"/>
      <c r="AT1079" s="63"/>
      <c r="AV1079" s="63"/>
      <c r="AW1079" s="63"/>
      <c r="AX1079" s="63">
        <f>--ISNUMBER(IFERROR(SEARCH(Tempset!$M$4,AM1079,1),""))</f>
        <v>1</v>
      </c>
      <c r="AY1079" s="63">
        <f>IF(AX1079=1,COUNTIF($AX$3:AX1079,1),"")</f>
        <v>1077</v>
      </c>
      <c r="AZ1079" s="63" t="str">
        <f>IFERROR(INDEX($AM$3:$AM$1165,MATCH(ROWS($AY$3:AY1079),$AY$3:$AY$1165,0)),"")</f>
        <v>thresholdValue</v>
      </c>
    </row>
    <row r="1080" spans="39:52" x14ac:dyDescent="0.2">
      <c r="AM1080" s="63" t="s">
        <v>3168</v>
      </c>
      <c r="AN1080" s="63" t="s">
        <v>3169</v>
      </c>
      <c r="AO1080" s="63"/>
      <c r="AP1080" s="63"/>
      <c r="AQ1080" s="63"/>
      <c r="AR1080" s="63"/>
      <c r="AS1080" s="63"/>
      <c r="AT1080" s="63"/>
      <c r="AV1080" s="63"/>
      <c r="AW1080" s="63"/>
      <c r="AX1080" s="63">
        <f>--ISNUMBER(IFERROR(SEARCH(Tempset!$M$4,AM1080,1),""))</f>
        <v>1</v>
      </c>
      <c r="AY1080" s="63">
        <f>IF(AX1080=1,COUNTIF($AX$3:AX1080,1),"")</f>
        <v>1078</v>
      </c>
      <c r="AZ1080" s="63" t="str">
        <f>IFERROR(INDEX($AM$3:$AM$1165,MATCH(ROWS($AY$3:AY1080),$AY$3:$AY$1165,0)),"")</f>
        <v>tickerCode</v>
      </c>
    </row>
    <row r="1081" spans="39:52" x14ac:dyDescent="0.2">
      <c r="AM1081" s="63" t="s">
        <v>3170</v>
      </c>
      <c r="AN1081" s="63" t="s">
        <v>3171</v>
      </c>
      <c r="AO1081" s="63"/>
      <c r="AP1081" s="63"/>
      <c r="AQ1081" s="63"/>
      <c r="AR1081" s="63"/>
      <c r="AS1081" s="63"/>
      <c r="AT1081" s="63"/>
      <c r="AV1081" s="63"/>
      <c r="AW1081" s="63"/>
      <c r="AX1081" s="63">
        <f>--ISNUMBER(IFERROR(SEARCH(Tempset!$M$4,AM1081,1),""))</f>
        <v>1</v>
      </c>
      <c r="AY1081" s="63">
        <f>IF(AX1081=1,COUNTIF($AX$3:AX1081,1),"")</f>
        <v>1079</v>
      </c>
      <c r="AZ1081" s="63" t="str">
        <f>IFERROR(INDEX($AM$3:$AM$1165,MATCH(ROWS($AY$3:AY1081),$AY$3:$AY$1165,0)),"")</f>
        <v>tickSize</v>
      </c>
    </row>
    <row r="1082" spans="39:52" x14ac:dyDescent="0.2">
      <c r="AM1082" s="63" t="s">
        <v>3172</v>
      </c>
      <c r="AN1082" s="63" t="s">
        <v>3173</v>
      </c>
      <c r="AO1082" s="63"/>
      <c r="AP1082" s="63"/>
      <c r="AQ1082" s="63"/>
      <c r="AR1082" s="63"/>
      <c r="AS1082" s="63"/>
      <c r="AT1082" s="63"/>
      <c r="AV1082" s="63"/>
      <c r="AW1082" s="63"/>
      <c r="AX1082" s="63">
        <f>--ISNUMBER(IFERROR(SEARCH(Tempset!$M$4,AM1082,1),""))</f>
        <v>1</v>
      </c>
      <c r="AY1082" s="63">
        <f>IF(AX1082=1,COUNTIF($AX$3:AX1082,1),"")</f>
        <v>1080</v>
      </c>
      <c r="AZ1082" s="63" t="str">
        <f>IFERROR(INDEX($AM$3:$AM$1165,MATCH(ROWS($AY$3:AY1082),$AY$3:$AY$1165,0)),"")</f>
        <v>tickValue</v>
      </c>
    </row>
    <row r="1083" spans="39:52" x14ac:dyDescent="0.2">
      <c r="AM1083" s="63" t="s">
        <v>3174</v>
      </c>
      <c r="AN1083" s="63" t="s">
        <v>3175</v>
      </c>
      <c r="AO1083" s="63"/>
      <c r="AP1083" s="63"/>
      <c r="AQ1083" s="63"/>
      <c r="AR1083" s="63"/>
      <c r="AS1083" s="63"/>
      <c r="AT1083" s="63"/>
      <c r="AV1083" s="63"/>
      <c r="AW1083" s="63"/>
      <c r="AX1083" s="63">
        <f>--ISNUMBER(IFERROR(SEARCH(Tempset!$M$4,AM1083,1),""))</f>
        <v>1</v>
      </c>
      <c r="AY1083" s="63">
        <f>IF(AX1083=1,COUNTIF($AX$3:AX1083,1),"")</f>
        <v>1081</v>
      </c>
      <c r="AZ1083" s="63" t="str">
        <f>IFERROR(INDEX($AM$3:$AM$1165,MATCH(ROWS($AY$3:AY1083),$AY$3:$AY$1165,0)),"")</f>
        <v>timeBucket</v>
      </c>
    </row>
    <row r="1084" spans="39:52" x14ac:dyDescent="0.2">
      <c r="AM1084" s="63" t="s">
        <v>3176</v>
      </c>
      <c r="AN1084" s="63" t="s">
        <v>3177</v>
      </c>
      <c r="AO1084" s="63"/>
      <c r="AP1084" s="63"/>
      <c r="AQ1084" s="63"/>
      <c r="AR1084" s="63"/>
      <c r="AS1084" s="63"/>
      <c r="AT1084" s="63"/>
      <c r="AV1084" s="63"/>
      <c r="AW1084" s="63"/>
      <c r="AX1084" s="63">
        <f>--ISNUMBER(IFERROR(SEARCH(Tempset!$M$4,AM1084,1),""))</f>
        <v>1</v>
      </c>
      <c r="AY1084" s="63">
        <f>IF(AX1084=1,COUNTIF($AX$3:AX1084,1),"")</f>
        <v>1082</v>
      </c>
      <c r="AZ1084" s="63" t="str">
        <f>IFERROR(INDEX($AM$3:$AM$1165,MATCH(ROWS($AY$3:AY1084),$AY$3:$AY$1165,0)),"")</f>
        <v>timeBucketOption</v>
      </c>
    </row>
    <row r="1085" spans="39:52" x14ac:dyDescent="0.2">
      <c r="AM1085" s="63" t="s">
        <v>3178</v>
      </c>
      <c r="AN1085" s="63" t="s">
        <v>3179</v>
      </c>
      <c r="AO1085" s="63"/>
      <c r="AP1085" s="63"/>
      <c r="AQ1085" s="63"/>
      <c r="AR1085" s="63"/>
      <c r="AS1085" s="63"/>
      <c r="AT1085" s="63"/>
      <c r="AV1085" s="63"/>
      <c r="AW1085" s="63"/>
      <c r="AX1085" s="63">
        <f>--ISNUMBER(IFERROR(SEARCH(Tempset!$M$4,AM1085,1),""))</f>
        <v>1</v>
      </c>
      <c r="AY1085" s="63">
        <f>IF(AX1085=1,COUNTIF($AX$3:AX1085,1),"")</f>
        <v>1083</v>
      </c>
      <c r="AZ1085" s="63" t="str">
        <f>IFERROR(INDEX($AM$3:$AM$1165,MATCH(ROWS($AY$3:AY1085),$AY$3:$AY$1165,0)),"")</f>
        <v>timeSeriesDate</v>
      </c>
    </row>
    <row r="1086" spans="39:52" x14ac:dyDescent="0.2">
      <c r="AM1086" s="63" t="s">
        <v>3180</v>
      </c>
      <c r="AN1086" s="63" t="s">
        <v>3181</v>
      </c>
      <c r="AO1086" s="63"/>
      <c r="AP1086" s="63"/>
      <c r="AQ1086" s="63"/>
      <c r="AR1086" s="63"/>
      <c r="AS1086" s="63"/>
      <c r="AT1086" s="63"/>
      <c r="AV1086" s="63"/>
      <c r="AW1086" s="63"/>
      <c r="AX1086" s="63">
        <f>--ISNUMBER(IFERROR(SEARCH(Tempset!$M$4,AM1086,1),""))</f>
        <v>1</v>
      </c>
      <c r="AY1086" s="63">
        <f>IF(AX1086=1,COUNTIF($AX$3:AX1086,1),"")</f>
        <v>1084</v>
      </c>
      <c r="AZ1086" s="63" t="str">
        <f>IFERROR(INDEX($AM$3:$AM$1165,MATCH(ROWS($AY$3:AY1086),$AY$3:$AY$1165,0)),"")</f>
        <v>timeSeriesERCValue</v>
      </c>
    </row>
    <row r="1087" spans="39:52" x14ac:dyDescent="0.2">
      <c r="AM1087" s="63" t="s">
        <v>3182</v>
      </c>
      <c r="AN1087" s="63" t="s">
        <v>3183</v>
      </c>
      <c r="AO1087" s="63"/>
      <c r="AP1087" s="63"/>
      <c r="AQ1087" s="63"/>
      <c r="AR1087" s="63"/>
      <c r="AS1087" s="63"/>
      <c r="AT1087" s="63"/>
      <c r="AV1087" s="63"/>
      <c r="AW1087" s="63"/>
      <c r="AX1087" s="63">
        <f>--ISNUMBER(IFERROR(SEARCH(Tempset!$M$4,AM1087,1),""))</f>
        <v>1</v>
      </c>
      <c r="AY1087" s="63">
        <f>IF(AX1087=1,COUNTIF($AX$3:AX1087,1),"")</f>
        <v>1085</v>
      </c>
      <c r="AZ1087" s="63" t="str">
        <f>IFERROR(INDEX($AM$3:$AM$1165,MATCH(ROWS($AY$3:AY1087),$AY$3:$AY$1165,0)),"")</f>
        <v>timeSeriesValue</v>
      </c>
    </row>
    <row r="1088" spans="39:52" x14ac:dyDescent="0.2">
      <c r="AM1088" s="63" t="s">
        <v>3184</v>
      </c>
      <c r="AN1088" s="63" t="s">
        <v>3185</v>
      </c>
      <c r="AO1088" s="63"/>
      <c r="AP1088" s="63"/>
      <c r="AQ1088" s="63"/>
      <c r="AR1088" s="63"/>
      <c r="AS1088" s="63"/>
      <c r="AT1088" s="63"/>
      <c r="AV1088" s="63"/>
      <c r="AW1088" s="63"/>
      <c r="AX1088" s="63">
        <f>--ISNUMBER(IFERROR(SEARCH(Tempset!$M$4,AM1088,1),""))</f>
        <v>1</v>
      </c>
      <c r="AY1088" s="63">
        <f>IF(AX1088=1,COUNTIF($AX$3:AX1088,1),"")</f>
        <v>1086</v>
      </c>
      <c r="AZ1088" s="63" t="str">
        <f>IFERROR(INDEX($AM$3:$AM$1165,MATCH(ROWS($AY$3:AY1088),$AY$3:$AY$1165,0)),"")</f>
        <v>topUpLikeliness</v>
      </c>
    </row>
    <row r="1089" spans="39:52" x14ac:dyDescent="0.2">
      <c r="AM1089" s="63" t="s">
        <v>3186</v>
      </c>
      <c r="AN1089" s="63" t="s">
        <v>3187</v>
      </c>
      <c r="AO1089" s="63"/>
      <c r="AP1089" s="63"/>
      <c r="AQ1089" s="63"/>
      <c r="AR1089" s="63"/>
      <c r="AS1089" s="63"/>
      <c r="AT1089" s="63"/>
      <c r="AV1089" s="63"/>
      <c r="AW1089" s="63"/>
      <c r="AX1089" s="63">
        <f>--ISNUMBER(IFERROR(SEARCH(Tempset!$M$4,AM1089,1),""))</f>
        <v>1</v>
      </c>
      <c r="AY1089" s="63">
        <f>IF(AX1089=1,COUNTIF($AX$3:AX1089,1),"")</f>
        <v>1087</v>
      </c>
      <c r="AZ1089" s="63" t="str">
        <f>IFERROR(INDEX($AM$3:$AM$1165,MATCH(ROWS($AY$3:AY1089),$AY$3:$AY$1165,0)),"")</f>
        <v>totalAssetValue</v>
      </c>
    </row>
    <row r="1090" spans="39:52" x14ac:dyDescent="0.2">
      <c r="AM1090" s="63" t="s">
        <v>3188</v>
      </c>
      <c r="AN1090" s="63" t="s">
        <v>3189</v>
      </c>
      <c r="AO1090" s="63"/>
      <c r="AP1090" s="63"/>
      <c r="AQ1090" s="63"/>
      <c r="AR1090" s="63"/>
      <c r="AS1090" s="63"/>
      <c r="AT1090" s="63"/>
      <c r="AV1090" s="63"/>
      <c r="AW1090" s="63"/>
      <c r="AX1090" s="63">
        <f>--ISNUMBER(IFERROR(SEARCH(Tempset!$M$4,AM1090,1),""))</f>
        <v>1</v>
      </c>
      <c r="AY1090" s="63">
        <f>IF(AX1090=1,COUNTIF($AX$3:AX1090,1),"")</f>
        <v>1088</v>
      </c>
      <c r="AZ1090" s="63" t="str">
        <f>IFERROR(INDEX($AM$3:$AM$1165,MATCH(ROWS($AY$3:AY1090),$AY$3:$AY$1165,0)),"")</f>
        <v>totalCapitalLossRWAUplift</v>
      </c>
    </row>
    <row r="1091" spans="39:52" x14ac:dyDescent="0.2">
      <c r="AM1091" s="63" t="s">
        <v>3190</v>
      </c>
      <c r="AN1091" s="63" t="s">
        <v>3191</v>
      </c>
      <c r="AO1091" s="63"/>
      <c r="AP1091" s="63"/>
      <c r="AQ1091" s="63"/>
      <c r="AR1091" s="63"/>
      <c r="AS1091" s="63"/>
      <c r="AT1091" s="63"/>
      <c r="AV1091" s="63"/>
      <c r="AW1091" s="63"/>
      <c r="AX1091" s="63">
        <f>--ISNUMBER(IFERROR(SEARCH(Tempset!$M$4,AM1091,1),""))</f>
        <v>1</v>
      </c>
      <c r="AY1091" s="63">
        <f>IF(AX1091=1,COUNTIF($AX$3:AX1091,1),"")</f>
        <v>1089</v>
      </c>
      <c r="AZ1091" s="63" t="str">
        <f>IFERROR(INDEX($AM$3:$AM$1165,MATCH(ROWS($AY$3:AY1091),$AY$3:$AY$1165,0)),"")</f>
        <v>totalCapitaLossAmount</v>
      </c>
    </row>
    <row r="1092" spans="39:52" x14ac:dyDescent="0.2">
      <c r="AM1092" s="63" t="s">
        <v>3192</v>
      </c>
      <c r="AN1092" s="63" t="s">
        <v>3193</v>
      </c>
      <c r="AO1092" s="63"/>
      <c r="AP1092" s="63"/>
      <c r="AQ1092" s="63"/>
      <c r="AR1092" s="63"/>
      <c r="AS1092" s="63"/>
      <c r="AT1092" s="63"/>
      <c r="AV1092" s="63"/>
      <c r="AW1092" s="63"/>
      <c r="AX1092" s="63">
        <f>--ISNUMBER(IFERROR(SEARCH(Tempset!$M$4,AM1092,1),""))</f>
        <v>1</v>
      </c>
      <c r="AY1092" s="63">
        <f>IF(AX1092=1,COUNTIF($AX$3:AX1092,1),"")</f>
        <v>1090</v>
      </c>
      <c r="AZ1092" s="63" t="str">
        <f>IFERROR(INDEX($AM$3:$AM$1165,MATCH(ROWS($AY$3:AY1092),$AY$3:$AY$1165,0)),"")</f>
        <v>totalCapitaLossAmountCcy</v>
      </c>
    </row>
    <row r="1093" spans="39:52" x14ac:dyDescent="0.2">
      <c r="AM1093" s="63" t="s">
        <v>3194</v>
      </c>
      <c r="AN1093" s="63" t="s">
        <v>3195</v>
      </c>
      <c r="AO1093" s="63"/>
      <c r="AP1093" s="63"/>
      <c r="AQ1093" s="63"/>
      <c r="AR1093" s="63"/>
      <c r="AS1093" s="63"/>
      <c r="AT1093" s="63"/>
      <c r="AV1093" s="63"/>
      <c r="AW1093" s="63"/>
      <c r="AX1093" s="63">
        <f>--ISNUMBER(IFERROR(SEARCH(Tempset!$M$4,AM1093,1),""))</f>
        <v>1</v>
      </c>
      <c r="AY1093" s="63">
        <f>IF(AX1093=1,COUNTIF($AX$3:AX1093,1),"")</f>
        <v>1091</v>
      </c>
      <c r="AZ1093" s="63" t="str">
        <f>IFERROR(INDEX($AM$3:$AM$1165,MATCH(ROWS($AY$3:AY1093),$AY$3:$AY$1165,0)),"")</f>
        <v>totalCashInflowValue</v>
      </c>
    </row>
    <row r="1094" spans="39:52" x14ac:dyDescent="0.2">
      <c r="AM1094" s="63" t="s">
        <v>3196</v>
      </c>
      <c r="AN1094" s="63" t="s">
        <v>3197</v>
      </c>
      <c r="AO1094" s="63"/>
      <c r="AP1094" s="63"/>
      <c r="AQ1094" s="63"/>
      <c r="AR1094" s="63"/>
      <c r="AS1094" s="63"/>
      <c r="AT1094" s="63"/>
      <c r="AV1094" s="63"/>
      <c r="AW1094" s="63"/>
      <c r="AX1094" s="63">
        <f>--ISNUMBER(IFERROR(SEARCH(Tempset!$M$4,AM1094,1),""))</f>
        <v>1</v>
      </c>
      <c r="AY1094" s="63">
        <f>IF(AX1094=1,COUNTIF($AX$3:AX1094,1),"")</f>
        <v>1092</v>
      </c>
      <c r="AZ1094" s="63" t="str">
        <f>IFERROR(INDEX($AM$3:$AM$1165,MATCH(ROWS($AY$3:AY1094),$AY$3:$AY$1165,0)),"")</f>
        <v>totalCashOutflowValue</v>
      </c>
    </row>
    <row r="1095" spans="39:52" x14ac:dyDescent="0.2">
      <c r="AM1095" s="63" t="s">
        <v>3198</v>
      </c>
      <c r="AN1095" s="63" t="s">
        <v>3199</v>
      </c>
      <c r="AO1095" s="63"/>
      <c r="AP1095" s="63"/>
      <c r="AQ1095" s="63"/>
      <c r="AR1095" s="63"/>
      <c r="AS1095" s="63"/>
      <c r="AT1095" s="63"/>
      <c r="AV1095" s="63"/>
      <c r="AW1095" s="63"/>
      <c r="AX1095" s="63">
        <f>--ISNUMBER(IFERROR(SEARCH(Tempset!$M$4,AM1095,1),""))</f>
        <v>1</v>
      </c>
      <c r="AY1095" s="63">
        <f>IF(AX1095=1,COUNTIF($AX$3:AX1095,1),"")</f>
        <v>1093</v>
      </c>
      <c r="AZ1095" s="63" t="str">
        <f>IFERROR(INDEX($AM$3:$AM$1165,MATCH(ROWS($AY$3:AY1095),$AY$3:$AY$1165,0)),"")</f>
        <v>totalCreditLimit</v>
      </c>
    </row>
    <row r="1096" spans="39:52" x14ac:dyDescent="0.2">
      <c r="AM1096" s="63" t="s">
        <v>3200</v>
      </c>
      <c r="AN1096" s="63" t="s">
        <v>3201</v>
      </c>
      <c r="AO1096" s="63"/>
      <c r="AP1096" s="63"/>
      <c r="AQ1096" s="63"/>
      <c r="AR1096" s="63"/>
      <c r="AS1096" s="63"/>
      <c r="AT1096" s="63"/>
      <c r="AV1096" s="63"/>
      <c r="AW1096" s="63"/>
      <c r="AX1096" s="63">
        <f>--ISNUMBER(IFERROR(SEARCH(Tempset!$M$4,AM1096,1),""))</f>
        <v>1</v>
      </c>
      <c r="AY1096" s="63">
        <f>IF(AX1096=1,COUNTIF($AX$3:AX1096,1),"")</f>
        <v>1094</v>
      </c>
      <c r="AZ1096" s="63" t="str">
        <f>IFERROR(INDEX($AM$3:$AM$1165,MATCH(ROWS($AY$3:AY1096),$AY$3:$AY$1165,0)),"")</f>
        <v>totalEquityValue</v>
      </c>
    </row>
    <row r="1097" spans="39:52" x14ac:dyDescent="0.2">
      <c r="AM1097" s="63" t="s">
        <v>3202</v>
      </c>
      <c r="AN1097" s="63" t="s">
        <v>3203</v>
      </c>
      <c r="AO1097" s="63"/>
      <c r="AP1097" s="63"/>
      <c r="AQ1097" s="63"/>
      <c r="AR1097" s="63"/>
      <c r="AS1097" s="63"/>
      <c r="AT1097" s="63"/>
      <c r="AV1097" s="63"/>
      <c r="AW1097" s="63"/>
      <c r="AX1097" s="63">
        <f>--ISNUMBER(IFERROR(SEARCH(Tempset!$M$4,AM1097,1),""))</f>
        <v>1</v>
      </c>
      <c r="AY1097" s="63">
        <f>IF(AX1097=1,COUNTIF($AX$3:AX1097,1),"")</f>
        <v>1095</v>
      </c>
      <c r="AZ1097" s="63" t="str">
        <f>IFERROR(INDEX($AM$3:$AM$1165,MATCH(ROWS($AY$3:AY1097),$AY$3:$AY$1165,0)),"")</f>
        <v>totalERCValue</v>
      </c>
    </row>
    <row r="1098" spans="39:52" x14ac:dyDescent="0.2">
      <c r="AM1098" s="63" t="s">
        <v>3204</v>
      </c>
      <c r="AN1098" s="63" t="s">
        <v>3205</v>
      </c>
      <c r="AO1098" s="63"/>
      <c r="AP1098" s="63"/>
      <c r="AQ1098" s="63"/>
      <c r="AR1098" s="63"/>
      <c r="AS1098" s="63"/>
      <c r="AT1098" s="63"/>
      <c r="AV1098" s="63"/>
      <c r="AW1098" s="63"/>
      <c r="AX1098" s="63">
        <f>--ISNUMBER(IFERROR(SEARCH(Tempset!$M$4,AM1098,1),""))</f>
        <v>1</v>
      </c>
      <c r="AY1098" s="63">
        <f>IF(AX1098=1,COUNTIF($AX$3:AX1098,1),"")</f>
        <v>1096</v>
      </c>
      <c r="AZ1098" s="63" t="str">
        <f>IFERROR(INDEX($AM$3:$AM$1165,MATCH(ROWS($AY$3:AY1098),$AY$3:$AY$1165,0)),"")</f>
        <v>totalFlaggedExpsre</v>
      </c>
    </row>
    <row r="1099" spans="39:52" x14ac:dyDescent="0.2">
      <c r="AM1099" s="63" t="s">
        <v>3206</v>
      </c>
      <c r="AN1099" s="63" t="s">
        <v>3207</v>
      </c>
      <c r="AO1099" s="63"/>
      <c r="AP1099" s="63"/>
      <c r="AQ1099" s="63"/>
      <c r="AR1099" s="63"/>
      <c r="AS1099" s="63"/>
      <c r="AT1099" s="63"/>
      <c r="AV1099" s="63"/>
      <c r="AW1099" s="63"/>
      <c r="AX1099" s="63">
        <f>--ISNUMBER(IFERROR(SEARCH(Tempset!$M$4,AM1099,1),""))</f>
        <v>1</v>
      </c>
      <c r="AY1099" s="63">
        <f>IF(AX1099=1,COUNTIF($AX$3:AX1099,1),"")</f>
        <v>1097</v>
      </c>
      <c r="AZ1099" s="63" t="str">
        <f>IFERROR(INDEX($AM$3:$AM$1165,MATCH(ROWS($AY$3:AY1099),$AY$3:$AY$1165,0)),"")</f>
        <v>totalIssuanceSpread</v>
      </c>
    </row>
    <row r="1100" spans="39:52" x14ac:dyDescent="0.2">
      <c r="AM1100" s="63" t="s">
        <v>3208</v>
      </c>
      <c r="AN1100" s="63" t="s">
        <v>3209</v>
      </c>
      <c r="AO1100" s="63"/>
      <c r="AP1100" s="63"/>
      <c r="AQ1100" s="63"/>
      <c r="AR1100" s="63"/>
      <c r="AS1100" s="63"/>
      <c r="AT1100" s="63"/>
      <c r="AV1100" s="63"/>
      <c r="AW1100" s="63"/>
      <c r="AX1100" s="63">
        <f>--ISNUMBER(IFERROR(SEARCH(Tempset!$M$4,AM1100,1),""))</f>
        <v>1</v>
      </c>
      <c r="AY1100" s="63">
        <f>IF(AX1100=1,COUNTIF($AX$3:AX1100,1),"")</f>
        <v>1098</v>
      </c>
      <c r="AZ1100" s="63" t="str">
        <f>IFERROR(INDEX($AM$3:$AM$1165,MATCH(ROWS($AY$3:AY1100),$AY$3:$AY$1165,0)),"")</f>
        <v>totalLiabilities</v>
      </c>
    </row>
    <row r="1101" spans="39:52" x14ac:dyDescent="0.2">
      <c r="AM1101" s="63" t="s">
        <v>3210</v>
      </c>
      <c r="AN1101" s="63" t="s">
        <v>3211</v>
      </c>
      <c r="AO1101" s="63"/>
      <c r="AP1101" s="63"/>
      <c r="AQ1101" s="63"/>
      <c r="AR1101" s="63"/>
      <c r="AS1101" s="63"/>
      <c r="AT1101" s="63"/>
      <c r="AV1101" s="63"/>
      <c r="AW1101" s="63"/>
      <c r="AX1101" s="63">
        <f>--ISNUMBER(IFERROR(SEARCH(Tempset!$M$4,AM1101,1),""))</f>
        <v>1</v>
      </c>
      <c r="AY1101" s="63">
        <f>IF(AX1101=1,COUNTIF($AX$3:AX1101,1),"")</f>
        <v>1099</v>
      </c>
      <c r="AZ1101" s="63" t="str">
        <f>IFERROR(INDEX($AM$3:$AM$1165,MATCH(ROWS($AY$3:AY1101),$AY$3:$AY$1165,0)),"")</f>
        <v>totalPortfolioMarketValue</v>
      </c>
    </row>
    <row r="1102" spans="39:52" x14ac:dyDescent="0.2">
      <c r="AM1102" s="63" t="s">
        <v>3212</v>
      </c>
      <c r="AN1102" s="63" t="s">
        <v>3213</v>
      </c>
      <c r="AO1102" s="63"/>
      <c r="AP1102" s="63"/>
      <c r="AQ1102" s="63"/>
      <c r="AR1102" s="63"/>
      <c r="AS1102" s="63"/>
      <c r="AT1102" s="63"/>
      <c r="AV1102" s="63"/>
      <c r="AW1102" s="63"/>
      <c r="AX1102" s="63">
        <f>--ISNUMBER(IFERROR(SEARCH(Tempset!$M$4,AM1102,1),""))</f>
        <v>1</v>
      </c>
      <c r="AY1102" s="63">
        <f>IF(AX1102=1,COUNTIF($AX$3:AX1102,1),"")</f>
        <v>1100</v>
      </c>
      <c r="AZ1102" s="63" t="str">
        <f>IFERROR(INDEX($AM$3:$AM$1165,MATCH(ROWS($AY$3:AY1102),$AY$3:$AY$1165,0)),"")</f>
        <v>totalSubParticipationAmount</v>
      </c>
    </row>
    <row r="1103" spans="39:52" x14ac:dyDescent="0.2">
      <c r="AM1103" s="63" t="s">
        <v>3214</v>
      </c>
      <c r="AN1103" s="63" t="s">
        <v>3215</v>
      </c>
      <c r="AO1103" s="63"/>
      <c r="AP1103" s="63"/>
      <c r="AQ1103" s="63"/>
      <c r="AR1103" s="63"/>
      <c r="AS1103" s="63"/>
      <c r="AT1103" s="63"/>
      <c r="AV1103" s="63"/>
      <c r="AW1103" s="63"/>
      <c r="AX1103" s="63">
        <f>--ISNUMBER(IFERROR(SEARCH(Tempset!$M$4,AM1103,1),""))</f>
        <v>1</v>
      </c>
      <c r="AY1103" s="63">
        <f>IF(AX1103=1,COUNTIF($AX$3:AX1103,1),"")</f>
        <v>1101</v>
      </c>
      <c r="AZ1103" s="63" t="str">
        <f>IFERROR(INDEX($AM$3:$AM$1165,MATCH(ROWS($AY$3:AY1103),$AY$3:$AY$1165,0)),"")</f>
        <v>totalSubParticipationLimitCarrierLimitValue</v>
      </c>
    </row>
    <row r="1104" spans="39:52" x14ac:dyDescent="0.2">
      <c r="AM1104" s="63" t="s">
        <v>3216</v>
      </c>
      <c r="AN1104" s="63" t="s">
        <v>3217</v>
      </c>
      <c r="AO1104" s="63"/>
      <c r="AP1104" s="63"/>
      <c r="AQ1104" s="63"/>
      <c r="AR1104" s="63"/>
      <c r="AS1104" s="63"/>
      <c r="AT1104" s="63"/>
      <c r="AV1104" s="63"/>
      <c r="AW1104" s="63"/>
      <c r="AX1104" s="63">
        <f>--ISNUMBER(IFERROR(SEARCH(Tempset!$M$4,AM1104,1),""))</f>
        <v>1</v>
      </c>
      <c r="AY1104" s="63">
        <f>IF(AX1104=1,COUNTIF($AX$3:AX1104,1),"")</f>
        <v>1102</v>
      </c>
      <c r="AZ1104" s="63" t="str">
        <f>IFERROR(INDEX($AM$3:$AM$1165,MATCH(ROWS($AY$3:AY1104),$AY$3:$AY$1165,0)),"")</f>
        <v>TPVLastDoneOn</v>
      </c>
    </row>
    <row r="1105" spans="39:52" x14ac:dyDescent="0.2">
      <c r="AM1105" s="63" t="s">
        <v>3218</v>
      </c>
      <c r="AN1105" s="63" t="s">
        <v>3219</v>
      </c>
      <c r="AO1105" s="63"/>
      <c r="AP1105" s="63"/>
      <c r="AQ1105" s="63"/>
      <c r="AR1105" s="63"/>
      <c r="AS1105" s="63"/>
      <c r="AT1105" s="63"/>
      <c r="AV1105" s="63"/>
      <c r="AW1105" s="63"/>
      <c r="AX1105" s="63">
        <f>--ISNUMBER(IFERROR(SEARCH(Tempset!$M$4,AM1105,1),""))</f>
        <v>1</v>
      </c>
      <c r="AY1105" s="63">
        <f>IF(AX1105=1,COUNTIF($AX$3:AX1105,1),"")</f>
        <v>1103</v>
      </c>
      <c r="AZ1105" s="63" t="str">
        <f>IFERROR(INDEX($AM$3:$AM$1165,MATCH(ROWS($AY$3:AY1105),$AY$3:$AY$1165,0)),"")</f>
        <v>tradeCurrency</v>
      </c>
    </row>
    <row r="1106" spans="39:52" x14ac:dyDescent="0.2">
      <c r="AM1106" s="63" t="s">
        <v>3220</v>
      </c>
      <c r="AN1106" s="63" t="s">
        <v>3221</v>
      </c>
      <c r="AO1106" s="63"/>
      <c r="AP1106" s="63"/>
      <c r="AQ1106" s="63"/>
      <c r="AR1106" s="63"/>
      <c r="AS1106" s="63"/>
      <c r="AT1106" s="63"/>
      <c r="AV1106" s="63"/>
      <c r="AW1106" s="63"/>
      <c r="AX1106" s="63">
        <f>--ISNUMBER(IFERROR(SEARCH(Tempset!$M$4,AM1106,1),""))</f>
        <v>1</v>
      </c>
      <c r="AY1106" s="63">
        <f>IF(AX1106=1,COUNTIF($AX$3:AX1106,1),"")</f>
        <v>1104</v>
      </c>
      <c r="AZ1106" s="63" t="str">
        <f>IFERROR(INDEX($AM$3:$AM$1165,MATCH(ROWS($AY$3:AY1106),$AY$3:$AY$1165,0)),"")</f>
        <v>tradeDate</v>
      </c>
    </row>
    <row r="1107" spans="39:52" x14ac:dyDescent="0.2">
      <c r="AM1107" s="63" t="s">
        <v>3222</v>
      </c>
      <c r="AN1107" s="63" t="s">
        <v>3223</v>
      </c>
      <c r="AO1107" s="63"/>
      <c r="AP1107" s="63"/>
      <c r="AQ1107" s="63"/>
      <c r="AR1107" s="63"/>
      <c r="AS1107" s="63"/>
      <c r="AT1107" s="63"/>
      <c r="AV1107" s="63"/>
      <c r="AW1107" s="63"/>
      <c r="AX1107" s="63">
        <f>--ISNUMBER(IFERROR(SEARCH(Tempset!$M$4,AM1107,1),""))</f>
        <v>1</v>
      </c>
      <c r="AY1107" s="63">
        <f>IF(AX1107=1,COUNTIF($AX$3:AX1107,1),"")</f>
        <v>1105</v>
      </c>
      <c r="AZ1107" s="63" t="str">
        <f>IFERROR(INDEX($AM$3:$AM$1165,MATCH(ROWS($AY$3:AY1107),$AY$3:$AY$1165,0)),"")</f>
        <v>tradeDeltaValue</v>
      </c>
    </row>
    <row r="1108" spans="39:52" x14ac:dyDescent="0.2">
      <c r="AM1108" s="63" t="s">
        <v>3224</v>
      </c>
      <c r="AN1108" s="63" t="s">
        <v>3225</v>
      </c>
      <c r="AO1108" s="63"/>
      <c r="AP1108" s="63"/>
      <c r="AQ1108" s="63"/>
      <c r="AR1108" s="63"/>
      <c r="AS1108" s="63"/>
      <c r="AT1108" s="63"/>
      <c r="AV1108" s="63"/>
      <c r="AW1108" s="63"/>
      <c r="AX1108" s="63">
        <f>--ISNUMBER(IFERROR(SEARCH(Tempset!$M$4,AM1108,1),""))</f>
        <v>1</v>
      </c>
      <c r="AY1108" s="63">
        <f>IF(AX1108=1,COUNTIF($AX$3:AX1108,1),"")</f>
        <v>1106</v>
      </c>
      <c r="AZ1108" s="63" t="str">
        <f>IFERROR(INDEX($AM$3:$AM$1165,MATCH(ROWS($AY$3:AY1108),$AY$3:$AY$1165,0)),"")</f>
        <v>tradedRiskERCValue</v>
      </c>
    </row>
    <row r="1109" spans="39:52" x14ac:dyDescent="0.2">
      <c r="AM1109" s="63" t="s">
        <v>3226</v>
      </c>
      <c r="AN1109" s="63" t="s">
        <v>3227</v>
      </c>
      <c r="AO1109" s="63"/>
      <c r="AP1109" s="63"/>
      <c r="AQ1109" s="63"/>
      <c r="AR1109" s="63"/>
      <c r="AS1109" s="63"/>
      <c r="AT1109" s="63"/>
      <c r="AV1109" s="63"/>
      <c r="AW1109" s="63"/>
      <c r="AX1109" s="63">
        <f>--ISNUMBER(IFERROR(SEARCH(Tempset!$M$4,AM1109,1),""))</f>
        <v>1</v>
      </c>
      <c r="AY1109" s="63">
        <f>IF(AX1109=1,COUNTIF($AX$3:AX1109,1),"")</f>
        <v>1107</v>
      </c>
      <c r="AZ1109" s="63" t="str">
        <f>IFERROR(INDEX($AM$3:$AM$1165,MATCH(ROWS($AY$3:AY1109),$AY$3:$AY$1165,0)),"")</f>
        <v>tradeGroup</v>
      </c>
    </row>
    <row r="1110" spans="39:52" x14ac:dyDescent="0.2">
      <c r="AM1110" s="63" t="s">
        <v>3228</v>
      </c>
      <c r="AN1110" s="63" t="s">
        <v>3229</v>
      </c>
      <c r="AO1110" s="63"/>
      <c r="AP1110" s="63"/>
      <c r="AQ1110" s="63"/>
      <c r="AR1110" s="63"/>
      <c r="AS1110" s="63"/>
      <c r="AT1110" s="63"/>
      <c r="AV1110" s="63"/>
      <c r="AW1110" s="63"/>
      <c r="AX1110" s="63">
        <f>--ISNUMBER(IFERROR(SEARCH(Tempset!$M$4,AM1110,1),""))</f>
        <v>1</v>
      </c>
      <c r="AY1110" s="63">
        <f>IF(AX1110=1,COUNTIF($AX$3:AX1110,1),"")</f>
        <v>1108</v>
      </c>
      <c r="AZ1110" s="63" t="str">
        <f>IFERROR(INDEX($AM$3:$AM$1165,MATCH(ROWS($AY$3:AY1110),$AY$3:$AY$1165,0)),"")</f>
        <v>tradeId</v>
      </c>
    </row>
    <row r="1111" spans="39:52" x14ac:dyDescent="0.2">
      <c r="AM1111" s="63" t="s">
        <v>3230</v>
      </c>
      <c r="AN1111" s="63" t="s">
        <v>3231</v>
      </c>
      <c r="AO1111" s="63"/>
      <c r="AP1111" s="63"/>
      <c r="AQ1111" s="63"/>
      <c r="AR1111" s="63"/>
      <c r="AS1111" s="63"/>
      <c r="AT1111" s="63"/>
      <c r="AV1111" s="63"/>
      <c r="AW1111" s="63"/>
      <c r="AX1111" s="63">
        <f>--ISNUMBER(IFERROR(SEARCH(Tempset!$M$4,AM1111,1),""))</f>
        <v>1</v>
      </c>
      <c r="AY1111" s="63">
        <f>IF(AX1111=1,COUNTIF($AX$3:AX1111,1),"")</f>
        <v>1109</v>
      </c>
      <c r="AZ1111" s="63" t="str">
        <f>IFERROR(INDEX($AM$3:$AM$1165,MATCH(ROWS($AY$3:AY1111),$AY$3:$AY$1165,0)),"")</f>
        <v>tradeNotionalPrincipal</v>
      </c>
    </row>
    <row r="1112" spans="39:52" x14ac:dyDescent="0.2">
      <c r="AM1112" s="63" t="s">
        <v>3232</v>
      </c>
      <c r="AN1112" s="63" t="s">
        <v>3233</v>
      </c>
      <c r="AO1112" s="63"/>
      <c r="AP1112" s="63"/>
      <c r="AQ1112" s="63"/>
      <c r="AR1112" s="63"/>
      <c r="AS1112" s="63"/>
      <c r="AT1112" s="63"/>
      <c r="AV1112" s="63"/>
      <c r="AW1112" s="63"/>
      <c r="AX1112" s="63">
        <f>--ISNUMBER(IFERROR(SEARCH(Tempset!$M$4,AM1112,1),""))</f>
        <v>1</v>
      </c>
      <c r="AY1112" s="63">
        <f>IF(AX1112=1,COUNTIF($AX$3:AX1112,1),"")</f>
        <v>1110</v>
      </c>
      <c r="AZ1112" s="63" t="str">
        <f>IFERROR(INDEX($AM$3:$AM$1165,MATCH(ROWS($AY$3:AY1112),$AY$3:$AY$1165,0)),"")</f>
        <v>tradeStatus</v>
      </c>
    </row>
    <row r="1113" spans="39:52" x14ac:dyDescent="0.2">
      <c r="AM1113" s="63" t="s">
        <v>3234</v>
      </c>
      <c r="AN1113" s="63" t="s">
        <v>3235</v>
      </c>
      <c r="AO1113" s="63"/>
      <c r="AP1113" s="63"/>
      <c r="AQ1113" s="63"/>
      <c r="AR1113" s="63"/>
      <c r="AS1113" s="63"/>
      <c r="AT1113" s="63"/>
      <c r="AV1113" s="63"/>
      <c r="AW1113" s="63"/>
      <c r="AX1113" s="63">
        <f>--ISNUMBER(IFERROR(SEARCH(Tempset!$M$4,AM1113,1),""))</f>
        <v>1</v>
      </c>
      <c r="AY1113" s="63">
        <f>IF(AX1113=1,COUNTIF($AX$3:AX1113,1),"")</f>
        <v>1111</v>
      </c>
      <c r="AZ1113" s="63" t="str">
        <f>IFERROR(INDEX($AM$3:$AM$1165,MATCH(ROWS($AY$3:AY1113),$AY$3:$AY$1165,0)),"")</f>
        <v>tradingBookSecuritizationExposureValue</v>
      </c>
    </row>
    <row r="1114" spans="39:52" x14ac:dyDescent="0.2">
      <c r="AM1114" s="63" t="s">
        <v>3236</v>
      </c>
      <c r="AN1114" s="63" t="s">
        <v>3237</v>
      </c>
      <c r="AO1114" s="63"/>
      <c r="AP1114" s="63"/>
      <c r="AQ1114" s="63"/>
      <c r="AR1114" s="63"/>
      <c r="AS1114" s="63"/>
      <c r="AT1114" s="63"/>
      <c r="AV1114" s="63"/>
      <c r="AW1114" s="63"/>
      <c r="AX1114" s="63">
        <f>--ISNUMBER(IFERROR(SEARCH(Tempset!$M$4,AM1114,1),""))</f>
        <v>1</v>
      </c>
      <c r="AY1114" s="63">
        <f>IF(AX1114=1,COUNTIF($AX$3:AX1114,1),"")</f>
        <v>1112</v>
      </c>
      <c r="AZ1114" s="63" t="str">
        <f>IFERROR(INDEX($AM$3:$AM$1165,MATCH(ROWS($AY$3:AY1114),$AY$3:$AY$1165,0)),"")</f>
        <v>tradingIssuerDefaultLossAmount</v>
      </c>
    </row>
    <row r="1115" spans="39:52" x14ac:dyDescent="0.2">
      <c r="AM1115" s="63" t="s">
        <v>3238</v>
      </c>
      <c r="AN1115" s="63" t="s">
        <v>3239</v>
      </c>
      <c r="AO1115" s="63"/>
      <c r="AP1115" s="63"/>
      <c r="AQ1115" s="63"/>
      <c r="AR1115" s="63"/>
      <c r="AS1115" s="63"/>
      <c r="AT1115" s="63"/>
      <c r="AV1115" s="63"/>
      <c r="AW1115" s="63"/>
      <c r="AX1115" s="63">
        <f>--ISNUMBER(IFERROR(SEARCH(Tempset!$M$4,AM1115,1),""))</f>
        <v>1</v>
      </c>
      <c r="AY1115" s="63">
        <f>IF(AX1115=1,COUNTIF($AX$3:AX1115,1),"")</f>
        <v>1113</v>
      </c>
      <c r="AZ1115" s="63" t="str">
        <f>IFERROR(INDEX($AM$3:$AM$1165,MATCH(ROWS($AY$3:AY1115),$AY$3:$AY$1165,0)),"")</f>
        <v>trancheId</v>
      </c>
    </row>
    <row r="1116" spans="39:52" x14ac:dyDescent="0.2">
      <c r="AM1116" s="63" t="s">
        <v>3240</v>
      </c>
      <c r="AN1116" s="63" t="s">
        <v>3241</v>
      </c>
      <c r="AO1116" s="63"/>
      <c r="AP1116" s="63"/>
      <c r="AQ1116" s="63"/>
      <c r="AR1116" s="63"/>
      <c r="AS1116" s="63"/>
      <c r="AT1116" s="63"/>
      <c r="AV1116" s="63"/>
      <c r="AW1116" s="63"/>
      <c r="AX1116" s="63">
        <f>--ISNUMBER(IFERROR(SEARCH(Tempset!$M$4,AM1116,1),""))</f>
        <v>1</v>
      </c>
      <c r="AY1116" s="63">
        <f>IF(AX1116=1,COUNTIF($AX$3:AX1116,1),"")</f>
        <v>1114</v>
      </c>
      <c r="AZ1116" s="63" t="str">
        <f>IFERROR(INDEX($AM$3:$AM$1165,MATCH(ROWS($AY$3:AY1116),$AY$3:$AY$1165,0)),"")</f>
        <v>trancheMaturityDate</v>
      </c>
    </row>
    <row r="1117" spans="39:52" x14ac:dyDescent="0.2">
      <c r="AM1117" s="63" t="s">
        <v>3242</v>
      </c>
      <c r="AN1117" s="63" t="s">
        <v>3243</v>
      </c>
      <c r="AO1117" s="63"/>
      <c r="AP1117" s="63"/>
      <c r="AQ1117" s="63"/>
      <c r="AR1117" s="63"/>
      <c r="AS1117" s="63"/>
      <c r="AT1117" s="63"/>
      <c r="AV1117" s="63"/>
      <c r="AW1117" s="63"/>
      <c r="AX1117" s="63">
        <f>--ISNUMBER(IFERROR(SEARCH(Tempset!$M$4,AM1117,1),""))</f>
        <v>1</v>
      </c>
      <c r="AY1117" s="63">
        <f>IF(AX1117=1,COUNTIF($AX$3:AX1117,1),"")</f>
        <v>1115</v>
      </c>
      <c r="AZ1117" s="63" t="str">
        <f>IFERROR(INDEX($AM$3:$AM$1165,MATCH(ROWS($AY$3:AY1117),$AY$3:$AY$1165,0)),"")</f>
        <v>trancheMaturityDateType</v>
      </c>
    </row>
    <row r="1118" spans="39:52" x14ac:dyDescent="0.2">
      <c r="AM1118" s="63" t="s">
        <v>3244</v>
      </c>
      <c r="AN1118" s="63" t="s">
        <v>3245</v>
      </c>
      <c r="AO1118" s="63"/>
      <c r="AP1118" s="63"/>
      <c r="AQ1118" s="63"/>
      <c r="AR1118" s="63"/>
      <c r="AS1118" s="63"/>
      <c r="AT1118" s="63"/>
      <c r="AV1118" s="63"/>
      <c r="AW1118" s="63"/>
      <c r="AX1118" s="63">
        <f>--ISNUMBER(IFERROR(SEARCH(Tempset!$M$4,AM1118,1),""))</f>
        <v>1</v>
      </c>
      <c r="AY1118" s="63">
        <f>IF(AX1118=1,COUNTIF($AX$3:AX1118,1),"")</f>
        <v>1116</v>
      </c>
      <c r="AZ1118" s="63" t="str">
        <f>IFERROR(INDEX($AM$3:$AM$1165,MATCH(ROWS($AY$3:AY1118),$AY$3:$AY$1165,0)),"")</f>
        <v>trancheRating</v>
      </c>
    </row>
    <row r="1119" spans="39:52" x14ac:dyDescent="0.2">
      <c r="AM1119" s="63" t="s">
        <v>3246</v>
      </c>
      <c r="AN1119" s="63" t="s">
        <v>3247</v>
      </c>
      <c r="AO1119" s="63"/>
      <c r="AP1119" s="63"/>
      <c r="AQ1119" s="63"/>
      <c r="AR1119" s="63"/>
      <c r="AS1119" s="63"/>
      <c r="AT1119" s="63"/>
      <c r="AV1119" s="63"/>
      <c r="AW1119" s="63"/>
      <c r="AX1119" s="63">
        <f>--ISNUMBER(IFERROR(SEARCH(Tempset!$M$4,AM1119,1),""))</f>
        <v>1</v>
      </c>
      <c r="AY1119" s="63">
        <f>IF(AX1119=1,COUNTIF($AX$3:AX1119,1),"")</f>
        <v>1117</v>
      </c>
      <c r="AZ1119" s="63" t="str">
        <f>IFERROR(INDEX($AM$3:$AM$1165,MATCH(ROWS($AY$3:AY1119),$AY$3:$AY$1165,0)),"")</f>
        <v>transferPricingExpenses</v>
      </c>
    </row>
    <row r="1120" spans="39:52" x14ac:dyDescent="0.2">
      <c r="AM1120" s="63" t="s">
        <v>3248</v>
      </c>
      <c r="AN1120" s="63" t="s">
        <v>3249</v>
      </c>
      <c r="AO1120" s="63"/>
      <c r="AP1120" s="63"/>
      <c r="AQ1120" s="63"/>
      <c r="AR1120" s="63"/>
      <c r="AS1120" s="63"/>
      <c r="AT1120" s="63"/>
      <c r="AV1120" s="63"/>
      <c r="AW1120" s="63"/>
      <c r="AX1120" s="63">
        <f>--ISNUMBER(IFERROR(SEARCH(Tempset!$M$4,AM1120,1),""))</f>
        <v>1</v>
      </c>
      <c r="AY1120" s="63">
        <f>IF(AX1120=1,COUNTIF($AX$3:AX1120,1),"")</f>
        <v>1118</v>
      </c>
      <c r="AZ1120" s="63" t="str">
        <f>IFERROR(INDEX($AM$3:$AM$1165,MATCH(ROWS($AY$3:AY1120),$AY$3:$AY$1165,0)),"")</f>
        <v>treasuryHeldShares</v>
      </c>
    </row>
    <row r="1121" spans="39:52" x14ac:dyDescent="0.2">
      <c r="AM1121" s="63" t="s">
        <v>3250</v>
      </c>
      <c r="AN1121" s="63" t="s">
        <v>3251</v>
      </c>
      <c r="AO1121" s="63"/>
      <c r="AP1121" s="63"/>
      <c r="AQ1121" s="63"/>
      <c r="AR1121" s="63"/>
      <c r="AS1121" s="63"/>
      <c r="AT1121" s="63"/>
      <c r="AV1121" s="63"/>
      <c r="AW1121" s="63"/>
      <c r="AX1121" s="63">
        <f>--ISNUMBER(IFERROR(SEARCH(Tempset!$M$4,AM1121,1),""))</f>
        <v>1</v>
      </c>
      <c r="AY1121" s="63">
        <f>IF(AX1121=1,COUNTIF($AX$3:AX1121,1),"")</f>
        <v>1119</v>
      </c>
      <c r="AZ1121" s="63" t="str">
        <f>IFERROR(INDEX($AM$3:$AM$1165,MATCH(ROWS($AY$3:AY1121),$AY$3:$AY$1165,0)),"")</f>
        <v>treasuryPutCallComboOutstanding</v>
      </c>
    </row>
    <row r="1122" spans="39:52" x14ac:dyDescent="0.2">
      <c r="AM1122" s="63" t="s">
        <v>3252</v>
      </c>
      <c r="AN1122" s="63" t="s">
        <v>3253</v>
      </c>
      <c r="AO1122" s="63"/>
      <c r="AP1122" s="63"/>
      <c r="AQ1122" s="63"/>
      <c r="AR1122" s="63"/>
      <c r="AS1122" s="63"/>
      <c r="AT1122" s="63"/>
      <c r="AV1122" s="63"/>
      <c r="AW1122" s="63"/>
      <c r="AX1122" s="63">
        <f>--ISNUMBER(IFERROR(SEARCH(Tempset!$M$4,AM1122,1),""))</f>
        <v>1</v>
      </c>
      <c r="AY1122" s="63">
        <f>IF(AX1122=1,COUNTIF($AX$3:AX1122,1),"")</f>
        <v>1120</v>
      </c>
      <c r="AZ1122" s="63" t="str">
        <f>IFERROR(INDEX($AM$3:$AM$1165,MATCH(ROWS($AY$3:AY1122),$AY$3:$AY$1165,0)),"")</f>
        <v>triggerContractFlag</v>
      </c>
    </row>
    <row r="1123" spans="39:52" x14ac:dyDescent="0.2">
      <c r="AM1123" s="63" t="s">
        <v>3254</v>
      </c>
      <c r="AN1123" s="63" t="s">
        <v>3255</v>
      </c>
      <c r="AO1123" s="63"/>
      <c r="AP1123" s="63"/>
      <c r="AQ1123" s="63"/>
      <c r="AR1123" s="63"/>
      <c r="AS1123" s="63"/>
      <c r="AT1123" s="63"/>
      <c r="AV1123" s="63"/>
      <c r="AW1123" s="63"/>
      <c r="AX1123" s="63">
        <f>--ISNUMBER(IFERROR(SEARCH(Tempset!$M$4,AM1123,1),""))</f>
        <v>1</v>
      </c>
      <c r="AY1123" s="63">
        <f>IF(AX1123=1,COUNTIF($AX$3:AX1123,1),"")</f>
        <v>1121</v>
      </c>
      <c r="AZ1123" s="63" t="str">
        <f>IFERROR(INDEX($AM$3:$AM$1165,MATCH(ROWS($AY$3:AY1123),$AY$3:$AY$1165,0)),"")</f>
        <v>triggerLoanToValue</v>
      </c>
    </row>
    <row r="1124" spans="39:52" x14ac:dyDescent="0.2">
      <c r="AM1124" s="63" t="s">
        <v>3256</v>
      </c>
      <c r="AN1124" s="63" t="s">
        <v>3257</v>
      </c>
      <c r="AO1124" s="63"/>
      <c r="AP1124" s="63"/>
      <c r="AQ1124" s="63"/>
      <c r="AR1124" s="63"/>
      <c r="AS1124" s="63"/>
      <c r="AT1124" s="63"/>
      <c r="AV1124" s="63"/>
      <c r="AW1124" s="63"/>
      <c r="AX1124" s="63">
        <f>--ISNUMBER(IFERROR(SEARCH(Tempset!$M$4,AM1124,1),""))</f>
        <v>1</v>
      </c>
      <c r="AY1124" s="63">
        <f>IF(AX1124=1,COUNTIF($AX$3:AX1124,1),"")</f>
        <v>1122</v>
      </c>
      <c r="AZ1124" s="63" t="str">
        <f>IFERROR(INDEX($AM$3:$AM$1165,MATCH(ROWS($AY$3:AY1124),$AY$3:$AY$1165,0)),"")</f>
        <v>triggerProbability</v>
      </c>
    </row>
    <row r="1125" spans="39:52" x14ac:dyDescent="0.2">
      <c r="AM1125" s="63" t="s">
        <v>3258</v>
      </c>
      <c r="AN1125" s="63" t="s">
        <v>3259</v>
      </c>
      <c r="AO1125" s="63"/>
      <c r="AP1125" s="63"/>
      <c r="AQ1125" s="63"/>
      <c r="AR1125" s="63"/>
      <c r="AS1125" s="63"/>
      <c r="AT1125" s="63"/>
      <c r="AV1125" s="63"/>
      <c r="AW1125" s="63"/>
      <c r="AX1125" s="63">
        <f>--ISNUMBER(IFERROR(SEARCH(Tempset!$M$4,AM1125,1),""))</f>
        <v>1</v>
      </c>
      <c r="AY1125" s="63">
        <f>IF(AX1125=1,COUNTIF($AX$3:AX1125,1),"")</f>
        <v>1123</v>
      </c>
      <c r="AZ1125" s="63" t="str">
        <f>IFERROR(INDEX($AM$3:$AM$1165,MATCH(ROWS($AY$3:AY1125),$AY$3:$AY$1165,0)),"")</f>
        <v>underlyingAssetClass</v>
      </c>
    </row>
    <row r="1126" spans="39:52" x14ac:dyDescent="0.2">
      <c r="AM1126" s="63" t="s">
        <v>3260</v>
      </c>
      <c r="AN1126" s="63" t="s">
        <v>3261</v>
      </c>
      <c r="AO1126" s="63"/>
      <c r="AP1126" s="63"/>
      <c r="AQ1126" s="63"/>
      <c r="AR1126" s="63"/>
      <c r="AS1126" s="63"/>
      <c r="AT1126" s="63"/>
      <c r="AV1126" s="63"/>
      <c r="AW1126" s="63"/>
      <c r="AX1126" s="63">
        <f>--ISNUMBER(IFERROR(SEARCH(Tempset!$M$4,AM1126,1),""))</f>
        <v>1</v>
      </c>
      <c r="AY1126" s="63">
        <f>IF(AX1126=1,COUNTIF($AX$3:AX1126,1),"")</f>
        <v>1124</v>
      </c>
      <c r="AZ1126" s="63" t="str">
        <f>IFERROR(INDEX($AM$3:$AM$1165,MATCH(ROWS($AY$3:AY1126),$AY$3:$AY$1165,0)),"")</f>
        <v>underlyingCurrency</v>
      </c>
    </row>
    <row r="1127" spans="39:52" x14ac:dyDescent="0.2">
      <c r="AM1127" s="63" t="s">
        <v>3262</v>
      </c>
      <c r="AN1127" s="63" t="s">
        <v>3263</v>
      </c>
      <c r="AO1127" s="63"/>
      <c r="AP1127" s="63"/>
      <c r="AQ1127" s="63"/>
      <c r="AR1127" s="63"/>
      <c r="AS1127" s="63"/>
      <c r="AT1127" s="63"/>
      <c r="AV1127" s="63"/>
      <c r="AW1127" s="63"/>
      <c r="AX1127" s="63">
        <f>--ISNUMBER(IFERROR(SEARCH(Tempset!$M$4,AM1127,1),""))</f>
        <v>1</v>
      </c>
      <c r="AY1127" s="63">
        <f>IF(AX1127=1,COUNTIF($AX$3:AX1127,1),"")</f>
        <v>1125</v>
      </c>
      <c r="AZ1127" s="63" t="str">
        <f>IFERROR(INDEX($AM$3:$AM$1165,MATCH(ROWS($AY$3:AY1127),$AY$3:$AY$1165,0)),"")</f>
        <v>underlyingEffectiveDate</v>
      </c>
    </row>
    <row r="1128" spans="39:52" x14ac:dyDescent="0.2">
      <c r="AM1128" s="63" t="s">
        <v>3264</v>
      </c>
      <c r="AN1128" s="63" t="s">
        <v>3265</v>
      </c>
      <c r="AO1128" s="63"/>
      <c r="AP1128" s="63"/>
      <c r="AQ1128" s="63"/>
      <c r="AR1128" s="63"/>
      <c r="AS1128" s="63"/>
      <c r="AT1128" s="63"/>
      <c r="AV1128" s="63"/>
      <c r="AW1128" s="63"/>
      <c r="AX1128" s="63">
        <f>--ISNUMBER(IFERROR(SEARCH(Tempset!$M$4,AM1128,1),""))</f>
        <v>1</v>
      </c>
      <c r="AY1128" s="63">
        <f>IF(AX1128=1,COUNTIF($AX$3:AX1128,1),"")</f>
        <v>1126</v>
      </c>
      <c r="AZ1128" s="63" t="str">
        <f>IFERROR(INDEX($AM$3:$AM$1165,MATCH(ROWS($AY$3:AY1128),$AY$3:$AY$1165,0)),"")</f>
        <v>underlyingId</v>
      </c>
    </row>
    <row r="1129" spans="39:52" x14ac:dyDescent="0.2">
      <c r="AM1129" s="63" t="s">
        <v>3266</v>
      </c>
      <c r="AN1129" s="63" t="s">
        <v>3267</v>
      </c>
      <c r="AO1129" s="63"/>
      <c r="AP1129" s="63"/>
      <c r="AQ1129" s="63"/>
      <c r="AR1129" s="63"/>
      <c r="AS1129" s="63"/>
      <c r="AT1129" s="63"/>
      <c r="AV1129" s="63"/>
      <c r="AW1129" s="63"/>
      <c r="AX1129" s="63">
        <f>--ISNUMBER(IFERROR(SEARCH(Tempset!$M$4,AM1129,1),""))</f>
        <v>1</v>
      </c>
      <c r="AY1129" s="63">
        <f>IF(AX1129=1,COUNTIF($AX$3:AX1129,1),"")</f>
        <v>1127</v>
      </c>
      <c r="AZ1129" s="63" t="str">
        <f>IFERROR(INDEX($AM$3:$AM$1165,MATCH(ROWS($AY$3:AY1129),$AY$3:$AY$1165,0)),"")</f>
        <v>underlyingProductExchangeId</v>
      </c>
    </row>
    <row r="1130" spans="39:52" x14ac:dyDescent="0.2">
      <c r="AM1130" s="63" t="s">
        <v>3268</v>
      </c>
      <c r="AN1130" s="63" t="s">
        <v>3269</v>
      </c>
      <c r="AO1130" s="63"/>
      <c r="AP1130" s="63"/>
      <c r="AQ1130" s="63"/>
      <c r="AR1130" s="63"/>
      <c r="AS1130" s="63"/>
      <c r="AT1130" s="63"/>
      <c r="AV1130" s="63"/>
      <c r="AW1130" s="63"/>
      <c r="AX1130" s="63">
        <f>--ISNUMBER(IFERROR(SEARCH(Tempset!$M$4,AM1130,1),""))</f>
        <v>1</v>
      </c>
      <c r="AY1130" s="63">
        <f>IF(AX1130=1,COUNTIF($AX$3:AX1130,1),"")</f>
        <v>1128</v>
      </c>
      <c r="AZ1130" s="63" t="str">
        <f>IFERROR(INDEX($AM$3:$AM$1165,MATCH(ROWS($AY$3:AY1130),$AY$3:$AY$1165,0)),"")</f>
        <v>underlyingTypeCode</v>
      </c>
    </row>
    <row r="1131" spans="39:52" x14ac:dyDescent="0.2">
      <c r="AM1131" s="63" t="s">
        <v>3270</v>
      </c>
      <c r="AN1131" s="63" t="s">
        <v>3271</v>
      </c>
      <c r="AO1131" s="63"/>
      <c r="AP1131" s="63"/>
      <c r="AQ1131" s="63"/>
      <c r="AR1131" s="63"/>
      <c r="AS1131" s="63"/>
      <c r="AT1131" s="63"/>
      <c r="AV1131" s="63"/>
      <c r="AW1131" s="63"/>
      <c r="AX1131" s="63">
        <f>--ISNUMBER(IFERROR(SEARCH(Tempset!$M$4,AM1131,1),""))</f>
        <v>1</v>
      </c>
      <c r="AY1131" s="63">
        <f>IF(AX1131=1,COUNTIF($AX$3:AX1131,1),"")</f>
        <v>1129</v>
      </c>
      <c r="AZ1131" s="63" t="str">
        <f>IFERROR(INDEX($AM$3:$AM$1165,MATCH(ROWS($AY$3:AY1131),$AY$3:$AY$1165,0)),"")</f>
        <v>unfundedAmount</v>
      </c>
    </row>
    <row r="1132" spans="39:52" x14ac:dyDescent="0.2">
      <c r="AM1132" s="63" t="s">
        <v>3272</v>
      </c>
      <c r="AN1132" s="63" t="s">
        <v>3273</v>
      </c>
      <c r="AO1132" s="63"/>
      <c r="AP1132" s="63"/>
      <c r="AQ1132" s="63"/>
      <c r="AR1132" s="63"/>
      <c r="AS1132" s="63"/>
      <c r="AT1132" s="63"/>
      <c r="AV1132" s="63"/>
      <c r="AW1132" s="63"/>
      <c r="AX1132" s="63">
        <f>--ISNUMBER(IFERROR(SEARCH(Tempset!$M$4,AM1132,1),""))</f>
        <v>1</v>
      </c>
      <c r="AY1132" s="63">
        <f>IF(AX1132=1,COUNTIF($AX$3:AX1132,1),"")</f>
        <v>1130</v>
      </c>
      <c r="AZ1132" s="63" t="str">
        <f>IFERROR(INDEX($AM$3:$AM$1165,MATCH(ROWS($AY$3:AY1132),$AY$3:$AY$1165,0)),"")</f>
        <v>unityFXTKey</v>
      </c>
    </row>
    <row r="1133" spans="39:52" x14ac:dyDescent="0.2">
      <c r="AM1133" s="63" t="s">
        <v>3274</v>
      </c>
      <c r="AN1133" s="63" t="s">
        <v>3275</v>
      </c>
      <c r="AO1133" s="63"/>
      <c r="AP1133" s="63"/>
      <c r="AQ1133" s="63"/>
      <c r="AR1133" s="63"/>
      <c r="AS1133" s="63"/>
      <c r="AT1133" s="63"/>
      <c r="AV1133" s="63"/>
      <c r="AW1133" s="63"/>
      <c r="AX1133" s="63">
        <f>--ISNUMBER(IFERROR(SEARCH(Tempset!$M$4,AM1133,1),""))</f>
        <v>1</v>
      </c>
      <c r="AY1133" s="63">
        <f>IF(AX1133=1,COUNTIF($AX$3:AX1133,1),"")</f>
        <v>1131</v>
      </c>
      <c r="AZ1133" s="63" t="str">
        <f>IFERROR(INDEX($AM$3:$AM$1165,MATCH(ROWS($AY$3:AY1133),$AY$3:$AY$1165,0)),"")</f>
        <v>unityKey</v>
      </c>
    </row>
    <row r="1134" spans="39:52" x14ac:dyDescent="0.2">
      <c r="AM1134" s="63" t="s">
        <v>3276</v>
      </c>
      <c r="AN1134" s="63" t="s">
        <v>3277</v>
      </c>
      <c r="AO1134" s="63"/>
      <c r="AP1134" s="63"/>
      <c r="AQ1134" s="63"/>
      <c r="AR1134" s="63"/>
      <c r="AS1134" s="63"/>
      <c r="AT1134" s="63"/>
      <c r="AV1134" s="63"/>
      <c r="AW1134" s="63"/>
      <c r="AX1134" s="63">
        <f>--ISNUMBER(IFERROR(SEARCH(Tempset!$M$4,AM1134,1),""))</f>
        <v>1</v>
      </c>
      <c r="AY1134" s="63">
        <f>IF(AX1134=1,COUNTIF($AX$3:AX1134,1),"")</f>
        <v>1132</v>
      </c>
      <c r="AZ1134" s="63" t="str">
        <f>IFERROR(INDEX($AM$3:$AM$1165,MATCH(ROWS($AY$3:AY1134),$AY$3:$AY$1165,0)),"")</f>
        <v>unstressedProvisionBufferValue</v>
      </c>
    </row>
    <row r="1135" spans="39:52" x14ac:dyDescent="0.2">
      <c r="AM1135" s="63" t="s">
        <v>3278</v>
      </c>
      <c r="AN1135" s="63" t="s">
        <v>3279</v>
      </c>
      <c r="AO1135" s="63"/>
      <c r="AP1135" s="63"/>
      <c r="AQ1135" s="63"/>
      <c r="AR1135" s="63"/>
      <c r="AS1135" s="63"/>
      <c r="AT1135" s="63"/>
      <c r="AV1135" s="63"/>
      <c r="AW1135" s="63"/>
      <c r="AX1135" s="63">
        <f>--ISNUMBER(IFERROR(SEARCH(Tempset!$M$4,AM1135,1),""))</f>
        <v>1</v>
      </c>
      <c r="AY1135" s="63">
        <f>IF(AX1135=1,COUNTIF($AX$3:AX1135,1),"")</f>
        <v>1133</v>
      </c>
      <c r="AZ1135" s="63" t="str">
        <f>IFERROR(INDEX($AM$3:$AM$1165,MATCH(ROWS($AY$3:AY1135),$AY$3:$AY$1165,0)),"")</f>
        <v>USGAAPValue</v>
      </c>
    </row>
    <row r="1136" spans="39:52" x14ac:dyDescent="0.2">
      <c r="AM1136" s="63" t="s">
        <v>3280</v>
      </c>
      <c r="AN1136" s="63" t="s">
        <v>3281</v>
      </c>
      <c r="AO1136" s="63"/>
      <c r="AP1136" s="63"/>
      <c r="AQ1136" s="63"/>
      <c r="AR1136" s="63"/>
      <c r="AS1136" s="63"/>
      <c r="AT1136" s="63"/>
      <c r="AV1136" s="63"/>
      <c r="AW1136" s="63"/>
      <c r="AX1136" s="63">
        <f>--ISNUMBER(IFERROR(SEARCH(Tempset!$M$4,AM1136,1),""))</f>
        <v>1</v>
      </c>
      <c r="AY1136" s="63">
        <f>IF(AX1136=1,COUNTIF($AX$3:AX1136,1),"")</f>
        <v>1134</v>
      </c>
      <c r="AZ1136" s="63" t="str">
        <f>IFERROR(INDEX($AM$3:$AM$1165,MATCH(ROWS($AY$3:AY1136),$AY$3:$AY$1165,0)),"")</f>
        <v>valuationModelName</v>
      </c>
    </row>
    <row r="1137" spans="39:52" x14ac:dyDescent="0.2">
      <c r="AM1137" s="63" t="s">
        <v>3282</v>
      </c>
      <c r="AN1137" s="63" t="s">
        <v>3283</v>
      </c>
      <c r="AO1137" s="63"/>
      <c r="AP1137" s="63"/>
      <c r="AQ1137" s="63"/>
      <c r="AR1137" s="63"/>
      <c r="AS1137" s="63"/>
      <c r="AT1137" s="63"/>
      <c r="AV1137" s="63"/>
      <c r="AW1137" s="63"/>
      <c r="AX1137" s="63">
        <f>--ISNUMBER(IFERROR(SEARCH(Tempset!$M$4,AM1137,1),""))</f>
        <v>1</v>
      </c>
      <c r="AY1137" s="63">
        <f>IF(AX1137=1,COUNTIF($AX$3:AX1137,1),"")</f>
        <v>1135</v>
      </c>
      <c r="AZ1137" s="63" t="str">
        <f>IFERROR(INDEX($AM$3:$AM$1165,MATCH(ROWS($AY$3:AY1137),$AY$3:$AY$1165,0)),"")</f>
        <v>valueToLoan</v>
      </c>
    </row>
    <row r="1138" spans="39:52" x14ac:dyDescent="0.2">
      <c r="AM1138" s="63" t="s">
        <v>3284</v>
      </c>
      <c r="AN1138" s="63" t="s">
        <v>3285</v>
      </c>
      <c r="AO1138" s="63"/>
      <c r="AP1138" s="63"/>
      <c r="AQ1138" s="63"/>
      <c r="AR1138" s="63"/>
      <c r="AS1138" s="63"/>
      <c r="AT1138" s="63"/>
      <c r="AV1138" s="63"/>
      <c r="AW1138" s="63"/>
      <c r="AX1138" s="63">
        <f>--ISNUMBER(IFERROR(SEARCH(Tempset!$M$4,AM1138,1),""))</f>
        <v>1</v>
      </c>
      <c r="AY1138" s="63">
        <f>IF(AX1138=1,COUNTIF($AX$3:AX1138,1),"")</f>
        <v>1136</v>
      </c>
      <c r="AZ1138" s="63" t="str">
        <f>IFERROR(INDEX($AM$3:$AM$1165,MATCH(ROWS($AY$3:AY1138),$AY$3:$AY$1165,0)),"")</f>
        <v>VaRCalculationMethod</v>
      </c>
    </row>
    <row r="1139" spans="39:52" x14ac:dyDescent="0.2">
      <c r="AM1139" s="63" t="s">
        <v>3286</v>
      </c>
      <c r="AN1139" s="63" t="s">
        <v>3287</v>
      </c>
      <c r="AO1139" s="63"/>
      <c r="AP1139" s="63"/>
      <c r="AQ1139" s="63"/>
      <c r="AR1139" s="63"/>
      <c r="AS1139" s="63"/>
      <c r="AT1139" s="63"/>
      <c r="AV1139" s="63"/>
      <c r="AW1139" s="63"/>
      <c r="AX1139" s="63">
        <f>--ISNUMBER(IFERROR(SEARCH(Tempset!$M$4,AM1139,1),""))</f>
        <v>1</v>
      </c>
      <c r="AY1139" s="63">
        <f>IF(AX1139=1,COUNTIF($AX$3:AX1139,1),"")</f>
        <v>1137</v>
      </c>
      <c r="AZ1139" s="63" t="str">
        <f>IFERROR(INDEX($AM$3:$AM$1165,MATCH(ROWS($AY$3:AY1139),$AY$3:$AY$1165,0)),"")</f>
        <v>variationHeld</v>
      </c>
    </row>
    <row r="1140" spans="39:52" x14ac:dyDescent="0.2">
      <c r="AM1140" s="63" t="s">
        <v>3288</v>
      </c>
      <c r="AN1140" s="63" t="s">
        <v>3289</v>
      </c>
      <c r="AO1140" s="63"/>
      <c r="AP1140" s="63"/>
      <c r="AQ1140" s="63"/>
      <c r="AR1140" s="63"/>
      <c r="AS1140" s="63"/>
      <c r="AT1140" s="63"/>
      <c r="AV1140" s="63"/>
      <c r="AW1140" s="63"/>
      <c r="AX1140" s="63">
        <f>--ISNUMBER(IFERROR(SEARCH(Tempset!$M$4,AM1140,1),""))</f>
        <v>1</v>
      </c>
      <c r="AY1140" s="63">
        <f>IF(AX1140=1,COUNTIF($AX$3:AX1140,1),"")</f>
        <v>1138</v>
      </c>
      <c r="AZ1140" s="63" t="str">
        <f>IFERROR(INDEX($AM$3:$AM$1165,MATCH(ROWS($AY$3:AY1140),$AY$3:$AY$1165,0)),"")</f>
        <v>variationMarginCALLK</v>
      </c>
    </row>
    <row r="1141" spans="39:52" x14ac:dyDescent="0.2">
      <c r="AM1141" s="63" t="s">
        <v>3290</v>
      </c>
      <c r="AN1141" s="63" t="s">
        <v>3291</v>
      </c>
      <c r="AO1141" s="63"/>
      <c r="AP1141" s="63"/>
      <c r="AQ1141" s="63"/>
      <c r="AR1141" s="63"/>
      <c r="AS1141" s="63"/>
      <c r="AT1141" s="63"/>
      <c r="AV1141" s="63"/>
      <c r="AW1141" s="63"/>
      <c r="AX1141" s="63">
        <f>--ISNUMBER(IFERROR(SEARCH(Tempset!$M$4,AM1141,1),""))</f>
        <v>1</v>
      </c>
      <c r="AY1141" s="63">
        <f>IF(AX1141=1,COUNTIF($AX$3:AX1141,1),"")</f>
        <v>1139</v>
      </c>
      <c r="AZ1141" s="63" t="str">
        <f>IFERROR(INDEX($AM$3:$AM$1165,MATCH(ROWS($AY$3:AY1141),$AY$3:$AY$1165,0)),"")</f>
        <v>variationPledged</v>
      </c>
    </row>
    <row r="1142" spans="39:52" x14ac:dyDescent="0.2">
      <c r="AM1142" s="63" t="s">
        <v>3292</v>
      </c>
      <c r="AN1142" s="63" t="s">
        <v>3293</v>
      </c>
      <c r="AO1142" s="63"/>
      <c r="AP1142" s="63"/>
      <c r="AQ1142" s="63"/>
      <c r="AR1142" s="63"/>
      <c r="AS1142" s="63"/>
      <c r="AT1142" s="63"/>
      <c r="AV1142" s="63"/>
      <c r="AW1142" s="63"/>
      <c r="AX1142" s="63">
        <f>--ISNUMBER(IFERROR(SEARCH(Tempset!$M$4,AM1142,1),""))</f>
        <v>1</v>
      </c>
      <c r="AY1142" s="63">
        <f>IF(AX1142=1,COUNTIF($AX$3:AX1142,1),"")</f>
        <v>1140</v>
      </c>
      <c r="AZ1142" s="63" t="str">
        <f>IFERROR(INDEX($AM$3:$AM$1165,MATCH(ROWS($AY$3:AY1142),$AY$3:$AY$1165,0)),"")</f>
        <v>VaRValue</v>
      </c>
    </row>
    <row r="1143" spans="39:52" x14ac:dyDescent="0.2">
      <c r="AM1143" s="63" t="s">
        <v>3294</v>
      </c>
      <c r="AN1143" s="63" t="s">
        <v>3295</v>
      </c>
      <c r="AO1143" s="63"/>
      <c r="AP1143" s="63"/>
      <c r="AQ1143" s="63"/>
      <c r="AR1143" s="63"/>
      <c r="AS1143" s="63"/>
      <c r="AT1143" s="63"/>
      <c r="AV1143" s="63"/>
      <c r="AW1143" s="63"/>
      <c r="AX1143" s="63">
        <f>--ISNUMBER(IFERROR(SEARCH(Tempset!$M$4,AM1143,1),""))</f>
        <v>1</v>
      </c>
      <c r="AY1143" s="63">
        <f>IF(AX1143=1,COUNTIF($AX$3:AX1143,1),"")</f>
        <v>1141</v>
      </c>
      <c r="AZ1143" s="63" t="str">
        <f>IFERROR(INDEX($AM$3:$AM$1165,MATCH(ROWS($AY$3:AY1143),$AY$3:$AY$1165,0)),"")</f>
        <v>VaRValueCurrency</v>
      </c>
    </row>
    <row r="1144" spans="39:52" x14ac:dyDescent="0.2">
      <c r="AM1144" s="63" t="s">
        <v>3296</v>
      </c>
      <c r="AN1144" s="63" t="s">
        <v>3297</v>
      </c>
      <c r="AO1144" s="63"/>
      <c r="AP1144" s="63"/>
      <c r="AQ1144" s="63"/>
      <c r="AR1144" s="63"/>
      <c r="AS1144" s="63"/>
      <c r="AT1144" s="63"/>
      <c r="AV1144" s="63"/>
      <c r="AW1144" s="63"/>
      <c r="AX1144" s="63">
        <f>--ISNUMBER(IFERROR(SEARCH(Tempset!$M$4,AM1144,1),""))</f>
        <v>1</v>
      </c>
      <c r="AY1144" s="63">
        <f>IF(AX1144=1,COUNTIF($AX$3:AX1144,1),"")</f>
        <v>1142</v>
      </c>
      <c r="AZ1144" s="63" t="str">
        <f>IFERROR(INDEX($AM$3:$AM$1165,MATCH(ROWS($AY$3:AY1144),$AY$3:$AY$1165,0)),"")</f>
        <v>vegaType</v>
      </c>
    </row>
    <row r="1145" spans="39:52" x14ac:dyDescent="0.2">
      <c r="AM1145" s="63" t="s">
        <v>3298</v>
      </c>
      <c r="AN1145" s="63" t="s">
        <v>3299</v>
      </c>
      <c r="AO1145" s="63"/>
      <c r="AP1145" s="63"/>
      <c r="AQ1145" s="63"/>
      <c r="AR1145" s="63"/>
      <c r="AS1145" s="63"/>
      <c r="AT1145" s="63"/>
      <c r="AV1145" s="63"/>
      <c r="AW1145" s="63"/>
      <c r="AX1145" s="63">
        <f>--ISNUMBER(IFERROR(SEARCH(Tempset!$M$4,AM1145,1),""))</f>
        <v>1</v>
      </c>
      <c r="AY1145" s="63">
        <f>IF(AX1145=1,COUNTIF($AX$3:AX1145,1),"")</f>
        <v>1143</v>
      </c>
      <c r="AZ1145" s="63" t="str">
        <f>IFERROR(INDEX($AM$3:$AM$1165,MATCH(ROWS($AY$3:AY1145),$AY$3:$AY$1165,0)),"")</f>
        <v>versionLGD</v>
      </c>
    </row>
    <row r="1146" spans="39:52" x14ac:dyDescent="0.2">
      <c r="AM1146" s="63" t="s">
        <v>3300</v>
      </c>
      <c r="AN1146" s="63" t="s">
        <v>3301</v>
      </c>
      <c r="AO1146" s="63"/>
      <c r="AP1146" s="63"/>
      <c r="AQ1146" s="63"/>
      <c r="AR1146" s="63"/>
      <c r="AS1146" s="63"/>
      <c r="AT1146" s="63"/>
      <c r="AV1146" s="63"/>
      <c r="AW1146" s="63"/>
      <c r="AX1146" s="63">
        <f>--ISNUMBER(IFERROR(SEARCH(Tempset!$M$4,AM1146,1),""))</f>
        <v>1</v>
      </c>
      <c r="AY1146" s="63">
        <f>IF(AX1146=1,COUNTIF($AX$3:AX1146,1),"")</f>
        <v>1144</v>
      </c>
      <c r="AZ1146" s="63" t="str">
        <f>IFERROR(INDEX($AM$3:$AM$1165,MATCH(ROWS($AY$3:AY1146),$AY$3:$AY$1165,0)),"")</f>
        <v>volatilityFactor</v>
      </c>
    </row>
    <row r="1147" spans="39:52" x14ac:dyDescent="0.2">
      <c r="AM1147" s="63" t="s">
        <v>3302</v>
      </c>
      <c r="AN1147" s="63" t="s">
        <v>3303</v>
      </c>
      <c r="AO1147" s="63"/>
      <c r="AP1147" s="63"/>
      <c r="AQ1147" s="63"/>
      <c r="AR1147" s="63"/>
      <c r="AS1147" s="63"/>
      <c r="AT1147" s="63"/>
      <c r="AV1147" s="63"/>
      <c r="AW1147" s="63"/>
      <c r="AX1147" s="63">
        <f>--ISNUMBER(IFERROR(SEARCH(Tempset!$M$4,AM1147,1),""))</f>
        <v>1</v>
      </c>
      <c r="AY1147" s="63">
        <f>IF(AX1147=1,COUNTIF($AX$3:AX1147,1),"")</f>
        <v>1145</v>
      </c>
      <c r="AZ1147" s="63" t="str">
        <f>IFERROR(INDEX($AM$3:$AM$1165,MATCH(ROWS($AY$3:AY1147),$AY$3:$AY$1165,0)),"")</f>
        <v>volatilityFlag</v>
      </c>
    </row>
    <row r="1148" spans="39:52" x14ac:dyDescent="0.2">
      <c r="AM1148" s="63" t="s">
        <v>3304</v>
      </c>
      <c r="AN1148" s="63" t="s">
        <v>3305</v>
      </c>
      <c r="AO1148" s="63"/>
      <c r="AP1148" s="63"/>
      <c r="AQ1148" s="63"/>
      <c r="AR1148" s="63"/>
      <c r="AS1148" s="63"/>
      <c r="AT1148" s="63"/>
      <c r="AV1148" s="63"/>
      <c r="AW1148" s="63"/>
      <c r="AX1148" s="63">
        <f>--ISNUMBER(IFERROR(SEARCH(Tempset!$M$4,AM1148,1),""))</f>
        <v>1</v>
      </c>
      <c r="AY1148" s="63">
        <f>IF(AX1148=1,COUNTIF($AX$3:AX1148,1),"")</f>
        <v>1146</v>
      </c>
      <c r="AZ1148" s="63" t="str">
        <f>IFERROR(INDEX($AM$3:$AM$1165,MATCH(ROWS($AY$3:AY1148),$AY$3:$AY$1165,0)),"")</f>
        <v>volatilityTrade</v>
      </c>
    </row>
    <row r="1149" spans="39:52" x14ac:dyDescent="0.2">
      <c r="AM1149" s="63" t="s">
        <v>3306</v>
      </c>
      <c r="AN1149" s="63" t="s">
        <v>3307</v>
      </c>
      <c r="AO1149" s="63"/>
      <c r="AP1149" s="63"/>
      <c r="AQ1149" s="63"/>
      <c r="AR1149" s="63"/>
      <c r="AS1149" s="63"/>
      <c r="AT1149" s="63"/>
      <c r="AV1149" s="63"/>
      <c r="AW1149" s="63"/>
      <c r="AX1149" s="63">
        <f>--ISNUMBER(IFERROR(SEARCH(Tempset!$M$4,AM1149,1),""))</f>
        <v>1</v>
      </c>
      <c r="AY1149" s="63">
        <f>IF(AX1149=1,COUNTIF($AX$3:AX1149,1),"")</f>
        <v>1147</v>
      </c>
      <c r="AZ1149" s="63" t="str">
        <f>IFERROR(INDEX($AM$3:$AM$1165,MATCH(ROWS($AY$3:AY1149),$AY$3:$AY$1165,0)),"")</f>
        <v>volckerAdjustment</v>
      </c>
    </row>
    <row r="1150" spans="39:52" x14ac:dyDescent="0.2">
      <c r="AM1150" s="63" t="s">
        <v>3308</v>
      </c>
      <c r="AN1150" s="63" t="s">
        <v>3309</v>
      </c>
      <c r="AO1150" s="63"/>
      <c r="AP1150" s="63"/>
      <c r="AQ1150" s="63"/>
      <c r="AR1150" s="63"/>
      <c r="AS1150" s="63"/>
      <c r="AT1150" s="63"/>
      <c r="AV1150" s="63"/>
      <c r="AW1150" s="63"/>
      <c r="AX1150" s="63">
        <f>--ISNUMBER(IFERROR(SEARCH(Tempset!$M$4,AM1150,1),""))</f>
        <v>1</v>
      </c>
      <c r="AY1150" s="63">
        <f>IF(AX1150=1,COUNTIF($AX$3:AX1150,1),"")</f>
        <v>1148</v>
      </c>
      <c r="AZ1150" s="63" t="str">
        <f>IFERROR(INDEX($AM$3:$AM$1165,MATCH(ROWS($AY$3:AY1150),$AY$3:$AY$1165,0)),"")</f>
        <v>watchlistEndDate</v>
      </c>
    </row>
    <row r="1151" spans="39:52" x14ac:dyDescent="0.2">
      <c r="AM1151" s="63" t="s">
        <v>3310</v>
      </c>
      <c r="AN1151" s="63" t="s">
        <v>3311</v>
      </c>
      <c r="AO1151" s="63"/>
      <c r="AP1151" s="63"/>
      <c r="AQ1151" s="63"/>
      <c r="AR1151" s="63"/>
      <c r="AS1151" s="63"/>
      <c r="AT1151" s="63"/>
      <c r="AV1151" s="63"/>
      <c r="AW1151" s="63"/>
      <c r="AX1151" s="63">
        <f>--ISNUMBER(IFERROR(SEARCH(Tempset!$M$4,AM1151,1),""))</f>
        <v>1</v>
      </c>
      <c r="AY1151" s="63">
        <f>IF(AX1151=1,COUNTIF($AX$3:AX1151,1),"")</f>
        <v>1149</v>
      </c>
      <c r="AZ1151" s="63" t="str">
        <f>IFERROR(INDEX($AM$3:$AM$1165,MATCH(ROWS($AY$3:AY1151),$AY$3:$AY$1165,0)),"")</f>
        <v>watchlistFlag</v>
      </c>
    </row>
    <row r="1152" spans="39:52" x14ac:dyDescent="0.2">
      <c r="AM1152" s="63" t="s">
        <v>3312</v>
      </c>
      <c r="AN1152" s="63" t="s">
        <v>3313</v>
      </c>
      <c r="AO1152" s="63"/>
      <c r="AP1152" s="63"/>
      <c r="AQ1152" s="63"/>
      <c r="AR1152" s="63"/>
      <c r="AS1152" s="63"/>
      <c r="AT1152" s="63"/>
      <c r="AV1152" s="63"/>
      <c r="AW1152" s="63"/>
      <c r="AX1152" s="63">
        <f>--ISNUMBER(IFERROR(SEARCH(Tempset!$M$4,AM1152,1),""))</f>
        <v>1</v>
      </c>
      <c r="AY1152" s="63">
        <f>IF(AX1152=1,COUNTIF($AX$3:AX1152,1),"")</f>
        <v>1150</v>
      </c>
      <c r="AZ1152" s="63" t="str">
        <f>IFERROR(INDEX($AM$3:$AM$1165,MATCH(ROWS($AY$3:AY1152),$AY$3:$AY$1165,0)),"")</f>
        <v>watchlistStartDate</v>
      </c>
    </row>
    <row r="1153" spans="39:52" x14ac:dyDescent="0.2">
      <c r="AM1153" s="63" t="s">
        <v>3314</v>
      </c>
      <c r="AN1153" s="63" t="s">
        <v>3315</v>
      </c>
      <c r="AO1153" s="63"/>
      <c r="AP1153" s="63"/>
      <c r="AQ1153" s="63"/>
      <c r="AR1153" s="63"/>
      <c r="AS1153" s="63"/>
      <c r="AT1153" s="63"/>
      <c r="AV1153" s="63"/>
      <c r="AW1153" s="63"/>
      <c r="AX1153" s="63">
        <f>--ISNUMBER(IFERROR(SEARCH(Tempset!$M$4,AM1153,1),""))</f>
        <v>1</v>
      </c>
      <c r="AY1153" s="63">
        <f>IF(AX1153=1,COUNTIF($AX$3:AX1153,1),"")</f>
        <v>1151</v>
      </c>
      <c r="AZ1153" s="63" t="str">
        <f>IFERROR(INDEX($AM$3:$AM$1165,MATCH(ROWS($AY$3:AY1153),$AY$3:$AY$1165,0)),"")</f>
        <v>weightedAverageLife</v>
      </c>
    </row>
    <row r="1154" spans="39:52" x14ac:dyDescent="0.2">
      <c r="AM1154" s="63" t="s">
        <v>3316</v>
      </c>
      <c r="AN1154" s="63" t="s">
        <v>3317</v>
      </c>
      <c r="AO1154" s="63"/>
      <c r="AP1154" s="63"/>
      <c r="AQ1154" s="63"/>
      <c r="AR1154" s="63"/>
      <c r="AS1154" s="63"/>
      <c r="AT1154" s="63"/>
      <c r="AV1154" s="63"/>
      <c r="AW1154" s="63"/>
      <c r="AX1154" s="63">
        <f>--ISNUMBER(IFERROR(SEARCH(Tempset!$M$4,AM1154,1),""))</f>
        <v>1</v>
      </c>
      <c r="AY1154" s="63">
        <f>IF(AX1154=1,COUNTIF($AX$3:AX1154,1),"")</f>
        <v>1152</v>
      </c>
      <c r="AZ1154" s="63" t="str">
        <f>IFERROR(INDEX($AM$3:$AM$1165,MATCH(ROWS($AY$3:AY1154),$AY$3:$AY$1165,0)),"")</f>
        <v>weightedAverageMaturity</v>
      </c>
    </row>
    <row r="1155" spans="39:52" x14ac:dyDescent="0.2">
      <c r="AM1155" s="63" t="s">
        <v>3318</v>
      </c>
      <c r="AN1155" s="63" t="s">
        <v>3319</v>
      </c>
      <c r="AO1155" s="63"/>
      <c r="AP1155" s="63"/>
      <c r="AQ1155" s="63"/>
      <c r="AR1155" s="63"/>
      <c r="AS1155" s="63"/>
      <c r="AT1155" s="63"/>
      <c r="AV1155" s="63"/>
      <c r="AW1155" s="63"/>
      <c r="AX1155" s="63">
        <f>--ISNUMBER(IFERROR(SEARCH(Tempset!$M$4,AM1155,1),""))</f>
        <v>1</v>
      </c>
      <c r="AY1155" s="63">
        <f>IF(AX1155=1,COUNTIF($AX$3:AX1155,1),"")</f>
        <v>1153</v>
      </c>
      <c r="AZ1155" s="63" t="str">
        <f>IFERROR(INDEX($AM$3:$AM$1165,MATCH(ROWS($AY$3:AY1155),$AY$3:$AY$1165,0)),"")</f>
        <v>wrongWayRiskFlag</v>
      </c>
    </row>
    <row r="1156" spans="39:52" x14ac:dyDescent="0.2">
      <c r="AM1156" s="63" t="s">
        <v>3320</v>
      </c>
      <c r="AN1156" s="63" t="s">
        <v>3321</v>
      </c>
      <c r="AO1156" s="63"/>
      <c r="AP1156" s="63"/>
      <c r="AQ1156" s="63"/>
      <c r="AR1156" s="63"/>
      <c r="AS1156" s="63"/>
      <c r="AT1156" s="63"/>
      <c r="AV1156" s="63"/>
      <c r="AW1156" s="63"/>
      <c r="AX1156" s="63">
        <f>--ISNUMBER(IFERROR(SEARCH(Tempset!$M$4,AM1156,1),""))</f>
        <v>1</v>
      </c>
      <c r="AY1156" s="63">
        <f>IF(AX1156=1,COUNTIF($AX$3:AX1156,1),"")</f>
        <v>1154</v>
      </c>
      <c r="AZ1156" s="63" t="str">
        <f>IFERROR(INDEX($AM$3:$AM$1165,MATCH(ROWS($AY$3:AY1156),$AY$3:$AY$1165,0)),"")</f>
        <v>WWRExposureAddOnValue</v>
      </c>
    </row>
    <row r="1157" spans="39:52" x14ac:dyDescent="0.2">
      <c r="AM1157" s="63" t="s">
        <v>3322</v>
      </c>
      <c r="AN1157" s="63" t="s">
        <v>3323</v>
      </c>
      <c r="AO1157" s="63"/>
      <c r="AP1157" s="63"/>
      <c r="AQ1157" s="63"/>
      <c r="AR1157" s="63"/>
      <c r="AS1157" s="63"/>
      <c r="AT1157" s="63"/>
      <c r="AV1157" s="63"/>
      <c r="AW1157" s="63"/>
      <c r="AX1157" s="63">
        <f>--ISNUMBER(IFERROR(SEARCH(Tempset!$M$4,AM1157,1),""))</f>
        <v>1</v>
      </c>
      <c r="AY1157" s="63">
        <f>IF(AX1157=1,COUNTIF($AX$3:AX1157,1),"")</f>
        <v>1155</v>
      </c>
      <c r="AZ1157" s="63" t="str">
        <f>IFERROR(INDEX($AM$3:$AM$1165,MATCH(ROWS($AY$3:AY1157),$AY$3:$AY$1165,0)),"")</f>
        <v>XMValue</v>
      </c>
    </row>
    <row r="1158" spans="39:52" x14ac:dyDescent="0.2">
      <c r="AM1158" s="63" t="s">
        <v>3324</v>
      </c>
      <c r="AN1158" s="63" t="s">
        <v>3325</v>
      </c>
      <c r="AO1158" s="63"/>
      <c r="AP1158" s="63"/>
      <c r="AQ1158" s="63"/>
      <c r="AR1158" s="63"/>
      <c r="AS1158" s="63"/>
      <c r="AT1158" s="63"/>
      <c r="AV1158" s="63"/>
      <c r="AW1158" s="63"/>
      <c r="AX1158" s="63">
        <f>--ISNUMBER(IFERROR(SEARCH(Tempset!$M$4,AM1158,1),""))</f>
        <v>1</v>
      </c>
      <c r="AY1158" s="63">
        <f>IF(AX1158=1,COUNTIF($AX$3:AX1158,1),"")</f>
        <v>1156</v>
      </c>
      <c r="AZ1158" s="63" t="str">
        <f>IFERROR(INDEX($AM$3:$AM$1165,MATCH(ROWS($AY$3:AY1158),$AY$3:$AY$1165,0)),"")</f>
        <v>yearEndCleardownDate</v>
      </c>
    </row>
    <row r="1159" spans="39:52" x14ac:dyDescent="0.2">
      <c r="AM1159" s="63" t="s">
        <v>3326</v>
      </c>
      <c r="AN1159" s="63" t="s">
        <v>3327</v>
      </c>
      <c r="AO1159" s="63"/>
      <c r="AP1159" s="63"/>
      <c r="AQ1159" s="63"/>
      <c r="AR1159" s="63"/>
      <c r="AS1159" s="63"/>
      <c r="AT1159" s="63"/>
      <c r="AV1159" s="63"/>
      <c r="AW1159" s="63"/>
      <c r="AX1159" s="63">
        <f>--ISNUMBER(IFERROR(SEARCH(Tempset!$M$4,AM1159,1),""))</f>
        <v>1</v>
      </c>
      <c r="AY1159" s="63">
        <f>IF(AX1159=1,COUNTIF($AX$3:AX1159,1),"")</f>
        <v>1157</v>
      </c>
      <c r="AZ1159" s="63" t="str">
        <f>IFERROR(INDEX($AM$3:$AM$1165,MATCH(ROWS($AY$3:AY1159),$AY$3:$AY$1165,0)),"")</f>
        <v>yieldRate</v>
      </c>
    </row>
    <row r="1160" spans="39:52" x14ac:dyDescent="0.2">
      <c r="AM1160" s="63" t="s">
        <v>3328</v>
      </c>
      <c r="AN1160" s="63" t="s">
        <v>3329</v>
      </c>
      <c r="AO1160" s="63"/>
      <c r="AP1160" s="63"/>
      <c r="AQ1160" s="63"/>
      <c r="AR1160" s="63"/>
      <c r="AS1160" s="63"/>
      <c r="AT1160" s="63"/>
      <c r="AV1160" s="63"/>
      <c r="AW1160" s="63"/>
      <c r="AX1160" s="63">
        <f>--ISNUMBER(IFERROR(SEARCH(Tempset!$M$4,AM1160,1),""))</f>
        <v>1</v>
      </c>
      <c r="AY1160" s="63">
        <f>IF(AX1160=1,COUNTIF($AX$3:AX1160,1),"")</f>
        <v>1158</v>
      </c>
      <c r="AZ1160" s="63" t="str">
        <f>IFERROR(INDEX($AM$3:$AM$1165,MATCH(ROWS($AY$3:AY1160),$AY$3:$AY$1165,0)),"")</f>
        <v>ZCXMValue</v>
      </c>
    </row>
    <row r="1161" spans="39:52" x14ac:dyDescent="0.2">
      <c r="AM1161" s="63" t="s">
        <v>3330</v>
      </c>
      <c r="AN1161" s="63" t="s">
        <v>3331</v>
      </c>
      <c r="AO1161" s="63"/>
      <c r="AP1161" s="63"/>
      <c r="AQ1161" s="63"/>
      <c r="AR1161" s="63"/>
      <c r="AS1161" s="63"/>
      <c r="AT1161" s="63"/>
      <c r="AV1161" s="63"/>
      <c r="AW1161" s="63"/>
      <c r="AX1161" s="63">
        <f>--ISNUMBER(IFERROR(SEARCH(Tempset!$M$4,AM1161,1),""))</f>
        <v>1</v>
      </c>
      <c r="AY1161" s="63">
        <f>IF(AX1161=1,COUNTIF($AX$3:AX1161,1),"")</f>
        <v>1159</v>
      </c>
      <c r="AZ1161" s="63" t="str">
        <f>IFERROR(INDEX($AM$3:$AM$1165,MATCH(ROWS($AY$3:AY1161),$AY$3:$AY$1165,0)),"")</f>
        <v>zeroRiskWeightEntity</v>
      </c>
    </row>
    <row r="1162" spans="39:52" x14ac:dyDescent="0.2">
      <c r="AM1162" s="63" t="s">
        <v>3332</v>
      </c>
      <c r="AN1162" s="63" t="s">
        <v>3333</v>
      </c>
      <c r="AO1162" s="63"/>
      <c r="AP1162" s="63"/>
      <c r="AQ1162" s="63"/>
      <c r="AR1162" s="63"/>
      <c r="AS1162" s="63"/>
      <c r="AT1162" s="63"/>
      <c r="AV1162" s="63"/>
      <c r="AW1162" s="63"/>
      <c r="AX1162" s="63">
        <f>--ISNUMBER(IFERROR(SEARCH(Tempset!$M$4,AM1162,1),""))</f>
        <v>1</v>
      </c>
      <c r="AY1162" s="63">
        <f>IF(AX1162=1,COUNTIF($AX$3:AX1162,1),"")</f>
        <v>1160</v>
      </c>
      <c r="AZ1162" s="63" t="str">
        <f>IFERROR(INDEX($AM$3:$AM$1165,MATCH(ROWS($AY$3:AY1162),$AY$3:$AY$1165,0)),"")</f>
        <v>CIFNumber</v>
      </c>
    </row>
    <row r="1163" spans="39:52" x14ac:dyDescent="0.2">
      <c r="AM1163" s="63" t="s">
        <v>3334</v>
      </c>
      <c r="AN1163" s="63" t="s">
        <v>3335</v>
      </c>
      <c r="AO1163" s="63"/>
      <c r="AP1163" s="63"/>
      <c r="AQ1163" s="63"/>
      <c r="AR1163" s="63"/>
      <c r="AS1163" s="63"/>
      <c r="AT1163" s="63"/>
      <c r="AV1163" s="63"/>
      <c r="AW1163" s="63"/>
      <c r="AX1163" s="63">
        <f>--ISNUMBER(IFERROR(SEARCH(Tempset!$M$4,AM1163,1),""))</f>
        <v>1</v>
      </c>
      <c r="AY1163" s="63">
        <f>IF(AX1163=1,COUNTIF($AX$3:AX1163,1),"")</f>
        <v>1161</v>
      </c>
      <c r="AZ1163" s="63" t="str">
        <f>IFERROR(INDEX($AM$3:$AM$1165,MATCH(ROWS($AY$3:AY1163),$AY$3:$AY$1165,0)),"")</f>
        <v>initialReceivedMargin</v>
      </c>
    </row>
    <row r="1164" spans="39:52" x14ac:dyDescent="0.2">
      <c r="AM1164" s="63"/>
      <c r="AN1164" s="63"/>
      <c r="AO1164" s="63"/>
      <c r="AP1164" s="63"/>
      <c r="AQ1164" s="63"/>
      <c r="AR1164" s="63"/>
      <c r="AS1164" s="63"/>
      <c r="AT1164" s="63"/>
      <c r="AV1164" s="63"/>
      <c r="AW1164" s="63"/>
      <c r="AX1164" s="63"/>
      <c r="AY1164" s="63" t="str">
        <f>IF(AX1164=1,COUNTIF($AX$3:AX1164,1),"")</f>
        <v/>
      </c>
      <c r="AZ1164" s="63" t="str">
        <f>IFERROR(INDEX($AM$3:$AM$1165,MATCH(ROWS($AY$3:AY1164),$AY$3:$AY$1165,0)),"")</f>
        <v/>
      </c>
    </row>
    <row r="1165" spans="39:52" x14ac:dyDescent="0.2">
      <c r="AM1165" s="63"/>
      <c r="AN1165" s="63"/>
      <c r="AO1165" s="63"/>
      <c r="AP1165" s="63"/>
      <c r="AQ1165" s="63"/>
      <c r="AR1165" s="63"/>
      <c r="AS1165" s="63"/>
      <c r="AT1165" s="63"/>
      <c r="AV1165" s="63"/>
      <c r="AW1165" s="63"/>
      <c r="AX1165" s="63"/>
      <c r="AY1165" s="63" t="str">
        <f>IF(AX1165=1,COUNTIF($AX$3:AX1165,1),"")</f>
        <v/>
      </c>
      <c r="AZ1165" s="63" t="str">
        <f>IFERROR(INDEX($AM$3:$AM$1165,MATCH(ROWS($AY$3:AY1165),$AY$3:$AY$1165,0)),"")</f>
        <v/>
      </c>
    </row>
  </sheetData>
  <sheetProtection algorithmName="SHA-512" hashValue="8q9PR8GwdSH3g1ol5M7bhMcVX1kG3W+zB0qyofX+w8I0l4+T52KvEZTHFp0dobBTupMCY9l0rlPAsymMyoo0HQ==" saltValue="jGNwhKL1KrHwk0bD4vwoKA==" spinCount="100000" sheet="1" formatCells="0"/>
  <mergeCells count="4">
    <mergeCell ref="M1:O1"/>
    <mergeCell ref="M29:O29"/>
    <mergeCell ref="M34:O34"/>
    <mergeCell ref="AX1:AZ1"/>
  </mergeCells>
  <dataValidations count="1">
    <dataValidation type="list" showInputMessage="1" showErrorMessage="1" sqref="AV3:AV9" xr:uid="{00000000-0002-0000-0300-000000000000}">
      <formula1>$AV$2:$AV$16</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92D050"/>
  </sheetPr>
  <dimension ref="A1:K24"/>
  <sheetViews>
    <sheetView zoomScale="85" zoomScaleNormal="85" workbookViewId="0">
      <selection activeCell="B9" sqref="B9"/>
    </sheetView>
  </sheetViews>
  <sheetFormatPr defaultColWidth="9.140625" defaultRowHeight="15" x14ac:dyDescent="0.25"/>
  <cols>
    <col min="1" max="1" width="34.140625" style="80" customWidth="1"/>
    <col min="2" max="2" width="31.5703125" style="80" customWidth="1"/>
    <col min="3" max="3" width="45.140625" style="80" customWidth="1"/>
    <col min="4" max="4" width="20" style="80" customWidth="1"/>
    <col min="5" max="9" width="9.140625" style="80"/>
    <col min="10" max="10" width="12" style="80" customWidth="1"/>
    <col min="11" max="11" width="47.140625" style="80" customWidth="1"/>
    <col min="12" max="16384" width="9.140625" style="80"/>
  </cols>
  <sheetData>
    <row r="1" spans="1:11" x14ac:dyDescent="0.25">
      <c r="A1" s="63" t="s">
        <v>3336</v>
      </c>
      <c r="B1" s="63" t="s">
        <v>153</v>
      </c>
      <c r="C1" s="63" t="s">
        <v>3337</v>
      </c>
      <c r="D1" s="253" t="s">
        <v>3338</v>
      </c>
      <c r="E1" s="253"/>
      <c r="F1" s="253"/>
      <c r="G1" s="253"/>
      <c r="H1" s="253"/>
      <c r="I1" s="253"/>
      <c r="J1" s="200" t="s">
        <v>3339</v>
      </c>
      <c r="K1" s="254"/>
    </row>
    <row r="2" spans="1:11" x14ac:dyDescent="0.25">
      <c r="A2" s="114" t="s">
        <v>3340</v>
      </c>
      <c r="B2" s="275" t="s">
        <v>3341</v>
      </c>
      <c r="C2" s="253" t="s">
        <v>3342</v>
      </c>
      <c r="D2" s="247" t="s">
        <v>701</v>
      </c>
      <c r="E2" s="253"/>
      <c r="F2" s="253"/>
      <c r="G2" s="253"/>
      <c r="H2" s="253"/>
      <c r="I2" s="253"/>
      <c r="J2" s="255"/>
      <c r="K2" s="256" t="s">
        <v>3343</v>
      </c>
    </row>
    <row r="3" spans="1:11" x14ac:dyDescent="0.25">
      <c r="A3" s="114" t="s">
        <v>3344</v>
      </c>
      <c r="B3" s="247" t="s">
        <v>3345</v>
      </c>
      <c r="C3" s="247" t="s">
        <v>3346</v>
      </c>
      <c r="D3" s="247"/>
      <c r="E3" s="253"/>
      <c r="F3" s="253"/>
      <c r="G3" s="253"/>
      <c r="H3" s="253"/>
      <c r="I3" s="253"/>
      <c r="J3" s="257"/>
      <c r="K3" s="256" t="s">
        <v>3347</v>
      </c>
    </row>
    <row r="4" spans="1:11" x14ac:dyDescent="0.25">
      <c r="A4" s="114" t="s">
        <v>4187</v>
      </c>
      <c r="B4" s="276" t="s">
        <v>3349</v>
      </c>
      <c r="C4" s="247" t="s">
        <v>3350</v>
      </c>
      <c r="D4" s="247"/>
      <c r="E4" s="253"/>
      <c r="F4" s="253"/>
      <c r="G4" s="253"/>
      <c r="H4" s="253"/>
      <c r="I4" s="253"/>
      <c r="J4" s="258"/>
      <c r="K4" s="256" t="s">
        <v>3351</v>
      </c>
    </row>
    <row r="5" spans="1:11" x14ac:dyDescent="0.25">
      <c r="A5" s="114" t="s">
        <v>3352</v>
      </c>
      <c r="B5" s="247" t="s">
        <v>3353</v>
      </c>
      <c r="C5" s="247" t="s">
        <v>3354</v>
      </c>
      <c r="D5" s="247"/>
      <c r="E5" s="253"/>
      <c r="F5" s="253"/>
      <c r="G5" s="253"/>
      <c r="H5" s="253"/>
      <c r="I5" s="253"/>
      <c r="J5" s="253"/>
      <c r="K5" s="253"/>
    </row>
    <row r="6" spans="1:11" x14ac:dyDescent="0.25">
      <c r="A6" s="114" t="s">
        <v>3355</v>
      </c>
      <c r="B6" s="247" t="s">
        <v>3356</v>
      </c>
      <c r="C6" s="247" t="s">
        <v>3357</v>
      </c>
      <c r="D6" s="247"/>
      <c r="E6" s="253"/>
      <c r="F6" s="253"/>
      <c r="G6" s="253"/>
      <c r="H6" s="253"/>
      <c r="I6" s="253"/>
      <c r="J6" s="253"/>
      <c r="K6" s="253"/>
    </row>
    <row r="7" spans="1:11" x14ac:dyDescent="0.25">
      <c r="A7" s="114" t="s">
        <v>3358</v>
      </c>
      <c r="B7" s="247" t="s">
        <v>3359</v>
      </c>
      <c r="C7" s="247" t="s">
        <v>3360</v>
      </c>
      <c r="D7" s="247"/>
      <c r="E7" s="253"/>
      <c r="F7" s="253"/>
      <c r="G7" s="253"/>
      <c r="H7" s="253"/>
      <c r="I7" s="253"/>
      <c r="J7" s="253"/>
      <c r="K7" s="253"/>
    </row>
    <row r="8" spans="1:11" x14ac:dyDescent="0.25">
      <c r="A8" s="114" t="s">
        <v>3361</v>
      </c>
      <c r="B8" s="247" t="s">
        <v>3362</v>
      </c>
      <c r="C8" s="247" t="s">
        <v>3363</v>
      </c>
      <c r="D8" s="247"/>
      <c r="E8" s="253"/>
      <c r="F8" s="253"/>
      <c r="G8" s="253"/>
      <c r="H8" s="253"/>
      <c r="I8" s="253"/>
      <c r="J8" s="253"/>
      <c r="K8" s="253"/>
    </row>
    <row r="9" spans="1:11" x14ac:dyDescent="0.25">
      <c r="A9" s="114" t="s">
        <v>3364</v>
      </c>
      <c r="B9" s="247" t="s">
        <v>3365</v>
      </c>
      <c r="C9" s="247" t="s">
        <v>3366</v>
      </c>
      <c r="D9" s="247"/>
      <c r="E9" s="253"/>
      <c r="F9" s="253"/>
      <c r="G9" s="253"/>
      <c r="H9" s="253"/>
      <c r="I9" s="253"/>
      <c r="J9" s="253"/>
      <c r="K9" s="253"/>
    </row>
    <row r="10" spans="1:11" x14ac:dyDescent="0.25">
      <c r="A10" s="114" t="s">
        <v>3367</v>
      </c>
      <c r="B10" s="247" t="s">
        <v>3368</v>
      </c>
      <c r="C10" s="247" t="s">
        <v>3369</v>
      </c>
      <c r="D10" s="247"/>
      <c r="E10" s="253"/>
      <c r="F10" s="253"/>
      <c r="G10" s="253"/>
      <c r="H10" s="253"/>
      <c r="I10" s="253"/>
      <c r="J10" s="253"/>
      <c r="K10" s="253"/>
    </row>
    <row r="11" spans="1:11" x14ac:dyDescent="0.25">
      <c r="A11" s="114" t="s">
        <v>3370</v>
      </c>
      <c r="B11" s="247" t="s">
        <v>3371</v>
      </c>
      <c r="C11" s="247" t="s">
        <v>3372</v>
      </c>
      <c r="D11" s="247"/>
      <c r="E11" s="253"/>
      <c r="F11" s="253"/>
      <c r="G11" s="253"/>
      <c r="H11" s="253"/>
      <c r="I11" s="253"/>
      <c r="J11" s="253"/>
      <c r="K11" s="253"/>
    </row>
    <row r="12" spans="1:11" x14ac:dyDescent="0.25">
      <c r="A12" s="114" t="s">
        <v>3373</v>
      </c>
      <c r="B12" s="247" t="s">
        <v>3374</v>
      </c>
      <c r="C12" s="247" t="s">
        <v>3375</v>
      </c>
      <c r="D12" s="247"/>
      <c r="E12" s="253"/>
      <c r="F12" s="253"/>
      <c r="G12" s="253"/>
      <c r="H12" s="253"/>
      <c r="I12" s="253"/>
      <c r="J12" s="253"/>
      <c r="K12" s="253"/>
    </row>
    <row r="13" spans="1:11" x14ac:dyDescent="0.25">
      <c r="A13" s="114" t="s">
        <v>3376</v>
      </c>
      <c r="B13" s="247" t="s">
        <v>3377</v>
      </c>
      <c r="C13" s="247" t="s">
        <v>3378</v>
      </c>
      <c r="D13" s="247"/>
      <c r="E13" s="253"/>
      <c r="F13" s="253"/>
      <c r="G13" s="253"/>
      <c r="H13" s="253"/>
      <c r="I13" s="253"/>
      <c r="J13" s="253"/>
      <c r="K13" s="253"/>
    </row>
    <row r="14" spans="1:11" x14ac:dyDescent="0.25">
      <c r="A14" s="114" t="s">
        <v>3379</v>
      </c>
      <c r="B14" s="247" t="s">
        <v>3380</v>
      </c>
      <c r="C14" s="247" t="s">
        <v>3381</v>
      </c>
      <c r="D14" s="247"/>
      <c r="E14" s="253"/>
      <c r="F14" s="253"/>
      <c r="G14" s="253"/>
      <c r="H14" s="253"/>
      <c r="I14" s="253"/>
      <c r="J14" s="253"/>
      <c r="K14" s="253"/>
    </row>
    <row r="15" spans="1:11" x14ac:dyDescent="0.25">
      <c r="A15" s="114" t="s">
        <v>3382</v>
      </c>
      <c r="B15" s="247" t="s">
        <v>3383</v>
      </c>
      <c r="C15" s="247" t="s">
        <v>3384</v>
      </c>
      <c r="D15" s="247"/>
      <c r="E15" s="253"/>
      <c r="F15" s="253"/>
      <c r="G15" s="253"/>
      <c r="H15" s="253"/>
      <c r="I15" s="253"/>
      <c r="J15" s="253"/>
      <c r="K15" s="253"/>
    </row>
    <row r="16" spans="1:11" x14ac:dyDescent="0.25">
      <c r="A16" s="114" t="s">
        <v>3385</v>
      </c>
      <c r="B16" s="247" t="s">
        <v>3386</v>
      </c>
      <c r="C16" s="247" t="s">
        <v>3387</v>
      </c>
      <c r="D16" s="247"/>
      <c r="E16" s="253"/>
      <c r="F16" s="253"/>
      <c r="G16" s="253"/>
      <c r="H16" s="253"/>
      <c r="I16" s="253"/>
      <c r="J16" s="253"/>
      <c r="K16" s="253"/>
    </row>
    <row r="17" spans="1:4" x14ac:dyDescent="0.25">
      <c r="A17" s="114" t="s">
        <v>3388</v>
      </c>
      <c r="B17" s="247" t="s">
        <v>3389</v>
      </c>
      <c r="C17" s="247" t="s">
        <v>3390</v>
      </c>
      <c r="D17" s="247"/>
    </row>
    <row r="18" spans="1:4" x14ac:dyDescent="0.25">
      <c r="A18" s="114" t="s">
        <v>3391</v>
      </c>
      <c r="B18" s="277" t="s">
        <v>3392</v>
      </c>
      <c r="C18" s="247" t="s">
        <v>3393</v>
      </c>
      <c r="D18" s="247"/>
    </row>
    <row r="19" spans="1:4" x14ac:dyDescent="0.25">
      <c r="A19" s="114" t="s">
        <v>3394</v>
      </c>
      <c r="B19" s="247" t="s">
        <v>3395</v>
      </c>
      <c r="C19" s="247" t="s">
        <v>3396</v>
      </c>
      <c r="D19" s="247"/>
    </row>
    <row r="20" spans="1:4" x14ac:dyDescent="0.25">
      <c r="A20" s="114" t="s">
        <v>3397</v>
      </c>
      <c r="B20" s="247" t="s">
        <v>3398</v>
      </c>
      <c r="C20" s="247" t="s">
        <v>3399</v>
      </c>
      <c r="D20" s="247"/>
    </row>
    <row r="21" spans="1:4" x14ac:dyDescent="0.25">
      <c r="A21" s="114" t="s">
        <v>3400</v>
      </c>
      <c r="B21" s="247" t="s">
        <v>3401</v>
      </c>
      <c r="C21" s="247" t="s">
        <v>3402</v>
      </c>
      <c r="D21" s="247"/>
    </row>
    <row r="22" spans="1:4" x14ac:dyDescent="0.25">
      <c r="A22" s="114" t="s">
        <v>3403</v>
      </c>
      <c r="B22" s="247" t="s">
        <v>3404</v>
      </c>
      <c r="C22" s="247" t="s">
        <v>3405</v>
      </c>
      <c r="D22" s="247"/>
    </row>
    <row r="23" spans="1:4" x14ac:dyDescent="0.25">
      <c r="A23" s="114" t="s">
        <v>4188</v>
      </c>
      <c r="B23" s="277" t="s">
        <v>4118</v>
      </c>
      <c r="C23" s="277" t="s">
        <v>3350</v>
      </c>
      <c r="D23" s="277"/>
    </row>
    <row r="24" spans="1:4" x14ac:dyDescent="0.25">
      <c r="A24" s="114" t="s">
        <v>4189</v>
      </c>
      <c r="B24" s="277" t="s">
        <v>4119</v>
      </c>
      <c r="C24" s="277" t="s">
        <v>3350</v>
      </c>
      <c r="D24" s="277"/>
    </row>
  </sheetData>
  <hyperlinks>
    <hyperlink ref="A2" location="'Dataset 1 fx_schredder'!A1" display="Dataset 1 fx_schredder" xr:uid="{00000000-0004-0000-0400-000000000000}"/>
    <hyperlink ref="A3" location="'Dataset 2 vix_prices'!A1" display="Dataset 2 vix_prices" xr:uid="{00000000-0004-0000-0400-000001000000}"/>
    <hyperlink ref="A4" location="'Dataset 3 fx_rates_usd'!A1" display="Dataset 3 fx_rates_usd" xr:uid="{00000000-0004-0000-0400-000002000000}"/>
    <hyperlink ref="A5" location="'Dataset 4 vix_prices_archive'!A1" display="Dataset 4 vix_prices_archive" xr:uid="{00000000-0004-0000-0400-000003000000}"/>
    <hyperlink ref="A6" location="'Dataset 5 traded_loan_price'!A1" display="Dataset 5 traded_loan_price" xr:uid="{00000000-0004-0000-0400-000004000000}"/>
    <hyperlink ref="A7" location="'Dataset 6 market_cds_price'!A1" display="Dataset 6 market_cds_price" xr:uid="{00000000-0004-0000-0400-000005000000}"/>
    <hyperlink ref="A8" location="'Dataset 7 trader_cds_price'!A1" display="Dataset 7 trader_cds_price" xr:uid="{00000000-0004-0000-0400-000006000000}"/>
    <hyperlink ref="A9" location="'Dataset 8 eq_rt_pr'!A1" display="Dataset 8 eq_rt_pr" xr:uid="{00000000-0004-0000-0400-000007000000}"/>
    <hyperlink ref="A10" location="'Dataset 9 market_index_price'!A1" display="Dataset 9 market_index_price" xr:uid="{00000000-0004-0000-0400-000008000000}"/>
    <hyperlink ref="A11" location="'Dataset 10 eq_rt_pr_adj_factor'!A1" display="Dataset 10 eq_rt_pr_adj_factor" xr:uid="{00000000-0004-0000-0400-000009000000}"/>
    <hyperlink ref="A12" location="'Dataset 11 reference_entity'!A1" display="Dataset 11 reference_entity" xr:uid="{00000000-0004-0000-0400-00000A000000}"/>
    <hyperlink ref="A13" location="'Dataset 12 debt_bb_pr'!A1" display="Dataset 12 debt_bb_pr" xr:uid="{00000000-0004-0000-0400-00000B000000}"/>
    <hyperlink ref="A14" location="'Dataset 13 entity_csid'!A1" display="Dataset 13 entity_csid" xr:uid="{00000000-0004-0000-0400-00000C000000}"/>
    <hyperlink ref="A15" location="'Dataset 14 fx_zur'!A1" display="Dataset 14 fx_zur" xr:uid="{00000000-0004-0000-0400-00000D000000}"/>
    <hyperlink ref="A16" location="'Dataset 15 trader'!A1" display="Dataset 15 trader" xr:uid="{00000000-0004-0000-0400-00000E000000}"/>
    <hyperlink ref="A17" location="'Dataset 16 fbtrader'!A1" display="Dataset 16 fbtrader" xr:uid="{00000000-0004-0000-0400-00000F000000}"/>
    <hyperlink ref="A18" location="'Dataset 17 contoption'!A1" display="Dataset 17 contoption" xr:uid="{00000000-0004-0000-0400-000010000000}"/>
    <hyperlink ref="A19" location="'Dataset 18 index_bb_pr'!A1" display="Dataset 18 index_bb_pr" xr:uid="{00000000-0004-0000-0400-000011000000}"/>
    <hyperlink ref="C15" r:id="rId1" xr:uid="{00000000-0004-0000-0400-000012000000}"/>
    <hyperlink ref="C19" r:id="rId2" xr:uid="{00000000-0004-0000-0400-000013000000}"/>
    <hyperlink ref="A20" location="'Dataset 19 ma_cr_idx_pr'!A1" display="Dataset 19 ma_cr_idx_pr" xr:uid="{00000000-0004-0000-0400-000014000000}"/>
    <hyperlink ref="A21" location="'Dataset 20 commod_bb_pr'!A1" display="Dataset 20 commod_bb_pr" xr:uid="{00000000-0004-0000-0400-000015000000}"/>
    <hyperlink ref="C21" r:id="rId3" xr:uid="{00000000-0004-0000-0400-000016000000}"/>
    <hyperlink ref="A22" location="'Dataset 21 cmtfix'!A1" display="Dataset 21 cmtfix" xr:uid="{00000000-0004-0000-0400-000017000000}"/>
    <hyperlink ref="C22" r:id="rId4" xr:uid="{00000000-0004-0000-0400-000018000000}"/>
    <hyperlink ref="A23" location="'Dataset 22 fx_rates_udi_xp_xa'!A1" display="Dataset 22 fx_rates_udi_xp_xa" xr:uid="{CF3268E1-362E-4D13-9EB0-1C4B34ABE4EB}"/>
    <hyperlink ref="A24" location="'Dataset 23 fx_rates_historical'!A1" display="Dataset 23 fx_rates_historical" xr:uid="{84F469C4-1EB4-47A1-8DE0-53687E1B051E}"/>
  </hyperlinks>
  <pageMargins left="0.7" right="0.7" top="0.75" bottom="0.75" header="0.3" footer="0.3"/>
  <pageSetup orientation="portrait" r:id="rId5"/>
  <drawing r:id="rId6"/>
  <tableParts count="1">
    <tablePart r:id="rId7"/>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Lookups2!$C$40:$C$45</xm:f>
          </x14:formula1>
          <xm:sqref>D2:D24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B28"/>
  <sheetViews>
    <sheetView workbookViewId="0">
      <selection activeCell="B10" sqref="B10"/>
    </sheetView>
  </sheetViews>
  <sheetFormatPr defaultColWidth="9.140625" defaultRowHeight="15" x14ac:dyDescent="0.25"/>
  <cols>
    <col min="1" max="1" width="31.42578125" style="203" customWidth="1"/>
    <col min="2" max="2" width="69.42578125" style="203" customWidth="1"/>
    <col min="3" max="16384" width="9.140625" style="203"/>
  </cols>
  <sheetData>
    <row r="1" spans="1:2" x14ac:dyDescent="0.25">
      <c r="A1" s="204" t="s">
        <v>3336</v>
      </c>
      <c r="B1" s="204" t="s">
        <v>3406</v>
      </c>
    </row>
    <row r="2" spans="1:2" x14ac:dyDescent="0.25">
      <c r="A2" s="240" t="s">
        <v>3407</v>
      </c>
      <c r="B2" s="240" t="s">
        <v>3408</v>
      </c>
    </row>
    <row r="3" spans="1:2" x14ac:dyDescent="0.25">
      <c r="A3" s="240" t="s">
        <v>3409</v>
      </c>
      <c r="B3" s="240" t="s">
        <v>3408</v>
      </c>
    </row>
    <row r="4" spans="1:2" x14ac:dyDescent="0.25">
      <c r="A4" s="240" t="s">
        <v>3410</v>
      </c>
      <c r="B4" s="240" t="s">
        <v>3408</v>
      </c>
    </row>
    <row r="5" spans="1:2" x14ac:dyDescent="0.25">
      <c r="A5" s="240" t="s">
        <v>3411</v>
      </c>
      <c r="B5" s="240" t="s">
        <v>3408</v>
      </c>
    </row>
    <row r="6" spans="1:2" x14ac:dyDescent="0.25">
      <c r="A6" s="240" t="s">
        <v>3412</v>
      </c>
      <c r="B6" s="240" t="s">
        <v>3408</v>
      </c>
    </row>
    <row r="7" spans="1:2" x14ac:dyDescent="0.25">
      <c r="A7" s="240" t="s">
        <v>3413</v>
      </c>
      <c r="B7" s="240" t="s">
        <v>3408</v>
      </c>
    </row>
    <row r="8" spans="1:2" x14ac:dyDescent="0.25">
      <c r="A8" s="240" t="s">
        <v>3414</v>
      </c>
      <c r="B8" s="240" t="s">
        <v>3408</v>
      </c>
    </row>
    <row r="9" spans="1:2" x14ac:dyDescent="0.25">
      <c r="A9" s="241" t="s">
        <v>3415</v>
      </c>
      <c r="B9" s="241" t="s">
        <v>3416</v>
      </c>
    </row>
    <row r="10" spans="1:2" x14ac:dyDescent="0.25">
      <c r="A10" s="240" t="s">
        <v>3417</v>
      </c>
      <c r="B10" s="240" t="s">
        <v>3408</v>
      </c>
    </row>
    <row r="11" spans="1:2" x14ac:dyDescent="0.25">
      <c r="A11" s="240" t="s">
        <v>3418</v>
      </c>
      <c r="B11" s="240" t="s">
        <v>3408</v>
      </c>
    </row>
    <row r="12" spans="1:2" x14ac:dyDescent="0.25">
      <c r="A12" s="240" t="s">
        <v>3419</v>
      </c>
      <c r="B12" s="240" t="s">
        <v>3408</v>
      </c>
    </row>
    <row r="13" spans="1:2" x14ac:dyDescent="0.25">
      <c r="A13" s="240" t="s">
        <v>3420</v>
      </c>
      <c r="B13" s="240" t="s">
        <v>3408</v>
      </c>
    </row>
    <row r="14" spans="1:2" x14ac:dyDescent="0.25">
      <c r="A14" s="240" t="s">
        <v>3340</v>
      </c>
      <c r="B14" s="240" t="s">
        <v>3408</v>
      </c>
    </row>
    <row r="15" spans="1:2" x14ac:dyDescent="0.25">
      <c r="A15" s="240" t="s">
        <v>3344</v>
      </c>
      <c r="B15" s="240" t="s">
        <v>3408</v>
      </c>
    </row>
    <row r="16" spans="1:2" x14ac:dyDescent="0.25">
      <c r="A16" s="240" t="s">
        <v>3348</v>
      </c>
      <c r="B16" s="240" t="s">
        <v>3408</v>
      </c>
    </row>
    <row r="17" spans="1:2" x14ac:dyDescent="0.25">
      <c r="A17" s="240" t="s">
        <v>3352</v>
      </c>
      <c r="B17" s="240" t="s">
        <v>3408</v>
      </c>
    </row>
    <row r="18" spans="1:2" x14ac:dyDescent="0.25">
      <c r="A18" s="240" t="s">
        <v>3355</v>
      </c>
      <c r="B18" s="240" t="s">
        <v>3408</v>
      </c>
    </row>
    <row r="19" spans="1:2" x14ac:dyDescent="0.25">
      <c r="A19" s="240" t="s">
        <v>3358</v>
      </c>
      <c r="B19" s="240" t="s">
        <v>3408</v>
      </c>
    </row>
    <row r="20" spans="1:2" x14ac:dyDescent="0.25">
      <c r="A20" s="240" t="s">
        <v>3361</v>
      </c>
      <c r="B20" s="240" t="s">
        <v>3408</v>
      </c>
    </row>
    <row r="21" spans="1:2" x14ac:dyDescent="0.25">
      <c r="A21" s="240" t="s">
        <v>3364</v>
      </c>
      <c r="B21" s="240" t="s">
        <v>3408</v>
      </c>
    </row>
    <row r="22" spans="1:2" x14ac:dyDescent="0.25">
      <c r="A22" s="240" t="s">
        <v>3367</v>
      </c>
      <c r="B22" s="240" t="s">
        <v>3408</v>
      </c>
    </row>
    <row r="23" spans="1:2" x14ac:dyDescent="0.25">
      <c r="A23" s="240" t="s">
        <v>3370</v>
      </c>
      <c r="B23" s="240" t="s">
        <v>3408</v>
      </c>
    </row>
    <row r="24" spans="1:2" x14ac:dyDescent="0.25">
      <c r="A24" s="240" t="s">
        <v>3373</v>
      </c>
      <c r="B24" s="240" t="s">
        <v>3408</v>
      </c>
    </row>
    <row r="25" spans="1:2" x14ac:dyDescent="0.25">
      <c r="A25" s="240" t="s">
        <v>3376</v>
      </c>
      <c r="B25" s="240" t="s">
        <v>3408</v>
      </c>
    </row>
    <row r="26" spans="1:2" x14ac:dyDescent="0.25">
      <c r="A26" s="240" t="s">
        <v>3379</v>
      </c>
      <c r="B26" s="240" t="s">
        <v>3408</v>
      </c>
    </row>
    <row r="27" spans="1:2" x14ac:dyDescent="0.25">
      <c r="A27" s="240" t="s">
        <v>3382</v>
      </c>
      <c r="B27" s="240" t="s">
        <v>3408</v>
      </c>
    </row>
    <row r="28" spans="1:2" x14ac:dyDescent="0.25">
      <c r="A28" s="63"/>
      <c r="B28" s="63"/>
    </row>
  </sheetData>
  <sheetProtection algorithmName="SHA-512" hashValue="CxGtGSN+xz7Ia4v/VK3DU6/LWN8Q2QvCVXhzPsmG6xSYZ6bKarvQ7IRxVaetjGdTSOma++qukd/o69juSUUzBA==" saltValue="pMKOIKhF9UBZy4uyGPF7LQ==" spinCount="100000" sheet="1" objects="1" scenarios="1"/>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4" tint="-0.499984740745262"/>
  </sheetPr>
  <dimension ref="A1:AA110"/>
  <sheetViews>
    <sheetView showGridLines="0" zoomScaleNormal="100" workbookViewId="0">
      <pane xSplit="6" ySplit="9" topLeftCell="Q10" activePane="bottomRight" state="frozen"/>
      <selection pane="topRight" activeCell="G1" sqref="G1"/>
      <selection pane="bottomLeft" activeCell="A11" sqref="A11"/>
      <selection pane="bottomRight" activeCell="U10" sqref="U10"/>
    </sheetView>
  </sheetViews>
  <sheetFormatPr defaultRowHeight="12.75" outlineLevelCol="1" x14ac:dyDescent="0.2"/>
  <cols>
    <col min="1" max="1" width="24" customWidth="1"/>
    <col min="2" max="2" width="47.28515625" customWidth="1"/>
    <col min="3" max="3" width="12.5703125" customWidth="1"/>
    <col min="4" max="4" width="11" customWidth="1"/>
    <col min="5" max="5" width="28.7109375" customWidth="1"/>
    <col min="6" max="6" width="11" customWidth="1"/>
    <col min="7" max="7" width="13.140625" customWidth="1" outlineLevel="1"/>
    <col min="8" max="8" width="18.28515625" style="63" customWidth="1" outlineLevel="1"/>
    <col min="9" max="9" width="20.140625" customWidth="1" outlineLevel="1"/>
    <col min="10" max="10" width="14" customWidth="1" outlineLevel="1"/>
    <col min="11" max="11" width="11.140625" customWidth="1" outlineLevel="1"/>
    <col min="12" max="12" width="12.7109375" style="63" customWidth="1" outlineLevel="1"/>
    <col min="13" max="13" width="41" customWidth="1"/>
    <col min="14" max="14" width="18.140625" customWidth="1" outlineLevel="1"/>
    <col min="15" max="15" width="18.140625" customWidth="1"/>
    <col min="16" max="18" width="18.140625" customWidth="1" outlineLevel="1"/>
    <col min="19" max="19" width="18.7109375" customWidth="1" outlineLevel="1"/>
    <col min="20" max="20" width="18.28515625" customWidth="1"/>
    <col min="21" max="21" width="18.28515625" customWidth="1" outlineLevel="1"/>
    <col min="22" max="22" width="17" customWidth="1" outlineLevel="1"/>
    <col min="23" max="23" width="33.140625" customWidth="1"/>
    <col min="24" max="24" width="14.85546875" customWidth="1" outlineLevel="1"/>
    <col min="25" max="25" width="14.28515625" customWidth="1" outlineLevel="1"/>
    <col min="26" max="26" width="18.85546875" customWidth="1" outlineLevel="1"/>
    <col min="27" max="27" width="69.85546875" customWidth="1" outlineLevel="1"/>
    <col min="28" max="28" width="25.7109375" customWidth="1"/>
    <col min="29" max="29" width="5.5703125" customWidth="1"/>
  </cols>
  <sheetData>
    <row r="1" spans="1:26" s="34" customFormat="1" ht="26.45" customHeight="1" x14ac:dyDescent="0.2">
      <c r="A1" s="34" t="str">
        <f>CONCATENATE("Dataset ",B11)</f>
        <v xml:space="preserve">Dataset </v>
      </c>
    </row>
    <row r="2" spans="1:26" x14ac:dyDescent="0.2">
      <c r="A2" s="63"/>
      <c r="B2" s="63"/>
      <c r="C2" s="63"/>
      <c r="D2" s="63"/>
      <c r="E2" s="63"/>
      <c r="F2" s="35"/>
      <c r="G2" s="291"/>
      <c r="H2" s="291"/>
      <c r="I2" s="291"/>
      <c r="J2" s="63"/>
      <c r="K2" s="63"/>
      <c r="M2" s="63"/>
      <c r="N2" s="63"/>
      <c r="O2" s="63"/>
      <c r="P2" s="63"/>
      <c r="Q2" s="63"/>
      <c r="R2" s="63"/>
      <c r="S2" s="63"/>
      <c r="T2" s="63"/>
      <c r="U2" s="63"/>
      <c r="V2" s="63"/>
      <c r="W2" s="63"/>
      <c r="X2" s="63"/>
      <c r="Y2" s="63"/>
      <c r="Z2" s="63"/>
    </row>
    <row r="3" spans="1:26" x14ac:dyDescent="0.2">
      <c r="A3" s="294" t="s">
        <v>238</v>
      </c>
      <c r="B3" s="295"/>
      <c r="C3" s="295"/>
      <c r="D3" s="295"/>
      <c r="E3" s="295"/>
      <c r="F3" s="296"/>
      <c r="G3" s="259"/>
      <c r="H3" s="259"/>
      <c r="I3" s="63"/>
      <c r="J3" s="63"/>
      <c r="K3" s="63"/>
      <c r="L3" s="171" t="s">
        <v>3421</v>
      </c>
      <c r="M3" s="171"/>
      <c r="N3" s="63"/>
      <c r="O3" s="63"/>
      <c r="P3" s="63"/>
      <c r="Q3" s="63"/>
      <c r="R3" s="63"/>
      <c r="S3" s="63"/>
      <c r="T3" s="63"/>
      <c r="U3" s="63"/>
      <c r="V3" s="63"/>
      <c r="W3" s="63"/>
      <c r="X3" s="63"/>
      <c r="Y3" s="63"/>
      <c r="Z3" s="63"/>
    </row>
    <row r="4" spans="1:26" x14ac:dyDescent="0.2">
      <c r="A4" s="59" t="s">
        <v>3422</v>
      </c>
      <c r="B4" s="293" t="s">
        <v>3423</v>
      </c>
      <c r="C4" s="293"/>
      <c r="D4" s="293"/>
      <c r="E4" s="293"/>
      <c r="F4" s="293"/>
      <c r="G4" s="259"/>
      <c r="H4" s="259"/>
      <c r="I4" s="63"/>
      <c r="J4" s="63"/>
      <c r="K4" s="201" t="s">
        <v>239</v>
      </c>
      <c r="L4" s="202" t="s">
        <v>3424</v>
      </c>
      <c r="M4" s="23" t="s">
        <v>3425</v>
      </c>
      <c r="N4" s="63"/>
      <c r="O4" s="63"/>
      <c r="P4" s="63"/>
      <c r="Q4" s="63"/>
      <c r="R4" s="63"/>
      <c r="S4" s="63"/>
      <c r="T4" s="63"/>
      <c r="U4" s="63"/>
      <c r="V4" s="63"/>
      <c r="W4" s="63"/>
      <c r="X4" s="63"/>
      <c r="Y4" s="63"/>
      <c r="Z4" s="63"/>
    </row>
    <row r="5" spans="1:26" ht="71.25" customHeight="1" x14ac:dyDescent="0.2">
      <c r="A5" s="151" t="s">
        <v>3426</v>
      </c>
      <c r="B5" s="293" t="s">
        <v>3427</v>
      </c>
      <c r="C5" s="293"/>
      <c r="D5" s="293"/>
      <c r="E5" s="293"/>
      <c r="F5" s="293"/>
      <c r="G5" s="259"/>
      <c r="H5" s="259"/>
      <c r="I5" s="63"/>
      <c r="J5" s="63"/>
      <c r="K5" s="63"/>
      <c r="L5" s="71" t="s">
        <v>3428</v>
      </c>
      <c r="M5" s="172" t="e">
        <f>VLOOKUP(L4,Lookups2!AM:AN,2,FALSE)</f>
        <v>#N/A</v>
      </c>
      <c r="N5" s="63"/>
      <c r="O5" s="63"/>
      <c r="P5" s="63"/>
      <c r="Q5" s="63"/>
      <c r="R5" s="63"/>
      <c r="S5" s="63"/>
      <c r="T5" s="63"/>
      <c r="U5" s="63"/>
      <c r="V5" s="63"/>
      <c r="W5" s="63"/>
      <c r="X5" s="63"/>
      <c r="Y5" s="63"/>
      <c r="Z5" s="63"/>
    </row>
    <row r="6" spans="1:26" x14ac:dyDescent="0.2">
      <c r="A6" s="71" t="s">
        <v>3429</v>
      </c>
      <c r="B6" s="293"/>
      <c r="C6" s="293"/>
      <c r="D6" s="293"/>
      <c r="E6" s="293"/>
      <c r="F6" s="293"/>
      <c r="G6" s="259"/>
      <c r="H6" s="259"/>
      <c r="I6" s="63"/>
      <c r="J6" s="63"/>
      <c r="K6" s="63"/>
      <c r="M6" s="63"/>
      <c r="N6" s="63"/>
      <c r="O6" s="63"/>
      <c r="P6" s="63"/>
      <c r="Q6" s="63"/>
      <c r="R6" s="63"/>
      <c r="S6" s="63"/>
      <c r="T6" s="63"/>
      <c r="U6" s="63"/>
      <c r="V6" s="63"/>
      <c r="W6" s="63"/>
      <c r="X6" s="63"/>
      <c r="Y6" s="63"/>
      <c r="Z6" s="63"/>
    </row>
    <row r="7" spans="1:26" x14ac:dyDescent="0.2">
      <c r="A7" s="63"/>
      <c r="B7" s="63"/>
      <c r="C7" s="36"/>
      <c r="D7" s="36"/>
      <c r="E7" s="36"/>
      <c r="F7" s="36"/>
      <c r="G7" s="259"/>
      <c r="H7" s="259"/>
      <c r="I7" s="63"/>
      <c r="J7" s="63"/>
      <c r="K7" s="63"/>
      <c r="M7" s="63"/>
      <c r="N7" s="63"/>
      <c r="O7" s="63"/>
      <c r="P7" s="63"/>
      <c r="Q7" s="63"/>
      <c r="R7" s="63"/>
      <c r="S7" s="63"/>
      <c r="T7" s="63"/>
      <c r="U7" s="63"/>
      <c r="V7" s="63"/>
      <c r="W7" s="63"/>
      <c r="X7" s="63"/>
      <c r="Y7" s="63"/>
      <c r="Z7" s="63"/>
    </row>
    <row r="8" spans="1:26" x14ac:dyDescent="0.2">
      <c r="A8" s="63"/>
      <c r="B8" s="63"/>
      <c r="C8" s="63"/>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A9" s="63"/>
      <c r="B9" s="63"/>
      <c r="C9" s="63"/>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s="63" customFormat="1" ht="12.75" customHeight="1" x14ac:dyDescent="0.2">
      <c r="A10" s="65" t="s">
        <v>3453</v>
      </c>
      <c r="B10" s="69"/>
      <c r="D10" s="127">
        <v>1</v>
      </c>
      <c r="E10" s="130"/>
      <c r="F10" s="64"/>
      <c r="G10" s="64"/>
      <c r="H10" s="64"/>
      <c r="I10" s="64"/>
      <c r="J10" s="64"/>
      <c r="K10" s="64"/>
      <c r="L10" s="23"/>
      <c r="M10" s="154" t="e">
        <f>VLOOKUP(Table2[Data Element],Lookups2!AM:AN,2,FALSE)</f>
        <v>#N/A</v>
      </c>
      <c r="N10" s="64"/>
      <c r="O10" s="64"/>
      <c r="P10" s="64"/>
      <c r="Q10" s="64"/>
      <c r="R10" s="64"/>
      <c r="S10" s="64"/>
      <c r="T10" s="64"/>
      <c r="U10" s="64"/>
      <c r="V10" s="64"/>
      <c r="W10" s="64"/>
      <c r="X10" s="64"/>
      <c r="Y10" s="72"/>
      <c r="Z10" s="26"/>
    </row>
    <row r="11" spans="1:26" s="63" customFormat="1" x14ac:dyDescent="0.2">
      <c r="A11" s="148" t="s">
        <v>153</v>
      </c>
      <c r="B11" s="23"/>
      <c r="Z11" s="26"/>
    </row>
    <row r="12" spans="1:26" x14ac:dyDescent="0.2">
      <c r="A12" s="194" t="s">
        <v>3454</v>
      </c>
      <c r="B12" s="62"/>
      <c r="C12" s="63"/>
      <c r="D12" s="63"/>
      <c r="E12" s="63"/>
      <c r="F12" s="63"/>
      <c r="G12" s="63"/>
      <c r="I12" s="63"/>
      <c r="J12" s="63"/>
      <c r="K12" s="63"/>
      <c r="M12" s="63"/>
      <c r="N12" s="63"/>
      <c r="O12" s="63"/>
      <c r="P12" s="63"/>
      <c r="Q12" s="63"/>
      <c r="R12" s="63"/>
      <c r="S12" s="63"/>
      <c r="T12" s="63"/>
      <c r="U12" s="63"/>
      <c r="V12" s="63"/>
      <c r="W12" s="63"/>
      <c r="X12" s="63"/>
      <c r="Y12" s="63"/>
      <c r="Z12" s="63"/>
    </row>
    <row r="13" spans="1:26" x14ac:dyDescent="0.2">
      <c r="A13" s="195" t="s">
        <v>3455</v>
      </c>
      <c r="B13" s="62"/>
      <c r="C13" s="63"/>
      <c r="D13" s="63"/>
      <c r="E13" s="63"/>
      <c r="F13" s="63"/>
      <c r="G13" s="63"/>
      <c r="I13" s="63"/>
      <c r="J13" s="63"/>
      <c r="K13" s="63"/>
      <c r="M13" s="63"/>
      <c r="N13" s="63"/>
      <c r="O13" s="63"/>
      <c r="P13" s="63"/>
      <c r="Q13" s="63"/>
      <c r="R13" s="63"/>
      <c r="S13" s="63"/>
      <c r="T13" s="63"/>
      <c r="U13" s="63"/>
      <c r="V13" s="63"/>
      <c r="W13" s="63"/>
      <c r="X13" s="63"/>
      <c r="Y13" s="63"/>
      <c r="Z13" s="63"/>
    </row>
    <row r="14" spans="1:26" x14ac:dyDescent="0.2">
      <c r="A14" s="196" t="s">
        <v>234</v>
      </c>
      <c r="B14" s="116"/>
      <c r="C14" s="63"/>
      <c r="D14" s="63"/>
      <c r="E14" s="63"/>
      <c r="F14" s="63"/>
      <c r="G14" s="63"/>
      <c r="I14" s="63"/>
      <c r="J14" s="63"/>
      <c r="K14" s="63"/>
      <c r="M14" s="63"/>
      <c r="N14" s="63"/>
      <c r="O14" s="63"/>
      <c r="P14" s="63"/>
      <c r="Q14" s="63"/>
      <c r="R14" s="63"/>
      <c r="S14" s="63"/>
      <c r="T14" s="63"/>
      <c r="U14" s="63"/>
      <c r="V14" s="63"/>
      <c r="W14" s="63"/>
      <c r="X14" s="63"/>
      <c r="Y14" s="63"/>
      <c r="Z14" s="63"/>
    </row>
    <row r="15" spans="1:26" s="63" customFormat="1" x14ac:dyDescent="0.2">
      <c r="A15" s="149"/>
      <c r="B15" s="26"/>
    </row>
    <row r="16" spans="1:26" s="63" customFormat="1" x14ac:dyDescent="0.2">
      <c r="A16" s="150" t="s">
        <v>3456</v>
      </c>
      <c r="B16" s="69"/>
    </row>
    <row r="17" spans="1:2" s="63" customFormat="1" x14ac:dyDescent="0.2">
      <c r="A17" s="151" t="s">
        <v>3457</v>
      </c>
      <c r="B17" s="175"/>
    </row>
    <row r="18" spans="1:2" s="63" customFormat="1" x14ac:dyDescent="0.2">
      <c r="A18" s="151" t="s">
        <v>3458</v>
      </c>
      <c r="B18" s="175"/>
    </row>
    <row r="19" spans="1:2" s="63" customFormat="1" ht="78" customHeight="1" x14ac:dyDescent="0.2">
      <c r="A19" s="71" t="s">
        <v>238</v>
      </c>
      <c r="B19" s="182" t="e">
        <f>VLOOKUP(B18,Lookups2!AI:AJ,2,0)</f>
        <v>#N/A</v>
      </c>
    </row>
    <row r="20" spans="1:2" s="63" customFormat="1" x14ac:dyDescent="0.2">
      <c r="A20" s="149"/>
      <c r="B20" s="26"/>
    </row>
    <row r="21" spans="1:2" s="63" customFormat="1" x14ac:dyDescent="0.2">
      <c r="A21" s="150" t="s">
        <v>3459</v>
      </c>
      <c r="B21" s="69"/>
    </row>
    <row r="22" spans="1:2" s="63" customFormat="1" x14ac:dyDescent="0.2">
      <c r="A22" s="151" t="s">
        <v>3460</v>
      </c>
      <c r="B22" s="84"/>
    </row>
    <row r="23" spans="1:2" s="63" customFormat="1" x14ac:dyDescent="0.2">
      <c r="A23" s="151" t="s">
        <v>3461</v>
      </c>
      <c r="B23" s="84"/>
    </row>
    <row r="24" spans="1:2" s="63" customFormat="1" x14ac:dyDescent="0.2">
      <c r="A24" s="151" t="s">
        <v>3462</v>
      </c>
      <c r="B24" s="84"/>
    </row>
    <row r="25" spans="1:2" s="63" customFormat="1" x14ac:dyDescent="0.2">
      <c r="A25" s="151" t="s">
        <v>3463</v>
      </c>
      <c r="B25" s="84"/>
    </row>
    <row r="26" spans="1:2" s="63" customFormat="1" x14ac:dyDescent="0.2">
      <c r="A26" s="151" t="s">
        <v>3464</v>
      </c>
      <c r="B26" s="84"/>
    </row>
    <row r="27" spans="1:2" s="63" customFormat="1" x14ac:dyDescent="0.2">
      <c r="A27" s="173" t="s">
        <v>3465</v>
      </c>
      <c r="B27" s="84"/>
    </row>
    <row r="28" spans="1:2" s="63" customFormat="1" x14ac:dyDescent="0.2">
      <c r="A28" s="149"/>
      <c r="B28" s="26"/>
    </row>
    <row r="29" spans="1:2" s="63" customFormat="1" x14ac:dyDescent="0.2">
      <c r="A29" s="65" t="s">
        <v>3446</v>
      </c>
      <c r="B29" s="69"/>
    </row>
    <row r="30" spans="1:2" s="63" customFormat="1" x14ac:dyDescent="0.2">
      <c r="A30" s="134" t="s">
        <v>3466</v>
      </c>
      <c r="B30" s="84"/>
    </row>
    <row r="31" spans="1:2" x14ac:dyDescent="0.2">
      <c r="A31" s="8"/>
      <c r="B31" s="9"/>
    </row>
    <row r="32" spans="1:2" x14ac:dyDescent="0.2">
      <c r="A32" s="65" t="s">
        <v>3467</v>
      </c>
      <c r="B32" s="69"/>
    </row>
    <row r="33" spans="1:25" ht="14.25" x14ac:dyDescent="0.25">
      <c r="A33" s="134" t="s">
        <v>232</v>
      </c>
      <c r="B33" s="176"/>
      <c r="C33" s="63"/>
      <c r="D33" s="63"/>
      <c r="E33" s="63"/>
      <c r="F33" s="63"/>
      <c r="G33" s="63"/>
      <c r="I33" s="63"/>
      <c r="J33" s="63"/>
      <c r="K33" s="63"/>
      <c r="M33" s="63"/>
      <c r="N33" s="63"/>
      <c r="O33" s="63"/>
      <c r="P33" s="63"/>
      <c r="Q33" s="63"/>
      <c r="R33" s="63"/>
      <c r="S33" s="63"/>
      <c r="T33" s="63"/>
      <c r="U33" s="63"/>
      <c r="V33" s="63"/>
      <c r="W33" s="63"/>
      <c r="X33" s="63"/>
      <c r="Y33" s="63"/>
    </row>
    <row r="34" spans="1:25" x14ac:dyDescent="0.2">
      <c r="A34" s="67" t="s">
        <v>3468</v>
      </c>
      <c r="B34" s="68"/>
      <c r="C34" s="63"/>
      <c r="D34" s="63"/>
      <c r="E34" s="63"/>
      <c r="F34" s="63"/>
      <c r="G34" s="63"/>
      <c r="I34" s="63"/>
      <c r="J34" s="63"/>
      <c r="K34" s="63"/>
      <c r="M34" s="63"/>
      <c r="N34" s="63"/>
      <c r="O34" s="63"/>
      <c r="P34" s="63"/>
      <c r="Q34" s="63"/>
      <c r="R34" s="63"/>
      <c r="S34" s="63"/>
      <c r="T34" s="63"/>
      <c r="U34" s="63"/>
      <c r="V34" s="63"/>
      <c r="W34" s="63"/>
      <c r="X34" s="63"/>
      <c r="Y34" s="63"/>
    </row>
    <row r="35" spans="1:25" ht="14.25" x14ac:dyDescent="0.25">
      <c r="A35" s="73"/>
      <c r="B35" s="73"/>
      <c r="C35" s="63"/>
      <c r="D35" s="63"/>
      <c r="E35" s="63"/>
      <c r="F35" s="63"/>
      <c r="G35" s="63"/>
      <c r="I35" s="63"/>
      <c r="J35" s="63"/>
      <c r="K35" s="63"/>
      <c r="M35" s="63"/>
      <c r="N35" s="63"/>
      <c r="O35" s="63"/>
      <c r="P35" s="63"/>
      <c r="Q35" s="63"/>
      <c r="R35" s="63"/>
      <c r="S35" s="63"/>
      <c r="T35" s="63"/>
      <c r="U35" s="63"/>
      <c r="V35" s="63"/>
      <c r="W35" s="63"/>
      <c r="X35" s="63"/>
      <c r="Y35" s="63"/>
    </row>
    <row r="36" spans="1:25" x14ac:dyDescent="0.2">
      <c r="A36" s="65" t="s">
        <v>754</v>
      </c>
      <c r="B36" s="69"/>
      <c r="C36" s="63"/>
      <c r="D36" s="63"/>
      <c r="E36" s="63"/>
      <c r="F36" s="63"/>
      <c r="G36" s="63"/>
      <c r="I36" s="63"/>
      <c r="J36" s="63"/>
      <c r="K36" s="63"/>
      <c r="M36" s="63"/>
      <c r="N36" s="63"/>
      <c r="O36" s="63"/>
      <c r="P36" s="63"/>
      <c r="Q36" s="63"/>
      <c r="R36" s="63"/>
      <c r="S36" s="63"/>
      <c r="T36" s="63"/>
      <c r="U36" s="63"/>
      <c r="V36" s="63"/>
      <c r="W36" s="63"/>
      <c r="X36" s="63"/>
      <c r="Y36" s="63"/>
    </row>
    <row r="37" spans="1:25" ht="14.25" x14ac:dyDescent="0.25">
      <c r="A37" s="135" t="s">
        <v>3469</v>
      </c>
      <c r="B37" s="70"/>
      <c r="C37" s="63"/>
      <c r="D37" s="63"/>
      <c r="E37" s="63"/>
      <c r="F37" s="63"/>
      <c r="G37" s="63"/>
      <c r="I37" s="63"/>
      <c r="J37" s="63"/>
      <c r="K37" s="63"/>
      <c r="M37" s="63"/>
      <c r="N37" s="63"/>
      <c r="O37" s="63"/>
      <c r="P37" s="63"/>
      <c r="Q37" s="63"/>
      <c r="R37" s="63"/>
      <c r="S37" s="63"/>
      <c r="T37" s="63"/>
      <c r="U37" s="63"/>
      <c r="V37" s="63"/>
      <c r="W37" s="63"/>
      <c r="X37" s="63"/>
      <c r="Y37" s="63"/>
    </row>
    <row r="38" spans="1:25" x14ac:dyDescent="0.2">
      <c r="A38" s="136" t="s">
        <v>3470</v>
      </c>
      <c r="B38" s="68"/>
      <c r="C38" s="63"/>
      <c r="D38" s="63"/>
      <c r="E38" s="63"/>
      <c r="F38" s="63"/>
      <c r="G38" s="63"/>
      <c r="I38" s="63"/>
      <c r="J38" s="63"/>
      <c r="K38" s="63"/>
      <c r="M38" s="63"/>
      <c r="N38" s="63"/>
      <c r="O38" s="63"/>
      <c r="P38" s="63"/>
      <c r="Q38" s="63"/>
      <c r="R38" s="63"/>
      <c r="S38" s="63"/>
      <c r="T38" s="63"/>
      <c r="U38" s="63"/>
      <c r="V38" s="63"/>
      <c r="W38" s="63"/>
      <c r="X38" s="63"/>
      <c r="Y38" s="63"/>
    </row>
    <row r="39" spans="1:25" x14ac:dyDescent="0.2">
      <c r="A39" s="63"/>
      <c r="B39" s="63"/>
      <c r="C39" s="63"/>
      <c r="D39" s="63"/>
      <c r="E39" s="63"/>
      <c r="F39" s="63"/>
      <c r="G39" s="63"/>
      <c r="I39" s="63"/>
      <c r="J39" s="63"/>
      <c r="K39" s="63"/>
      <c r="M39" s="63"/>
      <c r="N39" s="63"/>
      <c r="O39" s="63"/>
      <c r="P39" s="63"/>
      <c r="Q39" s="63"/>
      <c r="R39" s="63"/>
      <c r="S39" s="63"/>
      <c r="T39" s="63"/>
      <c r="U39" s="63"/>
      <c r="V39" s="63"/>
      <c r="W39" s="63"/>
      <c r="X39" s="63"/>
      <c r="Y39" s="63"/>
    </row>
    <row r="40" spans="1:25" x14ac:dyDescent="0.2">
      <c r="A40" s="65" t="s">
        <v>3471</v>
      </c>
      <c r="B40" s="66"/>
      <c r="C40" s="63"/>
      <c r="D40" s="63"/>
      <c r="E40" s="63"/>
      <c r="F40" s="63"/>
      <c r="G40" s="63"/>
      <c r="I40" s="63"/>
      <c r="J40" s="63"/>
      <c r="K40" s="63"/>
      <c r="M40" s="63"/>
      <c r="N40" s="63"/>
      <c r="O40" s="63"/>
      <c r="P40" s="63"/>
      <c r="Q40" s="63"/>
      <c r="R40" s="63"/>
      <c r="S40" s="63"/>
      <c r="T40" s="63"/>
      <c r="U40" s="63"/>
      <c r="V40" s="63"/>
      <c r="W40" s="63"/>
      <c r="X40" s="63"/>
      <c r="Y40" s="63"/>
    </row>
    <row r="41" spans="1:25" x14ac:dyDescent="0.2">
      <c r="A41" s="152" t="s">
        <v>3472</v>
      </c>
      <c r="B41" s="64"/>
      <c r="C41" s="63"/>
      <c r="D41" s="63"/>
      <c r="E41" s="63"/>
      <c r="F41" s="63"/>
      <c r="G41" s="63"/>
      <c r="I41" s="63"/>
      <c r="J41" s="63"/>
      <c r="K41" s="63"/>
      <c r="M41" s="63"/>
      <c r="N41" s="63"/>
      <c r="O41" s="63"/>
      <c r="P41" s="63"/>
      <c r="Q41" s="63"/>
      <c r="R41" s="63"/>
      <c r="S41" s="63"/>
      <c r="T41" s="63"/>
      <c r="U41" s="63"/>
      <c r="V41" s="63"/>
      <c r="W41" s="63"/>
      <c r="X41" s="63"/>
      <c r="Y41" s="63"/>
    </row>
    <row r="42" spans="1:25" x14ac:dyDescent="0.2">
      <c r="A42" s="152" t="s">
        <v>3473</v>
      </c>
      <c r="B42" s="64"/>
      <c r="C42" s="63"/>
      <c r="D42" s="63"/>
      <c r="E42" s="63"/>
      <c r="F42" s="63"/>
      <c r="G42" s="63"/>
      <c r="I42" s="63"/>
      <c r="J42" s="63"/>
      <c r="K42" s="63"/>
      <c r="M42" s="63"/>
      <c r="N42" s="63"/>
      <c r="O42" s="63"/>
      <c r="P42" s="63"/>
      <c r="Q42" s="63"/>
      <c r="R42" s="63"/>
      <c r="S42" s="63"/>
      <c r="T42" s="63"/>
      <c r="U42" s="63"/>
      <c r="V42" s="63"/>
      <c r="W42" s="63"/>
      <c r="X42" s="63"/>
      <c r="Y42" s="63"/>
    </row>
    <row r="43" spans="1:25" x14ac:dyDescent="0.2">
      <c r="A43" s="63"/>
      <c r="B43" s="63"/>
      <c r="C43" s="63"/>
      <c r="D43" s="63"/>
      <c r="E43" s="63"/>
      <c r="F43" s="63"/>
      <c r="G43" s="63"/>
      <c r="I43" s="63"/>
      <c r="J43" s="63"/>
      <c r="K43" s="63"/>
      <c r="M43" s="63"/>
      <c r="N43" s="63"/>
      <c r="O43" s="63"/>
      <c r="P43" s="63"/>
      <c r="Q43" s="63"/>
      <c r="R43" s="63"/>
      <c r="S43" s="63"/>
      <c r="T43" s="63"/>
      <c r="U43" s="63"/>
      <c r="V43" s="63"/>
      <c r="W43" s="63"/>
      <c r="X43" s="63"/>
      <c r="Y43" s="63"/>
    </row>
    <row r="44" spans="1:25" x14ac:dyDescent="0.2">
      <c r="A44" s="250" t="s">
        <v>3474</v>
      </c>
      <c r="B44" s="251"/>
      <c r="C44" s="63"/>
      <c r="D44" s="63"/>
      <c r="E44" s="63"/>
      <c r="F44" s="63"/>
      <c r="G44" s="63"/>
      <c r="I44" s="63"/>
      <c r="J44" s="63"/>
      <c r="K44" s="63"/>
      <c r="M44" s="63"/>
      <c r="N44" s="63"/>
      <c r="O44" s="63"/>
      <c r="P44" s="63"/>
      <c r="Q44" s="63"/>
      <c r="R44" s="63"/>
      <c r="S44" s="63"/>
      <c r="T44" s="63"/>
      <c r="U44" s="63"/>
      <c r="V44" s="63"/>
      <c r="W44" s="63"/>
      <c r="X44" s="63"/>
      <c r="Y44" s="63"/>
    </row>
    <row r="45" spans="1:25" s="63" customFormat="1" x14ac:dyDescent="0.2">
      <c r="A45" s="131" t="s">
        <v>3475</v>
      </c>
      <c r="B45" s="91"/>
    </row>
    <row r="46" spans="1:25" s="63" customFormat="1" x14ac:dyDescent="0.2">
      <c r="A46" s="132" t="s">
        <v>3476</v>
      </c>
      <c r="B46" s="92"/>
    </row>
    <row r="47" spans="1:25" s="63" customFormat="1" x14ac:dyDescent="0.2">
      <c r="A47" s="132" t="s">
        <v>3477</v>
      </c>
      <c r="B47" s="55"/>
    </row>
    <row r="48" spans="1:25" s="63" customFormat="1" x14ac:dyDescent="0.2">
      <c r="A48" s="133" t="s">
        <v>3478</v>
      </c>
      <c r="B48" s="94"/>
    </row>
    <row r="49" spans="1:25" s="63" customFormat="1" x14ac:dyDescent="0.2">
      <c r="A49" s="133" t="s">
        <v>3479</v>
      </c>
      <c r="B49" s="49"/>
    </row>
    <row r="50" spans="1:25" s="63" customFormat="1" x14ac:dyDescent="0.2">
      <c r="A50" s="44" t="s">
        <v>3480</v>
      </c>
      <c r="B50" s="28"/>
    </row>
    <row r="51" spans="1:25" s="63" customFormat="1" x14ac:dyDescent="0.2">
      <c r="A51" s="192" t="s">
        <v>3481</v>
      </c>
      <c r="B51" s="282"/>
    </row>
    <row r="52" spans="1:25" x14ac:dyDescent="0.2">
      <c r="A52" s="81"/>
      <c r="B52" s="283"/>
      <c r="C52" s="63"/>
      <c r="D52" s="63"/>
      <c r="E52" s="63"/>
      <c r="F52" s="63"/>
      <c r="G52" s="63"/>
      <c r="I52" s="63"/>
      <c r="J52" s="63"/>
      <c r="K52" s="63"/>
      <c r="M52" s="63"/>
      <c r="N52" s="63"/>
      <c r="O52" s="63"/>
      <c r="P52" s="63"/>
      <c r="Q52" s="63"/>
      <c r="R52" s="63"/>
      <c r="S52" s="63"/>
      <c r="T52" s="63"/>
      <c r="U52" s="63"/>
      <c r="V52" s="63"/>
      <c r="W52" s="63"/>
      <c r="X52" s="63"/>
      <c r="Y52" s="63"/>
    </row>
    <row r="53" spans="1:25" x14ac:dyDescent="0.2">
      <c r="A53" s="81"/>
      <c r="B53" s="283"/>
      <c r="C53" s="63"/>
      <c r="D53" s="63"/>
      <c r="E53" s="63"/>
      <c r="F53" s="63"/>
      <c r="G53" s="63"/>
      <c r="I53" s="63"/>
      <c r="J53" s="63"/>
      <c r="K53" s="63"/>
      <c r="M53" s="63"/>
      <c r="N53" s="63"/>
      <c r="O53" s="63"/>
      <c r="P53" s="63"/>
      <c r="Q53" s="63"/>
      <c r="R53" s="63"/>
      <c r="S53" s="63"/>
      <c r="T53" s="63"/>
      <c r="U53" s="63"/>
      <c r="V53" s="63"/>
      <c r="W53" s="63"/>
      <c r="X53" s="63"/>
      <c r="Y53" s="63"/>
    </row>
    <row r="54" spans="1:25" x14ac:dyDescent="0.2">
      <c r="A54" s="81"/>
      <c r="B54" s="283"/>
      <c r="C54" s="63"/>
      <c r="D54" s="63"/>
      <c r="E54" s="63"/>
      <c r="F54" s="63"/>
      <c r="G54" s="63"/>
      <c r="I54" s="63"/>
      <c r="J54" s="63"/>
      <c r="K54" s="63"/>
      <c r="M54" s="63"/>
      <c r="N54" s="63"/>
      <c r="O54" s="63"/>
      <c r="P54" s="63"/>
      <c r="Q54" s="63"/>
      <c r="R54" s="63"/>
      <c r="S54" s="63"/>
      <c r="T54" s="63"/>
      <c r="U54" s="63"/>
      <c r="V54" s="63"/>
      <c r="W54" s="63"/>
      <c r="X54" s="63"/>
      <c r="Y54" s="63"/>
    </row>
    <row r="55" spans="1:25" x14ac:dyDescent="0.2">
      <c r="A55" s="81"/>
      <c r="B55" s="283"/>
      <c r="C55" s="63"/>
      <c r="D55" s="63"/>
      <c r="E55" s="63"/>
      <c r="F55" s="63"/>
      <c r="G55" s="63"/>
      <c r="I55" s="63"/>
      <c r="J55" s="63"/>
      <c r="K55" s="63"/>
      <c r="M55" s="63"/>
      <c r="N55" s="63"/>
      <c r="O55" s="63"/>
      <c r="P55" s="63"/>
      <c r="Q55" s="63"/>
      <c r="R55" s="63"/>
      <c r="S55" s="63"/>
      <c r="T55" s="63"/>
      <c r="U55" s="63"/>
      <c r="V55" s="63"/>
      <c r="W55" s="63"/>
      <c r="X55" s="63"/>
      <c r="Y55" s="63"/>
    </row>
    <row r="56" spans="1:25" x14ac:dyDescent="0.2">
      <c r="A56" s="81"/>
      <c r="B56" s="283"/>
      <c r="C56" s="63"/>
      <c r="D56" s="63"/>
      <c r="E56" s="63"/>
      <c r="F56" s="63"/>
      <c r="G56" s="63"/>
      <c r="I56" s="63"/>
      <c r="J56" s="63"/>
      <c r="K56" s="63"/>
      <c r="M56" s="63"/>
      <c r="N56" s="63"/>
      <c r="O56" s="63"/>
      <c r="P56" s="63"/>
      <c r="Q56" s="63"/>
      <c r="R56" s="63"/>
      <c r="S56" s="63"/>
      <c r="T56" s="63"/>
      <c r="U56" s="63"/>
      <c r="V56" s="63"/>
      <c r="W56" s="63"/>
      <c r="X56" s="63"/>
      <c r="Y56" s="63"/>
    </row>
    <row r="57" spans="1:25" x14ac:dyDescent="0.2">
      <c r="A57" s="81"/>
      <c r="B57" s="283"/>
      <c r="C57" s="63"/>
      <c r="D57" s="63"/>
      <c r="E57" s="63"/>
      <c r="F57" s="63"/>
      <c r="G57" s="63"/>
      <c r="I57" s="63"/>
      <c r="J57" s="63"/>
      <c r="K57" s="63"/>
      <c r="M57" s="63"/>
      <c r="N57" s="63"/>
      <c r="O57" s="63"/>
      <c r="P57" s="63"/>
      <c r="Q57" s="63"/>
      <c r="R57" s="63"/>
      <c r="S57" s="63"/>
      <c r="T57" s="63"/>
      <c r="U57" s="63"/>
      <c r="V57" s="63"/>
      <c r="W57" s="63"/>
      <c r="X57" s="63"/>
      <c r="Y57" s="63"/>
    </row>
    <row r="58" spans="1:25" x14ac:dyDescent="0.2">
      <c r="A58" s="82"/>
      <c r="B58" s="284"/>
      <c r="C58" s="63"/>
      <c r="D58" s="63"/>
      <c r="E58" s="63"/>
      <c r="F58" s="63"/>
      <c r="G58" s="63"/>
      <c r="I58" s="63"/>
      <c r="J58" s="63"/>
      <c r="K58" s="63"/>
      <c r="M58" s="63"/>
      <c r="N58" s="63"/>
      <c r="O58" s="63"/>
      <c r="P58" s="63"/>
      <c r="Q58" s="63"/>
      <c r="R58" s="63"/>
      <c r="S58" s="63"/>
      <c r="T58" s="63"/>
      <c r="U58" s="63"/>
      <c r="V58" s="63"/>
      <c r="W58" s="63"/>
      <c r="X58" s="63"/>
      <c r="Y58" s="63"/>
    </row>
    <row r="59" spans="1:25" x14ac:dyDescent="0.2">
      <c r="A59" s="63"/>
      <c r="B59" s="63"/>
      <c r="C59" s="63"/>
      <c r="D59" s="63"/>
      <c r="E59" s="63"/>
      <c r="F59" s="63"/>
      <c r="G59" s="63"/>
      <c r="I59" s="63"/>
      <c r="J59" s="63"/>
      <c r="K59" s="63"/>
      <c r="M59" s="63"/>
      <c r="N59" s="63"/>
      <c r="O59" s="63"/>
      <c r="P59" s="63"/>
      <c r="Q59" s="63"/>
      <c r="R59" s="63"/>
      <c r="S59" s="63"/>
      <c r="T59" s="63"/>
      <c r="U59" s="63"/>
      <c r="V59" s="63"/>
      <c r="W59" s="63"/>
      <c r="X59" s="63"/>
      <c r="Y59" s="63"/>
    </row>
    <row r="60" spans="1:25" x14ac:dyDescent="0.2">
      <c r="A60" s="65" t="s">
        <v>3482</v>
      </c>
      <c r="B60" s="69"/>
      <c r="C60" s="63"/>
      <c r="D60" s="63"/>
      <c r="E60" s="63"/>
      <c r="F60" s="63"/>
      <c r="G60" s="63"/>
      <c r="I60" s="63"/>
      <c r="J60" s="63"/>
      <c r="K60" s="63"/>
      <c r="M60" s="63"/>
      <c r="N60" s="63"/>
      <c r="O60" s="63"/>
      <c r="P60" s="63"/>
      <c r="Q60" s="63"/>
      <c r="R60" s="63"/>
      <c r="S60" s="63"/>
      <c r="T60" s="63"/>
      <c r="U60" s="63"/>
      <c r="V60" s="63"/>
      <c r="W60" s="63"/>
      <c r="X60" s="63"/>
      <c r="Y60" s="63"/>
    </row>
    <row r="61" spans="1:25" x14ac:dyDescent="0.2">
      <c r="A61" s="61" t="s">
        <v>3483</v>
      </c>
      <c r="B61" s="23"/>
      <c r="C61" s="63"/>
      <c r="D61" s="63"/>
      <c r="E61" s="63"/>
      <c r="F61" s="63"/>
      <c r="G61" s="63"/>
      <c r="I61" s="63"/>
      <c r="J61" s="63"/>
      <c r="K61" s="63"/>
      <c r="M61" s="63"/>
      <c r="N61" s="63"/>
      <c r="O61" s="63"/>
      <c r="P61" s="63"/>
      <c r="Q61" s="63"/>
      <c r="R61" s="63"/>
      <c r="S61" s="63"/>
      <c r="T61" s="63"/>
      <c r="U61" s="63"/>
      <c r="V61" s="63"/>
      <c r="W61" s="63"/>
      <c r="X61" s="63"/>
      <c r="Y61" s="63"/>
    </row>
    <row r="62" spans="1:25" x14ac:dyDescent="0.2">
      <c r="A62" s="63"/>
      <c r="B62" s="63"/>
      <c r="C62" s="63"/>
      <c r="D62" s="63"/>
      <c r="E62" s="63"/>
      <c r="F62" s="63"/>
      <c r="G62" s="63"/>
      <c r="I62" s="63"/>
      <c r="J62" s="63"/>
      <c r="K62" s="63"/>
      <c r="M62" s="63"/>
      <c r="N62" s="63"/>
      <c r="O62" s="63"/>
      <c r="P62" s="63"/>
      <c r="Q62" s="63"/>
      <c r="R62" s="63"/>
      <c r="S62" s="63"/>
      <c r="T62" s="63"/>
      <c r="U62" s="63"/>
      <c r="V62" s="63"/>
      <c r="W62" s="63"/>
      <c r="X62" s="63"/>
      <c r="Y62" s="63"/>
    </row>
    <row r="63" spans="1:25" x14ac:dyDescent="0.2">
      <c r="A63" s="250" t="s">
        <v>3484</v>
      </c>
      <c r="B63" s="251"/>
      <c r="C63" s="63"/>
      <c r="D63" s="63"/>
      <c r="E63" s="63"/>
      <c r="F63" s="63"/>
      <c r="G63" s="63"/>
      <c r="I63" s="63"/>
      <c r="J63" s="63"/>
      <c r="K63" s="63"/>
      <c r="M63" s="63"/>
      <c r="N63" s="63"/>
      <c r="O63" s="63"/>
      <c r="P63" s="63"/>
      <c r="Q63" s="63"/>
      <c r="R63" s="63"/>
      <c r="S63" s="63"/>
      <c r="T63" s="63"/>
      <c r="U63" s="63"/>
      <c r="V63" s="63"/>
      <c r="W63" s="63"/>
      <c r="X63" s="63"/>
      <c r="Y63" s="63"/>
    </row>
    <row r="64" spans="1:25" x14ac:dyDescent="0.2">
      <c r="A64" s="197" t="s">
        <v>3475</v>
      </c>
      <c r="B64" s="91"/>
      <c r="C64" s="63"/>
      <c r="D64" s="63"/>
      <c r="E64" s="63"/>
      <c r="F64" s="63"/>
      <c r="G64" s="63"/>
      <c r="I64" s="63"/>
      <c r="J64" s="63"/>
      <c r="K64" s="63"/>
      <c r="M64" s="63"/>
      <c r="N64" s="63"/>
      <c r="O64" s="63"/>
      <c r="P64" s="63"/>
      <c r="Q64" s="63"/>
      <c r="R64" s="63"/>
      <c r="S64" s="63"/>
      <c r="T64" s="63"/>
      <c r="U64" s="63"/>
      <c r="V64" s="63"/>
      <c r="W64" s="63"/>
      <c r="X64" s="63"/>
      <c r="Y64" s="63"/>
    </row>
    <row r="65" spans="1:2" x14ac:dyDescent="0.2">
      <c r="A65" s="198" t="s">
        <v>3476</v>
      </c>
      <c r="B65" s="92"/>
    </row>
    <row r="66" spans="1:2" x14ac:dyDescent="0.2">
      <c r="A66" s="198" t="s">
        <v>3477</v>
      </c>
      <c r="B66" s="55"/>
    </row>
    <row r="67" spans="1:2" x14ac:dyDescent="0.2">
      <c r="A67" s="107" t="s">
        <v>238</v>
      </c>
      <c r="B67" s="282"/>
    </row>
    <row r="68" spans="1:2" x14ac:dyDescent="0.2">
      <c r="A68" s="81"/>
      <c r="B68" s="283"/>
    </row>
    <row r="69" spans="1:2" x14ac:dyDescent="0.2">
      <c r="A69" s="81"/>
      <c r="B69" s="283"/>
    </row>
    <row r="70" spans="1:2" x14ac:dyDescent="0.2">
      <c r="A70" s="81"/>
      <c r="B70" s="283"/>
    </row>
    <row r="71" spans="1:2" x14ac:dyDescent="0.2">
      <c r="A71" s="81"/>
      <c r="B71" s="283"/>
    </row>
    <row r="72" spans="1:2" x14ac:dyDescent="0.2">
      <c r="A72" s="81"/>
      <c r="B72" s="283"/>
    </row>
    <row r="73" spans="1:2" x14ac:dyDescent="0.2">
      <c r="A73" s="81"/>
      <c r="B73" s="283"/>
    </row>
    <row r="74" spans="1:2" x14ac:dyDescent="0.2">
      <c r="A74" s="82"/>
      <c r="B74" s="284"/>
    </row>
    <row r="75" spans="1:2" x14ac:dyDescent="0.2">
      <c r="A75" s="63"/>
      <c r="B75" s="63"/>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s="63" customFormat="1" x14ac:dyDescent="0.2">
      <c r="B80" s="115"/>
    </row>
    <row r="81" spans="1:2" x14ac:dyDescent="0.2">
      <c r="A81" s="63"/>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8" spans="1:2" s="63" customFormat="1" x14ac:dyDescent="0.2"/>
    <row r="89" spans="1:2" s="63" customFormat="1" x14ac:dyDescent="0.2">
      <c r="A89" s="250" t="s">
        <v>3492</v>
      </c>
      <c r="B89" s="251"/>
    </row>
    <row r="90" spans="1:2" s="63" customFormat="1" x14ac:dyDescent="0.2">
      <c r="A90" s="144" t="s">
        <v>3475</v>
      </c>
      <c r="B90" s="12" t="s">
        <v>345</v>
      </c>
    </row>
    <row r="91" spans="1:2" s="63" customFormat="1" x14ac:dyDescent="0.2">
      <c r="A91" s="145" t="s">
        <v>3476</v>
      </c>
      <c r="B91" s="54"/>
    </row>
    <row r="92" spans="1:2" s="63" customFormat="1" x14ac:dyDescent="0.2">
      <c r="A92" s="145" t="s">
        <v>3477</v>
      </c>
      <c r="B92" s="55"/>
    </row>
    <row r="93" spans="1:2" x14ac:dyDescent="0.2">
      <c r="A93" s="146" t="s">
        <v>3478</v>
      </c>
      <c r="B93" s="50"/>
    </row>
    <row r="94" spans="1:2" x14ac:dyDescent="0.2">
      <c r="A94" s="146" t="s">
        <v>3479</v>
      </c>
      <c r="B94" s="49"/>
    </row>
    <row r="95" spans="1:2" s="63" customFormat="1"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G2:I2"/>
    <mergeCell ref="N8:R8"/>
    <mergeCell ref="K8:M8"/>
    <mergeCell ref="B5:F5"/>
    <mergeCell ref="A3:F3"/>
    <mergeCell ref="B4:F4"/>
    <mergeCell ref="B6:F6"/>
    <mergeCell ref="B96:B103"/>
    <mergeCell ref="V8:Y8"/>
    <mergeCell ref="G8:J8"/>
    <mergeCell ref="B67:B74"/>
    <mergeCell ref="B51:B58"/>
  </mergeCells>
  <conditionalFormatting sqref="B31">
    <cfRule type="cellIs" dxfId="1273" priority="27" operator="equal">
      <formula>"?"</formula>
    </cfRule>
  </conditionalFormatting>
  <conditionalFormatting sqref="B47:B48">
    <cfRule type="cellIs" dxfId="1272" priority="21" operator="equal">
      <formula>"&lt;unk.&gt;"</formula>
    </cfRule>
  </conditionalFormatting>
  <conditionalFormatting sqref="B45">
    <cfRule type="cellIs" dxfId="1271" priority="20" operator="equal">
      <formula>"&lt;unk.&gt;"</formula>
    </cfRule>
  </conditionalFormatting>
  <conditionalFormatting sqref="B46">
    <cfRule type="cellIs" dxfId="1270" priority="19" operator="equal">
      <formula>"&lt;unk.&gt;"</formula>
    </cfRule>
  </conditionalFormatting>
  <conditionalFormatting sqref="B49">
    <cfRule type="cellIs" dxfId="1269" priority="18" operator="equal">
      <formula>"&lt;unk.&gt;"</formula>
    </cfRule>
  </conditionalFormatting>
  <conditionalFormatting sqref="B50">
    <cfRule type="cellIs" dxfId="1268" priority="17" operator="equal">
      <formula>"&lt;unk.&gt;"</formula>
    </cfRule>
  </conditionalFormatting>
  <conditionalFormatting sqref="B66">
    <cfRule type="cellIs" dxfId="1267" priority="16" operator="equal">
      <formula>"&lt;unk.&gt;"</formula>
    </cfRule>
  </conditionalFormatting>
  <conditionalFormatting sqref="B64">
    <cfRule type="cellIs" dxfId="1266" priority="15" operator="equal">
      <formula>"&lt;unk.&gt;"</formula>
    </cfRule>
  </conditionalFormatting>
  <conditionalFormatting sqref="B65">
    <cfRule type="cellIs" dxfId="1265" priority="14" operator="equal">
      <formula>"&lt;unk.&gt;"</formula>
    </cfRule>
  </conditionalFormatting>
  <conditionalFormatting sqref="B92:B93">
    <cfRule type="cellIs" dxfId="1264" priority="11" operator="equal">
      <formula>"&lt;unk.&gt;"</formula>
    </cfRule>
  </conditionalFormatting>
  <conditionalFormatting sqref="B90">
    <cfRule type="cellIs" dxfId="1263" priority="10" operator="equal">
      <formula>"&lt;unk.&gt;"</formula>
    </cfRule>
  </conditionalFormatting>
  <conditionalFormatting sqref="B91">
    <cfRule type="cellIs" dxfId="1262" priority="9" operator="equal">
      <formula>"&lt;unk.&gt;"</formula>
    </cfRule>
  </conditionalFormatting>
  <conditionalFormatting sqref="B94">
    <cfRule type="cellIs" dxfId="1261" priority="8" operator="equal">
      <formula>"&lt;unk.&gt;"</formula>
    </cfRule>
  </conditionalFormatting>
  <conditionalFormatting sqref="B95">
    <cfRule type="cellIs" dxfId="1260" priority="7" operator="equal">
      <formula>"&lt;unk.&gt;"</formula>
    </cfRule>
  </conditionalFormatting>
  <conditionalFormatting sqref="B84:B87">
    <cfRule type="cellIs" dxfId="1259" priority="6" operator="equal">
      <formula>"&lt;unk.&gt;"</formula>
    </cfRule>
  </conditionalFormatting>
  <conditionalFormatting sqref="B22:B26">
    <cfRule type="cellIs" dxfId="1258" priority="3" operator="equal">
      <formula>"&lt;unk.&gt;"</formula>
    </cfRule>
  </conditionalFormatting>
  <conditionalFormatting sqref="B27">
    <cfRule type="cellIs" dxfId="1257" priority="2" operator="equal">
      <formula>"&lt;unk.&gt;"</formula>
    </cfRule>
  </conditionalFormatting>
  <conditionalFormatting sqref="B30">
    <cfRule type="cellIs" dxfId="1256" priority="1" operator="equal">
      <formula>"&lt;unk.&gt;"</formula>
    </cfRule>
  </conditionalFormatting>
  <dataValidations count="5">
    <dataValidation type="list" allowBlank="1" showInputMessage="1" showErrorMessage="1" sqref="B46 B48 B65 B91 B93" xr:uid="{00000000-0002-0000-0600-000000000000}">
      <formula1>LCals</formula1>
    </dataValidation>
    <dataValidation type="list" allowBlank="1" showInputMessage="1" showErrorMessage="1" sqref="B45 B64 B90" xr:uid="{00000000-0002-0000-0600-000001000000}">
      <formula1>LPeriods</formula1>
    </dataValidation>
    <dataValidation type="list" allowBlank="1" showInputMessage="1" showErrorMessage="1" sqref="Y10" xr:uid="{00000000-0002-0000-0600-000002000000}">
      <formula1>INDIRECT($X10)</formula1>
    </dataValidation>
    <dataValidation type="list" allowBlank="1" showInputMessage="1" showErrorMessage="1" sqref="B22:B26" xr:uid="{00000000-0002-0000-0600-000003000000}">
      <formula1>LYesNo</formula1>
    </dataValidation>
    <dataValidation type="list" allowBlank="1" showInputMessage="1" showErrorMessage="1" sqref="B18" xr:uid="{00000000-0002-0000-0600-000004000000}">
      <formula1>INDIRECT(SUBSTITUTE(SUBSTITUTE(SUBSTITUTE(B17," ","_"),"&amp;",""),"/",""))</formula1>
    </dataValidation>
  </dataValidations>
  <pageMargins left="0.7" right="0.7" top="0.75" bottom="0.75" header="0.3" footer="0.3"/>
  <pageSetup paperSize="9" orientation="portrait" r:id="rId2"/>
  <ignoredErrors>
    <ignoredError sqref="M5" evalError="1"/>
  </ignoredErrors>
  <legacyDrawing r:id="rId3"/>
  <tableParts count="1">
    <tablePart r:id="rId4"/>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600-000005000000}">
          <x14:formula1>
            <xm:f>Lookups2!$Y$8:$Y$10</xm:f>
          </x14:formula1>
          <xm:sqref>B33</xm:sqref>
        </x14:dataValidation>
        <x14:dataValidation type="list" allowBlank="1" showInputMessage="1" showErrorMessage="1" xr:uid="{00000000-0002-0000-0600-000006000000}">
          <x14:formula1>
            <xm:f>Lookups2!$AC$2:$AC$3</xm:f>
          </x14:formula1>
          <xm:sqref>B14:B15</xm:sqref>
        </x14:dataValidation>
        <x14:dataValidation type="list" allowBlank="1" showInputMessage="1" showErrorMessage="1" xr:uid="{00000000-0002-0000-0600-000007000000}">
          <x14:formula1>
            <xm:f>Lookups2!$C$40:$C$45</xm:f>
          </x14:formula1>
          <xm:sqref>B78</xm:sqref>
        </x14:dataValidation>
        <x14:dataValidation type="list" allowBlank="1" showInputMessage="1" showErrorMessage="1" xr:uid="{00000000-0002-0000-0600-000008000000}">
          <x14:formula1>
            <xm:f>INDIRECT(Lookups2!$K$9)</xm:f>
          </x14:formula1>
          <xm:sqref>T10</xm:sqref>
        </x14:dataValidation>
        <x14:dataValidation type="list" allowBlank="1" showInputMessage="1" showErrorMessage="1" xr:uid="{00000000-0002-0000-0600-000009000000}">
          <x14:formula1>
            <xm:f>Lookups2!$M$41:$M$45</xm:f>
          </x14:formula1>
          <xm:sqref>S10</xm:sqref>
        </x14:dataValidation>
        <x14:dataValidation type="list" allowBlank="1" showInputMessage="1" showErrorMessage="1" xr:uid="{00000000-0002-0000-0600-00000A000000}">
          <x14:formula1>
            <xm:f>EDOAlgo!$A$1:$R$1</xm:f>
          </x14:formula1>
          <xm:sqref>X10</xm:sqref>
        </x14:dataValidation>
        <x14:dataValidation type="list" allowBlank="1" showInputMessage="1" showErrorMessage="1" xr:uid="{00000000-0002-0000-0600-00000B000000}">
          <x14:formula1>
            <xm:f>Lookups2!$M$35:$M$36</xm:f>
          </x14:formula1>
          <xm:sqref>V10 H10</xm:sqref>
        </x14:dataValidation>
        <x14:dataValidation type="list" allowBlank="1" showInputMessage="1" showErrorMessage="1" xr:uid="{00000000-0002-0000-0600-00000C000000}">
          <x14:formula1>
            <xm:f>Lookups2!$Q$15:$Q$20</xm:f>
          </x14:formula1>
          <xm:sqref>G10</xm:sqref>
        </x14:dataValidation>
        <x14:dataValidation type="list" allowBlank="1" showInputMessage="1" showErrorMessage="1" xr:uid="{00000000-0002-0000-0600-00000D000000}">
          <x14:formula1>
            <xm:f>Lookups2!$C$8:$C$11</xm:f>
          </x14:formula1>
          <xm:sqref>B30</xm:sqref>
        </x14:dataValidation>
        <x14:dataValidation type="list" showInputMessage="1" showErrorMessage="1" xr:uid="{00000000-0002-0000-0600-00000E000000}">
          <x14:formula1>
            <xm:f>Lookups2!$AG$2:$AG$28</xm:f>
          </x14:formula1>
          <xm:sqref>B17</xm:sqref>
        </x14:dataValidation>
        <x14:dataValidation type="list" allowBlank="1" showInputMessage="1" showErrorMessage="1" xr:uid="{00000000-0002-0000-0600-00000F000000}">
          <x14:formula1>
            <xm:f>Lookups2!$K$28:$K$46</xm:f>
          </x14:formula1>
          <xm:sqref>U10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FF00"/>
  </sheetPr>
  <dimension ref="A1:I139"/>
  <sheetViews>
    <sheetView topLeftCell="A3" zoomScaleNormal="100" workbookViewId="0">
      <selection activeCell="B27" sqref="B27"/>
    </sheetView>
  </sheetViews>
  <sheetFormatPr defaultRowHeight="12.75" x14ac:dyDescent="0.2"/>
  <cols>
    <col min="1" max="1" width="23.7109375" customWidth="1"/>
    <col min="2" max="2" width="23.5703125" customWidth="1"/>
    <col min="3" max="3" width="25" customWidth="1"/>
    <col min="4" max="4" width="12.85546875" customWidth="1"/>
    <col min="5" max="5" width="13.85546875" customWidth="1"/>
    <col min="6" max="6" width="86.7109375" customWidth="1"/>
    <col min="7" max="7" width="2.7109375" customWidth="1"/>
    <col min="8" max="8" width="22.7109375" customWidth="1"/>
    <col min="9" max="9" width="50.140625" customWidth="1"/>
  </cols>
  <sheetData>
    <row r="1" spans="1:9" s="297" customFormat="1" ht="26.45" customHeight="1" x14ac:dyDescent="0.2">
      <c r="A1" s="297" t="s">
        <v>3497</v>
      </c>
    </row>
    <row r="3" spans="1:9" ht="15" customHeight="1" x14ac:dyDescent="0.2">
      <c r="A3" s="299" t="s">
        <v>3498</v>
      </c>
      <c r="B3" s="299"/>
      <c r="C3" s="63"/>
      <c r="D3" s="299" t="s">
        <v>3499</v>
      </c>
      <c r="E3" s="299"/>
      <c r="F3" s="299"/>
      <c r="G3" s="63"/>
      <c r="H3" s="301" t="s">
        <v>3500</v>
      </c>
      <c r="I3" s="301"/>
    </row>
    <row r="4" spans="1:9" ht="15" customHeight="1" x14ac:dyDescent="0.2">
      <c r="A4" s="300"/>
      <c r="B4" s="300"/>
      <c r="C4" s="63"/>
      <c r="D4" s="300"/>
      <c r="E4" s="300"/>
      <c r="F4" s="300"/>
      <c r="G4" s="63"/>
      <c r="H4" s="300"/>
      <c r="I4" s="300"/>
    </row>
    <row r="5" spans="1:9" x14ac:dyDescent="0.2">
      <c r="A5" s="298" t="s">
        <v>3501</v>
      </c>
      <c r="B5" s="298"/>
      <c r="C5" s="63"/>
      <c r="D5" s="183" t="s">
        <v>3502</v>
      </c>
      <c r="E5" s="184" t="s">
        <v>3503</v>
      </c>
      <c r="F5" s="183" t="s">
        <v>661</v>
      </c>
      <c r="G5" s="63"/>
      <c r="H5" s="40" t="s">
        <v>3504</v>
      </c>
      <c r="I5" s="40" t="s">
        <v>153</v>
      </c>
    </row>
    <row r="6" spans="1:9" ht="27" customHeight="1" x14ac:dyDescent="0.2">
      <c r="A6" s="56" t="s">
        <v>3505</v>
      </c>
      <c r="B6" s="83" t="s">
        <v>3506</v>
      </c>
      <c r="C6" s="63"/>
      <c r="D6" s="206">
        <v>43623</v>
      </c>
      <c r="E6" s="84" t="s">
        <v>3507</v>
      </c>
      <c r="F6" s="85" t="s">
        <v>3508</v>
      </c>
      <c r="G6" s="86"/>
      <c r="H6" s="87" t="s">
        <v>572</v>
      </c>
      <c r="I6" s="84" t="s">
        <v>3507</v>
      </c>
    </row>
    <row r="7" spans="1:9" ht="15" customHeight="1" x14ac:dyDescent="0.2">
      <c r="A7" s="59" t="s">
        <v>3509</v>
      </c>
      <c r="B7" s="23"/>
      <c r="C7" s="63"/>
      <c r="D7" s="206">
        <v>43728</v>
      </c>
      <c r="E7" s="84" t="s">
        <v>3507</v>
      </c>
      <c r="F7" s="84" t="s">
        <v>3510</v>
      </c>
      <c r="G7" s="86"/>
      <c r="H7" s="87" t="s">
        <v>572</v>
      </c>
      <c r="I7" s="84" t="s">
        <v>3507</v>
      </c>
    </row>
    <row r="8" spans="1:9" x14ac:dyDescent="0.2">
      <c r="A8" s="63"/>
      <c r="B8" s="63"/>
      <c r="C8" s="3"/>
      <c r="D8" s="206">
        <v>43732</v>
      </c>
      <c r="E8" s="84" t="s">
        <v>3507</v>
      </c>
      <c r="F8" s="84" t="s">
        <v>3511</v>
      </c>
      <c r="G8" s="86"/>
      <c r="H8" s="87" t="s">
        <v>572</v>
      </c>
      <c r="I8" s="84" t="s">
        <v>3507</v>
      </c>
    </row>
    <row r="9" spans="1:9" x14ac:dyDescent="0.2">
      <c r="A9" s="63"/>
      <c r="B9" s="63"/>
      <c r="C9" s="3"/>
      <c r="D9" s="206">
        <v>43739</v>
      </c>
      <c r="E9" s="84" t="s">
        <v>3507</v>
      </c>
      <c r="F9" s="84" t="s">
        <v>3512</v>
      </c>
      <c r="G9" s="86"/>
      <c r="H9" s="87" t="s">
        <v>572</v>
      </c>
      <c r="I9" s="84" t="s">
        <v>3507</v>
      </c>
    </row>
    <row r="10" spans="1:9" x14ac:dyDescent="0.2">
      <c r="A10" s="63"/>
      <c r="B10" s="63"/>
      <c r="C10" s="3"/>
      <c r="D10" s="206">
        <v>43978</v>
      </c>
      <c r="E10" s="84" t="s">
        <v>3513</v>
      </c>
      <c r="F10" s="84" t="s">
        <v>3514</v>
      </c>
      <c r="G10" s="86"/>
      <c r="H10" s="87" t="s">
        <v>572</v>
      </c>
      <c r="I10" s="87" t="s">
        <v>3515</v>
      </c>
    </row>
    <row r="11" spans="1:9" ht="24" x14ac:dyDescent="0.2">
      <c r="A11" s="63"/>
      <c r="B11" s="63"/>
      <c r="C11" s="3"/>
      <c r="D11" s="206">
        <v>44034</v>
      </c>
      <c r="E11" s="84" t="s">
        <v>3513</v>
      </c>
      <c r="F11" s="85" t="s">
        <v>3516</v>
      </c>
      <c r="G11" s="86"/>
      <c r="H11" s="87" t="s">
        <v>572</v>
      </c>
      <c r="I11" s="87" t="s">
        <v>3515</v>
      </c>
    </row>
    <row r="12" spans="1:9" x14ac:dyDescent="0.2">
      <c r="A12" s="63"/>
      <c r="B12" s="63"/>
      <c r="C12" s="63"/>
      <c r="D12" s="206">
        <v>44146</v>
      </c>
      <c r="E12" s="84" t="s">
        <v>3517</v>
      </c>
      <c r="F12" s="84" t="s">
        <v>3518</v>
      </c>
      <c r="G12" s="86"/>
      <c r="H12" s="87" t="s">
        <v>572</v>
      </c>
      <c r="I12" s="84" t="s">
        <v>3517</v>
      </c>
    </row>
    <row r="13" spans="1:9" x14ac:dyDescent="0.2">
      <c r="A13" s="63"/>
      <c r="B13" s="63"/>
      <c r="C13" s="63"/>
      <c r="D13" s="206">
        <v>44216</v>
      </c>
      <c r="E13" s="84" t="s">
        <v>3519</v>
      </c>
      <c r="F13" s="84" t="s">
        <v>3520</v>
      </c>
      <c r="G13" s="86"/>
      <c r="H13" s="87"/>
      <c r="I13" s="87"/>
    </row>
    <row r="14" spans="1:9" x14ac:dyDescent="0.2">
      <c r="A14" s="63"/>
      <c r="B14" s="63"/>
      <c r="C14" s="63"/>
      <c r="D14" s="206">
        <v>44221</v>
      </c>
      <c r="E14" s="84" t="s">
        <v>3519</v>
      </c>
      <c r="F14" s="84" t="s">
        <v>3521</v>
      </c>
      <c r="G14" s="86"/>
      <c r="H14" s="87"/>
      <c r="I14" s="87"/>
    </row>
    <row r="15" spans="1:9" x14ac:dyDescent="0.2">
      <c r="A15" s="63"/>
      <c r="B15" s="63"/>
      <c r="C15" s="63"/>
      <c r="D15" s="121">
        <v>44326</v>
      </c>
      <c r="E15" s="122" t="s">
        <v>3519</v>
      </c>
      <c r="F15" s="84" t="s">
        <v>3522</v>
      </c>
      <c r="G15" s="63"/>
      <c r="H15" s="63"/>
      <c r="I15" s="63"/>
    </row>
    <row r="16" spans="1:9" x14ac:dyDescent="0.2">
      <c r="A16" s="63"/>
      <c r="B16" s="63"/>
      <c r="C16" s="63"/>
      <c r="D16" s="121">
        <v>44361</v>
      </c>
      <c r="E16" s="122" t="s">
        <v>3523</v>
      </c>
      <c r="F16" s="84" t="s">
        <v>3524</v>
      </c>
      <c r="G16" s="63"/>
      <c r="H16" s="63"/>
      <c r="I16" s="63"/>
    </row>
    <row r="17" spans="4:6" x14ac:dyDescent="0.2">
      <c r="D17" s="121">
        <v>44371</v>
      </c>
      <c r="E17" s="122" t="s">
        <v>3519</v>
      </c>
      <c r="F17" s="84" t="s">
        <v>3525</v>
      </c>
    </row>
    <row r="18" spans="4:6" x14ac:dyDescent="0.2">
      <c r="D18" s="121">
        <v>44334</v>
      </c>
      <c r="E18" s="122" t="s">
        <v>3526</v>
      </c>
      <c r="F18" s="120" t="s">
        <v>3527</v>
      </c>
    </row>
    <row r="19" spans="4:6" x14ac:dyDescent="0.2">
      <c r="D19" s="121">
        <v>44403</v>
      </c>
      <c r="E19" s="122" t="s">
        <v>3528</v>
      </c>
      <c r="F19" s="120" t="s">
        <v>3529</v>
      </c>
    </row>
    <row r="20" spans="4:6" ht="38.25" x14ac:dyDescent="0.2">
      <c r="D20" s="121">
        <v>44484</v>
      </c>
      <c r="E20" s="122" t="s">
        <v>4108</v>
      </c>
      <c r="F20" s="269" t="s">
        <v>4109</v>
      </c>
    </row>
    <row r="21" spans="4:6" x14ac:dyDescent="0.2">
      <c r="D21" s="121"/>
      <c r="E21" s="122"/>
      <c r="F21" s="120"/>
    </row>
    <row r="22" spans="4:6" x14ac:dyDescent="0.2">
      <c r="D22" s="121"/>
      <c r="E22" s="122"/>
      <c r="F22" s="120"/>
    </row>
    <row r="23" spans="4:6" x14ac:dyDescent="0.2">
      <c r="D23" s="121"/>
      <c r="E23" s="122"/>
      <c r="F23" s="120"/>
    </row>
    <row r="24" spans="4:6" x14ac:dyDescent="0.2">
      <c r="D24" s="121"/>
      <c r="E24" s="122"/>
      <c r="F24" s="120"/>
    </row>
    <row r="25" spans="4:6" x14ac:dyDescent="0.2">
      <c r="D25" s="121"/>
      <c r="E25" s="122"/>
      <c r="F25" s="120"/>
    </row>
    <row r="26" spans="4:6" x14ac:dyDescent="0.2">
      <c r="D26" s="121"/>
      <c r="E26" s="122"/>
      <c r="F26" s="120"/>
    </row>
    <row r="27" spans="4:6" x14ac:dyDescent="0.2">
      <c r="D27" s="121"/>
      <c r="E27" s="122"/>
      <c r="F27" s="120"/>
    </row>
    <row r="28" spans="4:6" x14ac:dyDescent="0.2">
      <c r="D28" s="121"/>
      <c r="E28" s="122"/>
      <c r="F28" s="120"/>
    </row>
    <row r="29" spans="4:6" x14ac:dyDescent="0.2">
      <c r="D29" s="121"/>
      <c r="E29" s="122"/>
      <c r="F29" s="120"/>
    </row>
    <row r="30" spans="4:6" x14ac:dyDescent="0.2">
      <c r="D30" s="121"/>
      <c r="E30" s="122"/>
      <c r="F30" s="120"/>
    </row>
    <row r="31" spans="4:6" x14ac:dyDescent="0.2">
      <c r="D31" s="121"/>
      <c r="E31" s="122"/>
      <c r="F31" s="120"/>
    </row>
    <row r="32" spans="4:6" x14ac:dyDescent="0.2">
      <c r="D32" s="121"/>
      <c r="E32" s="122"/>
      <c r="F32" s="120"/>
    </row>
    <row r="33" spans="4:6" x14ac:dyDescent="0.2">
      <c r="D33" s="121"/>
      <c r="E33" s="122"/>
      <c r="F33" s="120"/>
    </row>
    <row r="34" spans="4:6" x14ac:dyDescent="0.2">
      <c r="D34" s="121"/>
      <c r="E34" s="122"/>
      <c r="F34" s="120"/>
    </row>
    <row r="35" spans="4:6" x14ac:dyDescent="0.2">
      <c r="D35" s="121"/>
      <c r="E35" s="122"/>
      <c r="F35" s="120"/>
    </row>
    <row r="36" spans="4:6" x14ac:dyDescent="0.2">
      <c r="D36" s="121"/>
      <c r="E36" s="122"/>
      <c r="F36" s="120"/>
    </row>
    <row r="37" spans="4:6" x14ac:dyDescent="0.2">
      <c r="D37" s="121"/>
      <c r="E37" s="122"/>
      <c r="F37" s="120"/>
    </row>
    <row r="38" spans="4:6" x14ac:dyDescent="0.2">
      <c r="D38" s="121"/>
      <c r="E38" s="122"/>
      <c r="F38" s="120"/>
    </row>
    <row r="39" spans="4:6" x14ac:dyDescent="0.2">
      <c r="D39" s="121"/>
      <c r="E39" s="122"/>
      <c r="F39" s="120"/>
    </row>
    <row r="40" spans="4:6" x14ac:dyDescent="0.2">
      <c r="D40" s="121"/>
      <c r="E40" s="122"/>
      <c r="F40" s="120"/>
    </row>
    <row r="41" spans="4:6" x14ac:dyDescent="0.2">
      <c r="D41" s="121"/>
      <c r="E41" s="122"/>
      <c r="F41" s="120"/>
    </row>
    <row r="42" spans="4:6" x14ac:dyDescent="0.2">
      <c r="D42" s="121"/>
      <c r="E42" s="122"/>
      <c r="F42" s="120"/>
    </row>
    <row r="43" spans="4:6" x14ac:dyDescent="0.2">
      <c r="D43" s="121"/>
      <c r="E43" s="122"/>
      <c r="F43" s="120"/>
    </row>
    <row r="44" spans="4:6" x14ac:dyDescent="0.2">
      <c r="D44" s="121"/>
      <c r="E44" s="122"/>
      <c r="F44" s="120"/>
    </row>
    <row r="45" spans="4:6" x14ac:dyDescent="0.2">
      <c r="D45" s="121"/>
      <c r="E45" s="122"/>
      <c r="F45" s="120"/>
    </row>
    <row r="46" spans="4:6" x14ac:dyDescent="0.2">
      <c r="D46" s="121"/>
      <c r="E46" s="122"/>
      <c r="F46" s="120"/>
    </row>
    <row r="47" spans="4:6" x14ac:dyDescent="0.2">
      <c r="D47" s="121"/>
      <c r="E47" s="122"/>
      <c r="F47" s="120"/>
    </row>
    <row r="48" spans="4:6" x14ac:dyDescent="0.2">
      <c r="D48" s="121"/>
      <c r="E48" s="122"/>
      <c r="F48" s="120"/>
    </row>
    <row r="49" spans="4:6" x14ac:dyDescent="0.2">
      <c r="D49" s="121"/>
      <c r="E49" s="122"/>
      <c r="F49" s="120"/>
    </row>
    <row r="50" spans="4:6" x14ac:dyDescent="0.2">
      <c r="D50" s="121"/>
      <c r="E50" s="122"/>
      <c r="F50" s="120"/>
    </row>
    <row r="51" spans="4:6" x14ac:dyDescent="0.2">
      <c r="D51" s="121"/>
      <c r="E51" s="122"/>
      <c r="F51" s="120"/>
    </row>
    <row r="52" spans="4:6" x14ac:dyDescent="0.2">
      <c r="D52" s="121"/>
      <c r="E52" s="122"/>
      <c r="F52" s="120"/>
    </row>
    <row r="53" spans="4:6" x14ac:dyDescent="0.2">
      <c r="D53" s="121"/>
      <c r="E53" s="122"/>
      <c r="F53" s="120"/>
    </row>
    <row r="54" spans="4:6" x14ac:dyDescent="0.2">
      <c r="D54" s="121"/>
      <c r="E54" s="122"/>
      <c r="F54" s="120"/>
    </row>
    <row r="55" spans="4:6" x14ac:dyDescent="0.2">
      <c r="D55" s="121"/>
      <c r="E55" s="122"/>
      <c r="F55" s="120"/>
    </row>
    <row r="56" spans="4:6" x14ac:dyDescent="0.2">
      <c r="D56" s="121"/>
      <c r="E56" s="122"/>
      <c r="F56" s="120"/>
    </row>
    <row r="57" spans="4:6" x14ac:dyDescent="0.2">
      <c r="D57" s="121"/>
      <c r="E57" s="122"/>
      <c r="F57" s="120"/>
    </row>
    <row r="58" spans="4:6" x14ac:dyDescent="0.2">
      <c r="D58" s="121"/>
      <c r="E58" s="122"/>
      <c r="F58" s="120"/>
    </row>
    <row r="59" spans="4:6" x14ac:dyDescent="0.2">
      <c r="D59" s="121"/>
      <c r="E59" s="122"/>
      <c r="F59" s="120"/>
    </row>
    <row r="60" spans="4:6" x14ac:dyDescent="0.2">
      <c r="D60" s="121"/>
      <c r="E60" s="122"/>
      <c r="F60" s="120"/>
    </row>
    <row r="61" spans="4:6" x14ac:dyDescent="0.2">
      <c r="D61" s="121"/>
      <c r="E61" s="122"/>
      <c r="F61" s="120"/>
    </row>
    <row r="62" spans="4:6" x14ac:dyDescent="0.2">
      <c r="D62" s="121"/>
      <c r="E62" s="122"/>
      <c r="F62" s="120"/>
    </row>
    <row r="63" spans="4:6" x14ac:dyDescent="0.2">
      <c r="D63" s="121"/>
      <c r="E63" s="122"/>
      <c r="F63" s="120"/>
    </row>
    <row r="64" spans="4:6" x14ac:dyDescent="0.2">
      <c r="D64" s="121"/>
      <c r="E64" s="122"/>
      <c r="F64" s="120"/>
    </row>
    <row r="65" spans="4:6" x14ac:dyDescent="0.2">
      <c r="D65" s="121"/>
      <c r="E65" s="122"/>
      <c r="F65" s="120"/>
    </row>
    <row r="66" spans="4:6" x14ac:dyDescent="0.2">
      <c r="D66" s="121"/>
      <c r="E66" s="122"/>
      <c r="F66" s="120"/>
    </row>
    <row r="67" spans="4:6" x14ac:dyDescent="0.2">
      <c r="D67" s="121"/>
      <c r="E67" s="122"/>
      <c r="F67" s="120"/>
    </row>
    <row r="68" spans="4:6" x14ac:dyDescent="0.2">
      <c r="D68" s="121"/>
      <c r="E68" s="122"/>
      <c r="F68" s="120"/>
    </row>
    <row r="69" spans="4:6" x14ac:dyDescent="0.2">
      <c r="D69" s="121"/>
      <c r="E69" s="122"/>
      <c r="F69" s="120"/>
    </row>
    <row r="70" spans="4:6" x14ac:dyDescent="0.2">
      <c r="D70" s="121"/>
      <c r="E70" s="122"/>
      <c r="F70" s="120"/>
    </row>
    <row r="71" spans="4:6" x14ac:dyDescent="0.2">
      <c r="D71" s="121"/>
      <c r="E71" s="122"/>
      <c r="F71" s="120"/>
    </row>
    <row r="72" spans="4:6" x14ac:dyDescent="0.2">
      <c r="D72" s="121"/>
      <c r="E72" s="122"/>
      <c r="F72" s="120"/>
    </row>
    <row r="73" spans="4:6" x14ac:dyDescent="0.2">
      <c r="D73" s="121"/>
      <c r="E73" s="122"/>
      <c r="F73" s="120"/>
    </row>
    <row r="74" spans="4:6" x14ac:dyDescent="0.2">
      <c r="D74" s="121"/>
      <c r="E74" s="122"/>
      <c r="F74" s="120"/>
    </row>
    <row r="75" spans="4:6" x14ac:dyDescent="0.2">
      <c r="D75" s="121"/>
      <c r="E75" s="122"/>
      <c r="F75" s="120"/>
    </row>
    <row r="76" spans="4:6" x14ac:dyDescent="0.2">
      <c r="D76" s="121"/>
      <c r="E76" s="122"/>
      <c r="F76" s="120"/>
    </row>
    <row r="77" spans="4:6" x14ac:dyDescent="0.2">
      <c r="D77" s="121"/>
      <c r="E77" s="122"/>
      <c r="F77" s="120"/>
    </row>
    <row r="78" spans="4:6" x14ac:dyDescent="0.2">
      <c r="D78" s="121"/>
      <c r="E78" s="122"/>
      <c r="F78" s="120"/>
    </row>
    <row r="79" spans="4:6" x14ac:dyDescent="0.2">
      <c r="D79" s="121"/>
      <c r="E79" s="122"/>
      <c r="F79" s="120"/>
    </row>
    <row r="80" spans="4:6" x14ac:dyDescent="0.2">
      <c r="D80" s="121"/>
      <c r="E80" s="122"/>
      <c r="F80" s="120"/>
    </row>
    <row r="81" spans="4:6" x14ac:dyDescent="0.2">
      <c r="D81" s="121"/>
      <c r="E81" s="122"/>
      <c r="F81" s="120"/>
    </row>
    <row r="82" spans="4:6" x14ac:dyDescent="0.2">
      <c r="D82" s="121"/>
      <c r="E82" s="122"/>
      <c r="F82" s="120"/>
    </row>
    <row r="83" spans="4:6" x14ac:dyDescent="0.2">
      <c r="D83" s="121"/>
      <c r="E83" s="122"/>
      <c r="F83" s="120"/>
    </row>
    <row r="84" spans="4:6" x14ac:dyDescent="0.2">
      <c r="D84" s="121"/>
      <c r="E84" s="122"/>
      <c r="F84" s="120"/>
    </row>
    <row r="85" spans="4:6" x14ac:dyDescent="0.2">
      <c r="D85" s="121"/>
      <c r="E85" s="122"/>
      <c r="F85" s="120"/>
    </row>
    <row r="86" spans="4:6" x14ac:dyDescent="0.2">
      <c r="D86" s="121"/>
      <c r="E86" s="122"/>
      <c r="F86" s="120"/>
    </row>
    <row r="87" spans="4:6" x14ac:dyDescent="0.2">
      <c r="D87" s="121"/>
      <c r="E87" s="122"/>
      <c r="F87" s="120"/>
    </row>
    <row r="88" spans="4:6" x14ac:dyDescent="0.2">
      <c r="D88" s="121"/>
      <c r="E88" s="122"/>
      <c r="F88" s="120"/>
    </row>
    <row r="89" spans="4:6" x14ac:dyDescent="0.2">
      <c r="D89" s="121"/>
      <c r="E89" s="122"/>
      <c r="F89" s="120"/>
    </row>
    <row r="90" spans="4:6" x14ac:dyDescent="0.2">
      <c r="D90" s="121"/>
      <c r="E90" s="122"/>
      <c r="F90" s="120"/>
    </row>
    <row r="91" spans="4:6" x14ac:dyDescent="0.2">
      <c r="D91" s="121"/>
      <c r="E91" s="122"/>
      <c r="F91" s="120"/>
    </row>
    <row r="92" spans="4:6" x14ac:dyDescent="0.2">
      <c r="D92" s="121"/>
      <c r="E92" s="122"/>
      <c r="F92" s="120"/>
    </row>
    <row r="93" spans="4:6" x14ac:dyDescent="0.2">
      <c r="D93" s="121"/>
      <c r="E93" s="122"/>
      <c r="F93" s="120"/>
    </row>
    <row r="94" spans="4:6" x14ac:dyDescent="0.2">
      <c r="D94" s="121"/>
      <c r="E94" s="122"/>
      <c r="F94" s="120"/>
    </row>
    <row r="95" spans="4:6" x14ac:dyDescent="0.2">
      <c r="D95" s="121"/>
      <c r="E95" s="122"/>
      <c r="F95" s="120"/>
    </row>
    <row r="96" spans="4:6" x14ac:dyDescent="0.2">
      <c r="D96" s="121"/>
      <c r="E96" s="122"/>
      <c r="F96" s="120"/>
    </row>
    <row r="97" spans="4:6" x14ac:dyDescent="0.2">
      <c r="D97" s="121"/>
      <c r="E97" s="122"/>
      <c r="F97" s="120"/>
    </row>
    <row r="98" spans="4:6" x14ac:dyDescent="0.2">
      <c r="D98" s="121"/>
      <c r="E98" s="122"/>
      <c r="F98" s="120"/>
    </row>
    <row r="99" spans="4:6" x14ac:dyDescent="0.2">
      <c r="D99" s="121"/>
      <c r="E99" s="122"/>
      <c r="F99" s="120"/>
    </row>
    <row r="100" spans="4:6" x14ac:dyDescent="0.2">
      <c r="D100" s="121"/>
      <c r="E100" s="122"/>
      <c r="F100" s="120"/>
    </row>
    <row r="101" spans="4:6" x14ac:dyDescent="0.2">
      <c r="D101" s="121"/>
      <c r="E101" s="122"/>
      <c r="F101" s="120"/>
    </row>
    <row r="102" spans="4:6" x14ac:dyDescent="0.2">
      <c r="D102" s="121"/>
      <c r="E102" s="122"/>
      <c r="F102" s="120"/>
    </row>
    <row r="103" spans="4:6" x14ac:dyDescent="0.2">
      <c r="D103" s="121"/>
      <c r="E103" s="122"/>
      <c r="F103" s="120"/>
    </row>
    <row r="104" spans="4:6" x14ac:dyDescent="0.2">
      <c r="D104" s="121"/>
      <c r="E104" s="122"/>
      <c r="F104" s="120"/>
    </row>
    <row r="105" spans="4:6" x14ac:dyDescent="0.2">
      <c r="D105" s="121"/>
      <c r="E105" s="122"/>
      <c r="F105" s="120"/>
    </row>
    <row r="106" spans="4:6" x14ac:dyDescent="0.2">
      <c r="D106" s="121"/>
      <c r="E106" s="122"/>
      <c r="F106" s="120"/>
    </row>
    <row r="107" spans="4:6" x14ac:dyDescent="0.2">
      <c r="D107" s="121"/>
      <c r="E107" s="122"/>
      <c r="F107" s="123"/>
    </row>
    <row r="108" spans="4:6" x14ac:dyDescent="0.2">
      <c r="D108" s="121"/>
      <c r="E108" s="122"/>
      <c r="F108" s="123"/>
    </row>
    <row r="109" spans="4:6" x14ac:dyDescent="0.2">
      <c r="D109" s="121"/>
      <c r="E109" s="122"/>
      <c r="F109" s="123"/>
    </row>
    <row r="110" spans="4:6" x14ac:dyDescent="0.2">
      <c r="D110" s="121"/>
      <c r="E110" s="122"/>
      <c r="F110" s="123"/>
    </row>
    <row r="111" spans="4:6" x14ac:dyDescent="0.2">
      <c r="D111" s="121"/>
      <c r="E111" s="122"/>
      <c r="F111" s="123"/>
    </row>
    <row r="112" spans="4:6" x14ac:dyDescent="0.2">
      <c r="D112" s="121"/>
      <c r="E112" s="122"/>
      <c r="F112" s="123"/>
    </row>
    <row r="113" spans="4:6" x14ac:dyDescent="0.2">
      <c r="D113" s="121"/>
      <c r="E113" s="122"/>
      <c r="F113" s="123"/>
    </row>
    <row r="114" spans="4:6" x14ac:dyDescent="0.2">
      <c r="D114" s="121"/>
      <c r="E114" s="122"/>
      <c r="F114" s="123"/>
    </row>
    <row r="115" spans="4:6" x14ac:dyDescent="0.2">
      <c r="D115" s="121"/>
      <c r="E115" s="122"/>
      <c r="F115" s="123"/>
    </row>
    <row r="116" spans="4:6" x14ac:dyDescent="0.2">
      <c r="D116" s="121"/>
      <c r="E116" s="122"/>
      <c r="F116" s="123"/>
    </row>
    <row r="117" spans="4:6" x14ac:dyDescent="0.2">
      <c r="D117" s="121"/>
      <c r="E117" s="122"/>
      <c r="F117" s="123"/>
    </row>
    <row r="118" spans="4:6" x14ac:dyDescent="0.2">
      <c r="D118" s="121"/>
      <c r="E118" s="122"/>
      <c r="F118" s="123"/>
    </row>
    <row r="119" spans="4:6" x14ac:dyDescent="0.2">
      <c r="D119" s="121"/>
      <c r="E119" s="122"/>
      <c r="F119" s="123"/>
    </row>
    <row r="120" spans="4:6" x14ac:dyDescent="0.2">
      <c r="D120" s="121"/>
      <c r="E120" s="122"/>
      <c r="F120" s="123"/>
    </row>
    <row r="121" spans="4:6" x14ac:dyDescent="0.2">
      <c r="D121" s="121"/>
      <c r="E121" s="122"/>
      <c r="F121" s="123"/>
    </row>
    <row r="122" spans="4:6" x14ac:dyDescent="0.2">
      <c r="D122" s="121"/>
      <c r="E122" s="122"/>
      <c r="F122" s="123"/>
    </row>
    <row r="123" spans="4:6" x14ac:dyDescent="0.2">
      <c r="D123" s="121"/>
      <c r="E123" s="122"/>
      <c r="F123" s="123"/>
    </row>
    <row r="124" spans="4:6" x14ac:dyDescent="0.2">
      <c r="D124" s="121"/>
      <c r="E124" s="122"/>
      <c r="F124" s="123"/>
    </row>
    <row r="125" spans="4:6" x14ac:dyDescent="0.2">
      <c r="D125" s="121"/>
      <c r="E125" s="122"/>
      <c r="F125" s="123"/>
    </row>
    <row r="126" spans="4:6" x14ac:dyDescent="0.2">
      <c r="D126" s="121"/>
      <c r="E126" s="122"/>
      <c r="F126" s="123"/>
    </row>
    <row r="127" spans="4:6" x14ac:dyDescent="0.2">
      <c r="D127" s="121"/>
      <c r="E127" s="122"/>
      <c r="F127" s="123"/>
    </row>
    <row r="128" spans="4:6" x14ac:dyDescent="0.2">
      <c r="D128" s="121"/>
      <c r="E128" s="122"/>
      <c r="F128" s="123"/>
    </row>
    <row r="129" spans="4:6" x14ac:dyDescent="0.2">
      <c r="D129" s="121"/>
      <c r="E129" s="122"/>
      <c r="F129" s="123"/>
    </row>
    <row r="130" spans="4:6" x14ac:dyDescent="0.2">
      <c r="D130" s="121"/>
      <c r="E130" s="122"/>
      <c r="F130" s="123"/>
    </row>
    <row r="131" spans="4:6" x14ac:dyDescent="0.2">
      <c r="D131" s="121"/>
      <c r="E131" s="122"/>
      <c r="F131" s="123"/>
    </row>
    <row r="132" spans="4:6" x14ac:dyDescent="0.2">
      <c r="D132" s="121"/>
      <c r="E132" s="122"/>
      <c r="F132" s="123"/>
    </row>
    <row r="133" spans="4:6" x14ac:dyDescent="0.2">
      <c r="D133" s="121"/>
      <c r="E133" s="122"/>
      <c r="F133" s="123"/>
    </row>
    <row r="134" spans="4:6" x14ac:dyDescent="0.2">
      <c r="D134" s="121"/>
      <c r="E134" s="122"/>
      <c r="F134" s="123"/>
    </row>
    <row r="135" spans="4:6" x14ac:dyDescent="0.2">
      <c r="D135" s="121"/>
      <c r="E135" s="122"/>
      <c r="F135" s="123"/>
    </row>
    <row r="136" spans="4:6" x14ac:dyDescent="0.2">
      <c r="D136" s="121"/>
      <c r="E136" s="122"/>
      <c r="F136" s="123"/>
    </row>
    <row r="137" spans="4:6" x14ac:dyDescent="0.2">
      <c r="D137" s="121"/>
      <c r="E137" s="122"/>
      <c r="F137" s="123"/>
    </row>
    <row r="138" spans="4:6" x14ac:dyDescent="0.2">
      <c r="D138" s="121"/>
      <c r="E138" s="122"/>
      <c r="F138" s="123"/>
    </row>
    <row r="139" spans="4:6" x14ac:dyDescent="0.2">
      <c r="D139" s="124"/>
      <c r="E139" s="125"/>
      <c r="F139" s="126"/>
    </row>
  </sheetData>
  <sheetProtection algorithmName="SHA-512" hashValue="ryo9sE55XP5+MSZrBsvQiB0CB1tmzHe/yVxmOtoRJG/4N1D5LvbnAYGnB2vbyWrXJwKlBO9eT9gS/cbsyoOhxg==" saltValue="Qx5605DIdtP7va4U6BEihg==" spinCount="100000" sheet="1" objects="1" scenarios="1"/>
  <mergeCells count="5">
    <mergeCell ref="A1:XFD1"/>
    <mergeCell ref="A5:B5"/>
    <mergeCell ref="D3:F4"/>
    <mergeCell ref="A3:B4"/>
    <mergeCell ref="H3:I4"/>
  </mergeCells>
  <dataValidations count="1">
    <dataValidation type="list" allowBlank="1" showInputMessage="1" showErrorMessage="1" sqref="H6:H14" xr:uid="{00000000-0002-0000-0700-000000000000}">
      <formula1>LRACI</formula1>
    </dataValidation>
  </dataValidations>
  <pageMargins left="0.7" right="0.7" top="0.75" bottom="0.75" header="0.3" footer="0.3"/>
  <pageSetup paperSize="9" orientation="portrait" r:id="rId1"/>
  <legacyDrawing r:id="rId2"/>
  <tableParts count="1">
    <tablePart r:id="rId3"/>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3" tint="0.79998168889431442"/>
    <pageSetUpPr autoPageBreaks="0" fitToPage="1"/>
  </sheetPr>
  <dimension ref="A1:O67"/>
  <sheetViews>
    <sheetView showGridLines="0" zoomScale="110" zoomScaleNormal="110" workbookViewId="0">
      <selection activeCell="B16" sqref="B16"/>
    </sheetView>
  </sheetViews>
  <sheetFormatPr defaultColWidth="8.85546875" defaultRowHeight="12" x14ac:dyDescent="0.2"/>
  <cols>
    <col min="1" max="1" width="42.7109375" style="2" customWidth="1"/>
    <col min="2" max="2" width="88.28515625" style="2" customWidth="1"/>
    <col min="3" max="3" width="2.28515625" style="3" customWidth="1"/>
    <col min="4" max="4" width="21.140625" style="3" customWidth="1"/>
    <col min="5" max="5" width="27" style="3" customWidth="1"/>
    <col min="6" max="6" width="9.5703125" style="3" customWidth="1"/>
    <col min="7" max="7" width="27.28515625" style="3" customWidth="1"/>
    <col min="8" max="11" width="15.7109375" style="3" customWidth="1"/>
    <col min="12" max="12" width="2.42578125" style="3" customWidth="1"/>
    <col min="13" max="13" width="25" style="3" customWidth="1"/>
    <col min="14" max="14" width="25.140625" style="3" customWidth="1"/>
    <col min="15" max="15" width="31" style="3" customWidth="1"/>
    <col min="16" max="17" width="19.7109375" style="3" customWidth="1"/>
    <col min="18" max="18" width="28.28515625" style="3" customWidth="1"/>
    <col min="19" max="19" width="2.7109375" style="3" customWidth="1"/>
    <col min="20" max="20" width="39.140625" style="3" customWidth="1"/>
    <col min="21" max="16384" width="8.85546875" style="3"/>
  </cols>
  <sheetData>
    <row r="1" spans="1:15" s="297" customFormat="1" ht="26.45" customHeight="1" x14ac:dyDescent="0.2">
      <c r="A1" s="297" t="s">
        <v>3530</v>
      </c>
    </row>
    <row r="2" spans="1:15" s="13" customFormat="1" ht="12.6" customHeight="1" x14ac:dyDescent="0.2"/>
    <row r="3" spans="1:15" s="13" customFormat="1" ht="12.6" customHeight="1" x14ac:dyDescent="0.2">
      <c r="A3" s="311" t="s">
        <v>3531</v>
      </c>
      <c r="B3" s="311"/>
      <c r="C3" s="311"/>
      <c r="D3" s="311"/>
      <c r="E3" s="311"/>
    </row>
    <row r="4" spans="1:15" s="13" customFormat="1" ht="15" x14ac:dyDescent="0.2">
      <c r="A4" s="305" t="s">
        <v>3532</v>
      </c>
      <c r="B4" s="305"/>
      <c r="C4" s="305"/>
      <c r="D4" s="305"/>
      <c r="E4" s="249"/>
      <c r="G4" s="305" t="s">
        <v>3533</v>
      </c>
      <c r="H4" s="320"/>
      <c r="M4" s="263" t="s">
        <v>3534</v>
      </c>
      <c r="N4" s="263"/>
    </row>
    <row r="5" spans="1:15" s="5" customFormat="1" ht="12.6" customHeight="1" x14ac:dyDescent="0.2">
      <c r="A5" s="155" t="s">
        <v>3535</v>
      </c>
      <c r="B5" s="302" t="s">
        <v>3536</v>
      </c>
      <c r="C5" s="303"/>
      <c r="D5" s="303"/>
      <c r="E5" s="304"/>
      <c r="F5" s="14"/>
      <c r="G5" s="143" t="s">
        <v>3485</v>
      </c>
      <c r="H5" s="103">
        <v>43998</v>
      </c>
      <c r="M5" s="159" t="s">
        <v>3537</v>
      </c>
      <c r="N5" s="103" t="s">
        <v>371</v>
      </c>
    </row>
    <row r="6" spans="1:15" s="5" customFormat="1" ht="12.6" customHeight="1" x14ac:dyDescent="0.2">
      <c r="A6" s="43" t="s">
        <v>3538</v>
      </c>
      <c r="B6" s="308" t="s">
        <v>3539</v>
      </c>
      <c r="C6" s="309"/>
      <c r="D6" s="309"/>
      <c r="E6" s="310"/>
      <c r="F6" s="14"/>
      <c r="G6" s="143" t="s">
        <v>3338</v>
      </c>
      <c r="H6" s="104" t="s">
        <v>701</v>
      </c>
      <c r="M6" s="159" t="s">
        <v>3540</v>
      </c>
      <c r="N6" s="104" t="s">
        <v>3541</v>
      </c>
    </row>
    <row r="7" spans="1:15" s="5" customFormat="1" x14ac:dyDescent="0.2">
      <c r="A7" s="47" t="s">
        <v>3542</v>
      </c>
      <c r="B7" s="312" t="s">
        <v>3543</v>
      </c>
      <c r="C7" s="313"/>
      <c r="D7" s="313"/>
      <c r="E7" s="314"/>
      <c r="F7" s="46"/>
      <c r="G7" s="143" t="s">
        <v>3486</v>
      </c>
      <c r="H7" s="105"/>
      <c r="I7" s="46"/>
      <c r="J7" s="46"/>
      <c r="K7" s="46"/>
      <c r="L7" s="46"/>
      <c r="M7" s="46"/>
      <c r="N7" s="46"/>
      <c r="O7" s="46"/>
    </row>
    <row r="8" spans="1:15" ht="27.75" customHeight="1" x14ac:dyDescent="0.2">
      <c r="A8" s="43" t="s">
        <v>238</v>
      </c>
      <c r="B8" s="317" t="s">
        <v>4115</v>
      </c>
      <c r="C8" s="318"/>
      <c r="D8" s="318"/>
      <c r="E8" s="319"/>
      <c r="F8" s="19"/>
      <c r="G8" s="19"/>
      <c r="H8" s="19"/>
      <c r="I8" s="19"/>
      <c r="J8" s="19"/>
      <c r="K8" s="19"/>
      <c r="L8" s="19"/>
      <c r="M8" s="19"/>
      <c r="N8" s="19"/>
      <c r="O8" s="19"/>
    </row>
    <row r="9" spans="1:15" x14ac:dyDescent="0.2">
      <c r="A9" s="18"/>
      <c r="B9" s="19"/>
      <c r="C9" s="19"/>
      <c r="D9" s="19"/>
      <c r="E9" s="19"/>
      <c r="F9" s="19"/>
      <c r="G9" s="19"/>
      <c r="H9" s="19"/>
      <c r="I9" s="19"/>
      <c r="J9" s="19"/>
      <c r="K9" s="19"/>
      <c r="L9" s="19"/>
      <c r="M9" s="19"/>
      <c r="N9" s="19"/>
      <c r="O9" s="19"/>
    </row>
    <row r="10" spans="1:15" ht="12.6" customHeight="1" x14ac:dyDescent="0.2">
      <c r="A10" s="260" t="s">
        <v>3544</v>
      </c>
      <c r="B10" s="260"/>
      <c r="C10" s="260"/>
      <c r="D10" s="260" t="s">
        <v>3544</v>
      </c>
      <c r="E10" s="260"/>
    </row>
    <row r="11" spans="1:15" ht="12.6" customHeight="1" x14ac:dyDescent="0.2">
      <c r="A11" s="315" t="s">
        <v>3544</v>
      </c>
      <c r="B11" s="316"/>
      <c r="C11" s="19"/>
      <c r="D11" s="305" t="s">
        <v>3545</v>
      </c>
      <c r="E11" s="305"/>
      <c r="G11" s="161" t="s">
        <v>3546</v>
      </c>
      <c r="H11" s="161"/>
      <c r="I11" s="161"/>
      <c r="J11" s="161"/>
      <c r="K11" s="161"/>
      <c r="M11" s="260" t="s">
        <v>3547</v>
      </c>
      <c r="N11" s="260"/>
      <c r="O11" s="260"/>
    </row>
    <row r="12" spans="1:15" s="15" customFormat="1" ht="13.5" customHeight="1" x14ac:dyDescent="0.2">
      <c r="A12" s="156" t="s">
        <v>3548</v>
      </c>
      <c r="B12" s="88"/>
      <c r="C12" s="19"/>
      <c r="D12" s="135" t="s">
        <v>3549</v>
      </c>
      <c r="E12" s="101"/>
      <c r="G12" s="162" t="s">
        <v>3550</v>
      </c>
      <c r="H12" s="163" t="s">
        <v>441</v>
      </c>
      <c r="I12" s="163" t="s">
        <v>456</v>
      </c>
      <c r="J12" s="163" t="s">
        <v>472</v>
      </c>
      <c r="K12" s="163" t="s">
        <v>484</v>
      </c>
      <c r="L12" s="3"/>
      <c r="M12" s="160" t="s">
        <v>244</v>
      </c>
      <c r="N12" s="160" t="s">
        <v>3551</v>
      </c>
      <c r="O12" s="53" t="s">
        <v>245</v>
      </c>
    </row>
    <row r="13" spans="1:15" ht="12.75" x14ac:dyDescent="0.2">
      <c r="A13" s="185" t="s">
        <v>3552</v>
      </c>
      <c r="B13" s="88" t="s">
        <v>261</v>
      </c>
      <c r="C13" s="19"/>
      <c r="D13" s="135" t="s">
        <v>3553</v>
      </c>
      <c r="E13" s="101"/>
      <c r="G13" s="87" t="s">
        <v>256</v>
      </c>
      <c r="H13" s="87" t="s">
        <v>253</v>
      </c>
      <c r="I13" s="87" t="s">
        <v>253</v>
      </c>
      <c r="J13" s="87" t="s">
        <v>253</v>
      </c>
      <c r="K13" s="87" t="s">
        <v>253</v>
      </c>
      <c r="L13" s="100"/>
      <c r="M13" s="87" t="s">
        <v>4114</v>
      </c>
      <c r="N13" s="87" t="s">
        <v>4114</v>
      </c>
      <c r="O13" s="87" t="s">
        <v>4114</v>
      </c>
    </row>
    <row r="14" spans="1:15" ht="12.6" customHeight="1" x14ac:dyDescent="0.2">
      <c r="A14" s="144" t="s">
        <v>3554</v>
      </c>
      <c r="B14" s="89">
        <v>43739</v>
      </c>
      <c r="C14" s="19"/>
      <c r="D14" s="135" t="s">
        <v>3555</v>
      </c>
      <c r="E14" s="101"/>
      <c r="G14" s="87" t="s">
        <v>312</v>
      </c>
      <c r="H14" s="87" t="s">
        <v>253</v>
      </c>
      <c r="I14" s="87" t="s">
        <v>253</v>
      </c>
      <c r="J14" s="87" t="s">
        <v>253</v>
      </c>
      <c r="K14" s="87" t="s">
        <v>253</v>
      </c>
      <c r="L14" s="100"/>
      <c r="M14" s="87"/>
      <c r="N14" s="87"/>
      <c r="O14" s="174">
        <f t="array" ref="O14">IFERROR(INDEX(Lookups2!AU:AU,MATCH('1.Data Source'!N14&amp;'1.Data Source'!M14,Lookups2!AS:AS&amp;Lookups2!AT:AT,0)),"")</f>
        <v>0</v>
      </c>
    </row>
    <row r="15" spans="1:15" ht="12.6" customHeight="1" x14ac:dyDescent="0.2">
      <c r="A15" s="132" t="s">
        <v>3556</v>
      </c>
      <c r="B15" s="90" t="s">
        <v>261</v>
      </c>
      <c r="C15" s="19"/>
      <c r="D15" s="48"/>
      <c r="E15" s="48"/>
      <c r="G15" s="87" t="s">
        <v>327</v>
      </c>
      <c r="H15" s="87" t="s">
        <v>253</v>
      </c>
      <c r="I15" s="87" t="s">
        <v>253</v>
      </c>
      <c r="J15" s="87" t="s">
        <v>253</v>
      </c>
      <c r="K15" s="87" t="s">
        <v>253</v>
      </c>
      <c r="L15" s="100"/>
      <c r="M15" s="87"/>
      <c r="N15" s="87"/>
      <c r="O15" s="174">
        <f t="array" ref="O15">IFERROR(INDEX(Lookups2!AU:AU,MATCH('1.Data Source'!N15&amp;'1.Data Source'!M15,Lookups2!AS:AS&amp;Lookups2!AT:AT,0)),"")</f>
        <v>0</v>
      </c>
    </row>
    <row r="16" spans="1:15" ht="12.6" customHeight="1" x14ac:dyDescent="0.2">
      <c r="A16" s="21"/>
      <c r="B16" s="45"/>
      <c r="C16" s="19"/>
      <c r="D16" s="48"/>
      <c r="E16" s="48"/>
      <c r="G16" s="87" t="s">
        <v>297</v>
      </c>
      <c r="H16" s="87" t="s">
        <v>276</v>
      </c>
      <c r="I16" s="87" t="s">
        <v>253</v>
      </c>
      <c r="J16" s="87" t="s">
        <v>276</v>
      </c>
      <c r="K16" s="87" t="s">
        <v>276</v>
      </c>
      <c r="L16" s="100"/>
      <c r="M16" s="87"/>
      <c r="N16" s="87"/>
      <c r="O16" s="174">
        <f t="array" ref="O16">IFERROR(INDEX(Lookups2!AU:AU,MATCH('1.Data Source'!N16&amp;'1.Data Source'!M16,Lookups2!AS:AS&amp;Lookups2!AT:AT,0)),"")</f>
        <v>0</v>
      </c>
    </row>
    <row r="17" spans="1:15" ht="12.6" customHeight="1" x14ac:dyDescent="0.2">
      <c r="A17" s="260" t="s">
        <v>3459</v>
      </c>
      <c r="B17" s="260"/>
      <c r="C17" s="260"/>
      <c r="D17" s="260" t="s">
        <v>3459</v>
      </c>
      <c r="E17" s="260"/>
      <c r="G17" s="87" t="s">
        <v>279</v>
      </c>
      <c r="H17" s="87" t="s">
        <v>276</v>
      </c>
      <c r="I17" s="87" t="s">
        <v>253</v>
      </c>
      <c r="J17" s="87" t="s">
        <v>276</v>
      </c>
      <c r="K17" s="87" t="s">
        <v>276</v>
      </c>
      <c r="L17" s="100"/>
      <c r="M17" s="87"/>
      <c r="N17" s="87"/>
      <c r="O17" s="174">
        <f t="array" ref="O17">IFERROR(INDEX(Lookups2!AU:AU,MATCH('1.Data Source'!N17&amp;'1.Data Source'!M17,Lookups2!AS:AS&amp;Lookups2!AT:AT,0)),"")</f>
        <v>0</v>
      </c>
    </row>
    <row r="18" spans="1:15" ht="12.6" customHeight="1" x14ac:dyDescent="0.2">
      <c r="A18" s="306" t="s">
        <v>3459</v>
      </c>
      <c r="B18" s="307"/>
      <c r="C18" s="4"/>
      <c r="D18" s="305" t="s">
        <v>3557</v>
      </c>
      <c r="E18" s="305"/>
      <c r="G18" s="87"/>
      <c r="H18" s="87"/>
      <c r="I18" s="87"/>
      <c r="J18" s="87"/>
      <c r="K18" s="87"/>
      <c r="L18" s="100"/>
      <c r="M18" s="87"/>
      <c r="N18" s="87"/>
      <c r="O18" s="174">
        <f t="array" ref="O18">IFERROR(INDEX(Lookups2!AU:AU,MATCH('1.Data Source'!N18&amp;'1.Data Source'!M18,Lookups2!AS:AS&amp;Lookups2!AT:AT,0)),"")</f>
        <v>0</v>
      </c>
    </row>
    <row r="19" spans="1:15" ht="12.6" customHeight="1" x14ac:dyDescent="0.2">
      <c r="A19" s="147" t="s">
        <v>3558</v>
      </c>
      <c r="B19" s="84" t="s">
        <v>276</v>
      </c>
      <c r="C19" s="2"/>
      <c r="D19" s="158" t="s">
        <v>3559</v>
      </c>
      <c r="E19" s="170">
        <v>43739</v>
      </c>
      <c r="G19" s="87"/>
      <c r="H19" s="87"/>
      <c r="I19" s="87"/>
      <c r="J19" s="87"/>
      <c r="K19" s="87"/>
      <c r="L19" s="100"/>
      <c r="M19" s="87"/>
      <c r="N19" s="87"/>
      <c r="O19" s="174">
        <f t="array" ref="O19">IFERROR(INDEX(Lookups2!AU:AU,MATCH('1.Data Source'!N19&amp;'1.Data Source'!M19,Lookups2!AS:AS&amp;Lookups2!AT:AT,0)),"")</f>
        <v>0</v>
      </c>
    </row>
    <row r="20" spans="1:15" ht="12.75" x14ac:dyDescent="0.2">
      <c r="A20" s="157" t="s">
        <v>3560</v>
      </c>
      <c r="B20" s="84" t="s">
        <v>276</v>
      </c>
      <c r="C20" s="2"/>
      <c r="D20" s="135" t="s">
        <v>3561</v>
      </c>
      <c r="E20" s="102"/>
      <c r="G20" s="87"/>
      <c r="H20" s="87"/>
      <c r="I20" s="87"/>
      <c r="J20" s="87"/>
      <c r="K20" s="87"/>
      <c r="L20" s="100"/>
      <c r="M20" s="87"/>
      <c r="N20" s="87"/>
      <c r="O20" s="174">
        <f t="array" ref="O20">IFERROR(INDEX(Lookups2!AU:AU,MATCH('1.Data Source'!N20&amp;'1.Data Source'!M20,Lookups2!AS:AS&amp;Lookups2!AT:AT,0)),"")</f>
        <v>0</v>
      </c>
    </row>
    <row r="21" spans="1:15" ht="12.6" customHeight="1" x14ac:dyDescent="0.2">
      <c r="A21" s="157" t="s">
        <v>3562</v>
      </c>
      <c r="B21" s="84" t="s">
        <v>276</v>
      </c>
      <c r="C21" s="2"/>
      <c r="G21" s="87"/>
      <c r="H21" s="87"/>
      <c r="I21" s="87"/>
      <c r="J21" s="87"/>
      <c r="K21" s="87"/>
      <c r="L21" s="100"/>
      <c r="M21" s="87"/>
      <c r="N21" s="87"/>
      <c r="O21" s="174">
        <f t="array" ref="O21">IFERROR(INDEX(Lookups2!AU:AU,MATCH('1.Data Source'!N21&amp;'1.Data Source'!M21,Lookups2!AS:AS&amp;Lookups2!AT:AT,0)),"")</f>
        <v>0</v>
      </c>
    </row>
    <row r="22" spans="1:15" ht="12.6" customHeight="1" x14ac:dyDescent="0.2">
      <c r="A22" s="147" t="s">
        <v>3462</v>
      </c>
      <c r="B22" s="84" t="s">
        <v>276</v>
      </c>
      <c r="C22" s="2"/>
      <c r="D22" s="298" t="s">
        <v>3432</v>
      </c>
      <c r="E22" s="298"/>
      <c r="G22" s="87"/>
      <c r="H22" s="87"/>
      <c r="I22" s="87"/>
      <c r="J22" s="87"/>
      <c r="K22" s="87"/>
      <c r="L22" s="100"/>
      <c r="M22" s="87"/>
      <c r="N22" s="87"/>
      <c r="O22" s="174">
        <f t="array" ref="O22">IFERROR(INDEX(Lookups2!AU:AU,MATCH('1.Data Source'!N22&amp;'1.Data Source'!M22,Lookups2!AS:AS&amp;Lookups2!AT:AT,0)),"")</f>
        <v>0</v>
      </c>
    </row>
    <row r="23" spans="1:15" ht="12.6" customHeight="1" x14ac:dyDescent="0.2">
      <c r="A23" s="147" t="s">
        <v>3463</v>
      </c>
      <c r="B23" s="84" t="s">
        <v>276</v>
      </c>
      <c r="C23" s="2"/>
      <c r="D23" s="147" t="s">
        <v>3563</v>
      </c>
      <c r="E23" s="84" t="s">
        <v>343</v>
      </c>
      <c r="G23" s="87"/>
      <c r="H23" s="87"/>
      <c r="I23" s="87"/>
      <c r="J23" s="87"/>
      <c r="K23" s="87"/>
      <c r="L23" s="100"/>
      <c r="M23" s="87"/>
      <c r="N23" s="87"/>
      <c r="O23" s="174">
        <f t="array" ref="O23">IFERROR(INDEX(Lookups2!AU:AU,MATCH('1.Data Source'!N23&amp;'1.Data Source'!M23,Lookups2!AS:AS&amp;Lookups2!AT:AT,0)),"")</f>
        <v>0</v>
      </c>
    </row>
    <row r="24" spans="1:15" ht="12.6" customHeight="1" x14ac:dyDescent="0.2">
      <c r="A24" s="147" t="s">
        <v>3464</v>
      </c>
      <c r="B24" s="84" t="s">
        <v>276</v>
      </c>
      <c r="C24" s="2"/>
      <c r="G24" s="87"/>
      <c r="H24" s="87"/>
      <c r="I24" s="87"/>
      <c r="J24" s="87"/>
      <c r="K24" s="87"/>
      <c r="L24" s="100"/>
      <c r="M24" s="87"/>
      <c r="N24" s="87"/>
      <c r="O24" s="174">
        <f t="array" ref="O24">IFERROR(INDEX(Lookups2!AU:AU,MATCH('1.Data Source'!N24&amp;'1.Data Source'!M24,Lookups2!AS:AS&amp;Lookups2!AT:AT,0)),"")</f>
        <v>0</v>
      </c>
    </row>
    <row r="25" spans="1:15" ht="12.6" customHeight="1" x14ac:dyDescent="0.2">
      <c r="A25" s="157" t="s">
        <v>3465</v>
      </c>
      <c r="B25" s="84"/>
      <c r="C25" s="2"/>
      <c r="D25" s="298" t="s">
        <v>3564</v>
      </c>
      <c r="E25" s="298"/>
      <c r="G25" s="87"/>
      <c r="H25" s="87"/>
      <c r="I25" s="87"/>
      <c r="J25" s="87"/>
      <c r="K25" s="87"/>
      <c r="L25" s="100"/>
      <c r="M25" s="87"/>
      <c r="N25" s="87"/>
      <c r="O25" s="174">
        <f t="array" ref="O25">IFERROR(INDEX(Lookups2!AU:AU,MATCH('1.Data Source'!N25&amp;'1.Data Source'!M25,Lookups2!AS:AS&amp;Lookups2!AT:AT,0)),"")</f>
        <v>0</v>
      </c>
    </row>
    <row r="26" spans="1:15" ht="12.6" customHeight="1" x14ac:dyDescent="0.2">
      <c r="A26" s="16"/>
      <c r="B26" s="17"/>
      <c r="C26" s="2"/>
      <c r="D26" s="147" t="s">
        <v>3447</v>
      </c>
      <c r="E26" s="84" t="s">
        <v>247</v>
      </c>
      <c r="G26" s="87"/>
      <c r="H26" s="87"/>
      <c r="I26" s="87"/>
      <c r="J26" s="87"/>
      <c r="K26" s="87"/>
      <c r="L26" s="100"/>
      <c r="M26" s="87"/>
      <c r="N26" s="87"/>
      <c r="O26" s="174">
        <f t="array" ref="O26">IFERROR(INDEX(Lookups2!AU:AU,MATCH('1.Data Source'!N26&amp;'1.Data Source'!M26,Lookups2!AS:AS&amp;Lookups2!AT:AT,0)),"")</f>
        <v>0</v>
      </c>
    </row>
    <row r="27" spans="1:15" ht="12.6" customHeight="1" x14ac:dyDescent="0.2">
      <c r="A27" s="16"/>
      <c r="B27" s="17"/>
      <c r="C27" s="2"/>
      <c r="G27" s="87"/>
      <c r="H27" s="87"/>
      <c r="I27" s="87"/>
      <c r="J27" s="87"/>
      <c r="K27" s="87"/>
      <c r="L27" s="100"/>
      <c r="M27" s="87"/>
      <c r="N27" s="87"/>
      <c r="O27" s="174">
        <f t="array" ref="O27">IFERROR(INDEX(Lookups2!AU:AU,MATCH('1.Data Source'!N27&amp;'1.Data Source'!M27,Lookups2!AS:AS&amp;Lookups2!AT:AT,0)),"")</f>
        <v>0</v>
      </c>
    </row>
    <row r="28" spans="1:15" ht="12.6" customHeight="1" x14ac:dyDescent="0.2">
      <c r="A28" s="260" t="s">
        <v>3565</v>
      </c>
      <c r="B28" s="260"/>
      <c r="C28" s="21"/>
      <c r="D28" s="298" t="s">
        <v>3566</v>
      </c>
      <c r="E28" s="298"/>
      <c r="G28" s="87"/>
      <c r="H28" s="87"/>
      <c r="I28" s="87"/>
      <c r="J28" s="87"/>
      <c r="K28" s="87"/>
      <c r="L28" s="100"/>
      <c r="M28" s="87"/>
      <c r="N28" s="87"/>
      <c r="O28" s="174">
        <f t="array" ref="O28">IFERROR(INDEX(Lookups2!AU:AU,MATCH('1.Data Source'!N28&amp;'1.Data Source'!M28,Lookups2!AS:AS&amp;Lookups2!AT:AT,0)),"")</f>
        <v>0</v>
      </c>
    </row>
    <row r="29" spans="1:15" ht="12.6" customHeight="1" x14ac:dyDescent="0.2">
      <c r="A29" s="249" t="s">
        <v>3565</v>
      </c>
      <c r="B29" s="249"/>
      <c r="C29" s="21"/>
      <c r="D29" s="147" t="s">
        <v>3435</v>
      </c>
      <c r="E29" s="84"/>
      <c r="G29" s="87"/>
      <c r="H29" s="87"/>
      <c r="I29" s="87"/>
      <c r="J29" s="87"/>
      <c r="K29" s="87"/>
      <c r="L29" s="100"/>
      <c r="M29" s="87"/>
      <c r="N29" s="87"/>
      <c r="O29" s="174">
        <f t="array" ref="O29">IFERROR(INDEX(Lookups2!AU:AU,MATCH('1.Data Source'!N29&amp;'1.Data Source'!M29,Lookups2!AS:AS&amp;Lookups2!AT:AT,0)),"")</f>
        <v>0</v>
      </c>
    </row>
    <row r="30" spans="1:15" ht="12.6" customHeight="1" x14ac:dyDescent="0.2">
      <c r="A30" s="155" t="s">
        <v>3567</v>
      </c>
      <c r="B30" s="91" t="s">
        <v>329</v>
      </c>
      <c r="C30" s="21"/>
      <c r="D30" s="21"/>
      <c r="E30" s="21"/>
      <c r="G30" s="87"/>
      <c r="H30" s="87"/>
      <c r="I30" s="87"/>
      <c r="J30" s="87"/>
      <c r="K30" s="87"/>
      <c r="L30" s="100"/>
      <c r="M30" s="87"/>
      <c r="N30" s="87"/>
      <c r="O30" s="174">
        <f t="array" ref="O30">IFERROR(INDEX(Lookups2!AU:AU,MATCH('1.Data Source'!N30&amp;'1.Data Source'!M30,Lookups2!AS:AS&amp;Lookups2!AT:AT,0)),"")</f>
        <v>0</v>
      </c>
    </row>
    <row r="31" spans="1:15" ht="12.6" customHeight="1" x14ac:dyDescent="0.2">
      <c r="A31" s="43" t="s">
        <v>3568</v>
      </c>
      <c r="B31" s="91" t="s">
        <v>660</v>
      </c>
      <c r="C31" s="21"/>
      <c r="D31" s="21"/>
      <c r="E31" s="21"/>
      <c r="G31" s="87"/>
      <c r="H31" s="87"/>
      <c r="I31" s="87"/>
      <c r="J31" s="87"/>
      <c r="K31" s="87"/>
      <c r="L31" s="100"/>
      <c r="M31" s="87"/>
      <c r="N31" s="87"/>
      <c r="O31" s="174">
        <f t="array" ref="O31">IFERROR(INDEX(Lookups2!AU:AU,MATCH('1.Data Source'!N31&amp;'1.Data Source'!M31,Lookups2!AS:AS&amp;Lookups2!AT:AT,0)),"")</f>
        <v>0</v>
      </c>
    </row>
    <row r="32" spans="1:15" ht="12.6" customHeight="1" x14ac:dyDescent="0.2">
      <c r="A32" s="155" t="s">
        <v>3569</v>
      </c>
      <c r="B32" s="91" t="s">
        <v>709</v>
      </c>
      <c r="C32" s="21"/>
      <c r="D32" s="21"/>
      <c r="E32" s="21"/>
      <c r="G32" s="87"/>
      <c r="H32" s="87"/>
      <c r="I32" s="87"/>
      <c r="J32" s="87"/>
      <c r="K32" s="87"/>
      <c r="L32" s="100"/>
      <c r="M32" s="87"/>
      <c r="N32" s="87"/>
      <c r="O32" s="174">
        <f t="array" ref="O32">IFERROR(INDEX(Lookups2!AU:AU,MATCH('1.Data Source'!N32&amp;'1.Data Source'!M32,Lookups2!AS:AS&amp;Lookups2!AT:AT,0)),"")</f>
        <v>0</v>
      </c>
    </row>
    <row r="33" spans="1:15" ht="12.6" customHeight="1" x14ac:dyDescent="0.2">
      <c r="D33" s="21"/>
      <c r="E33" s="22"/>
      <c r="G33" s="87"/>
      <c r="H33" s="87"/>
      <c r="I33" s="87"/>
      <c r="J33" s="87"/>
      <c r="K33" s="87"/>
      <c r="L33" s="100"/>
      <c r="M33" s="87"/>
      <c r="N33" s="87"/>
      <c r="O33" s="174">
        <f t="array" ref="O33">IFERROR(INDEX(Lookups2!AU:AU,MATCH('1.Data Source'!N33&amp;'1.Data Source'!M33,Lookups2!AS:AS&amp;Lookups2!AT:AT,0)),"")</f>
        <v>0</v>
      </c>
    </row>
    <row r="34" spans="1:15" ht="12.6" customHeight="1" x14ac:dyDescent="0.2">
      <c r="A34" s="315" t="s">
        <v>3474</v>
      </c>
      <c r="B34" s="316"/>
      <c r="D34" s="21"/>
      <c r="E34" s="22"/>
      <c r="G34" s="87"/>
      <c r="H34" s="87"/>
      <c r="I34" s="87"/>
      <c r="J34" s="87"/>
      <c r="K34" s="87"/>
      <c r="L34" s="100"/>
      <c r="M34" s="87"/>
      <c r="N34" s="87"/>
      <c r="O34" s="174">
        <f t="array" ref="O34">IFERROR(INDEX(Lookups2!AU:AU,MATCH('1.Data Source'!N34&amp;'1.Data Source'!M34,Lookups2!AS:AS&amp;Lookups2!AT:AT,0)),"")</f>
        <v>0</v>
      </c>
    </row>
    <row r="35" spans="1:15" ht="12.6" customHeight="1" x14ac:dyDescent="0.2">
      <c r="A35" s="144" t="s">
        <v>3475</v>
      </c>
      <c r="B35" s="91" t="s">
        <v>255</v>
      </c>
      <c r="D35" s="21"/>
      <c r="E35" s="22"/>
      <c r="G35" s="87"/>
      <c r="H35" s="87"/>
      <c r="I35" s="87"/>
      <c r="J35" s="87"/>
      <c r="K35" s="87"/>
      <c r="L35" s="100"/>
      <c r="M35" s="87"/>
      <c r="N35" s="87"/>
      <c r="O35" s="174">
        <f t="array" ref="O35">IFERROR(INDEX(Lookups2!AU:AU,MATCH('1.Data Source'!N35&amp;'1.Data Source'!M35,Lookups2!AS:AS&amp;Lookups2!AT:AT,0)),"")</f>
        <v>0</v>
      </c>
    </row>
    <row r="36" spans="1:15" ht="12.6" customHeight="1" x14ac:dyDescent="0.2">
      <c r="A36" s="145" t="s">
        <v>3476</v>
      </c>
      <c r="B36" s="92" t="s">
        <v>440</v>
      </c>
      <c r="D36" s="21"/>
      <c r="E36" s="22"/>
      <c r="G36" s="87"/>
      <c r="H36" s="87"/>
      <c r="I36" s="87"/>
      <c r="J36" s="87"/>
      <c r="K36" s="87"/>
      <c r="L36" s="100"/>
      <c r="M36" s="87"/>
      <c r="N36" s="87"/>
      <c r="O36" s="174">
        <f t="array" ref="O36">IFERROR(INDEX(Lookups2!AU:AU,MATCH('1.Data Source'!N36&amp;'1.Data Source'!M36,Lookups2!AS:AS&amp;Lookups2!AT:AT,0)),"")</f>
        <v>0</v>
      </c>
    </row>
    <row r="37" spans="1:15" ht="12.6" customHeight="1" x14ac:dyDescent="0.2">
      <c r="A37" s="145" t="s">
        <v>3477</v>
      </c>
      <c r="B37" s="93" t="s">
        <v>3570</v>
      </c>
      <c r="D37" s="21"/>
      <c r="E37" s="22"/>
      <c r="G37" s="87"/>
      <c r="H37" s="87"/>
      <c r="I37" s="87"/>
      <c r="J37" s="87"/>
      <c r="K37" s="87"/>
      <c r="L37" s="100"/>
      <c r="M37" s="87"/>
      <c r="N37" s="87"/>
      <c r="O37" s="174">
        <f t="array" ref="O37">IFERROR(INDEX(Lookups2!AU:AU,MATCH('1.Data Source'!N37&amp;'1.Data Source'!M37,Lookups2!AS:AS&amp;Lookups2!AT:AT,0)),"")</f>
        <v>0</v>
      </c>
    </row>
    <row r="38" spans="1:15" ht="12.6" customHeight="1" x14ac:dyDescent="0.2">
      <c r="A38" s="146" t="s">
        <v>3478</v>
      </c>
      <c r="B38" s="94" t="s">
        <v>440</v>
      </c>
      <c r="D38" s="21"/>
      <c r="E38" s="22"/>
      <c r="G38" s="87"/>
      <c r="H38" s="87"/>
      <c r="I38" s="87"/>
      <c r="J38" s="87"/>
      <c r="K38" s="87"/>
      <c r="L38" s="100"/>
      <c r="M38" s="87"/>
      <c r="N38" s="87"/>
      <c r="O38" s="174">
        <f t="array" ref="O38">IFERROR(INDEX(Lookups2!AU:AU,MATCH('1.Data Source'!N38&amp;'1.Data Source'!M38,Lookups2!AS:AS&amp;Lookups2!AT:AT,0)),"")</f>
        <v>0</v>
      </c>
    </row>
    <row r="39" spans="1:15" ht="12.6" customHeight="1" x14ac:dyDescent="0.2">
      <c r="A39" s="146" t="s">
        <v>3479</v>
      </c>
      <c r="B39" s="95" t="s">
        <v>3571</v>
      </c>
      <c r="D39" s="21"/>
      <c r="E39" s="22"/>
      <c r="G39" s="87"/>
      <c r="H39" s="87"/>
      <c r="I39" s="87"/>
      <c r="J39" s="87"/>
      <c r="K39" s="87"/>
      <c r="L39" s="100"/>
      <c r="M39" s="87"/>
      <c r="N39" s="87"/>
      <c r="O39" s="174">
        <f t="array" ref="O39">IFERROR(INDEX(Lookups2!AU:AU,MATCH('1.Data Source'!N39&amp;'1.Data Source'!M39,Lookups2!AS:AS&amp;Lookups2!AT:AT,0)),"")</f>
        <v>0</v>
      </c>
    </row>
    <row r="40" spans="1:15" ht="12.6" customHeight="1" x14ac:dyDescent="0.2">
      <c r="A40" s="147" t="s">
        <v>3480</v>
      </c>
      <c r="B40" s="96" t="s">
        <v>3572</v>
      </c>
      <c r="D40" s="21"/>
      <c r="E40" s="22"/>
      <c r="G40" s="87"/>
      <c r="H40" s="87"/>
      <c r="I40" s="87"/>
      <c r="J40" s="87"/>
      <c r="K40" s="87"/>
      <c r="L40" s="100"/>
      <c r="M40" s="87"/>
      <c r="N40" s="87"/>
      <c r="O40" s="174">
        <f t="array" ref="O40">IFERROR(INDEX(Lookups2!AU:AU,MATCH('1.Data Source'!N40&amp;'1.Data Source'!M40,Lookups2!AS:AS&amp;Lookups2!AT:AT,0)),"")</f>
        <v>0</v>
      </c>
    </row>
    <row r="41" spans="1:15" ht="12" customHeight="1" x14ac:dyDescent="0.2">
      <c r="A41" s="326" t="s">
        <v>3481</v>
      </c>
      <c r="B41" s="323" t="s">
        <v>4107</v>
      </c>
      <c r="D41" s="21"/>
      <c r="E41" s="22"/>
      <c r="G41" s="87"/>
      <c r="H41" s="87"/>
      <c r="I41" s="87"/>
      <c r="J41" s="87"/>
      <c r="K41" s="87"/>
      <c r="L41" s="100"/>
      <c r="M41" s="87"/>
      <c r="N41" s="87"/>
      <c r="O41" s="174">
        <f t="array" ref="O41">IFERROR(INDEX(Lookups2!AU:AU,MATCH('1.Data Source'!N41&amp;'1.Data Source'!M41,Lookups2!AS:AS&amp;Lookups2!AT:AT,0)),"")</f>
        <v>0</v>
      </c>
    </row>
    <row r="42" spans="1:15" ht="12.75" x14ac:dyDescent="0.2">
      <c r="A42" s="327"/>
      <c r="B42" s="324"/>
      <c r="D42" s="21"/>
      <c r="E42" s="22"/>
      <c r="G42" s="87"/>
      <c r="H42" s="87"/>
      <c r="I42" s="87"/>
      <c r="J42" s="87"/>
      <c r="K42" s="87"/>
      <c r="L42" s="100"/>
      <c r="M42" s="87"/>
      <c r="N42" s="87"/>
      <c r="O42" s="174">
        <f t="array" ref="O42">IFERROR(INDEX(Lookups2!AU:AU,MATCH('1.Data Source'!N42&amp;'1.Data Source'!M42,Lookups2!AS:AS&amp;Lookups2!AT:AT,0)),"")</f>
        <v>0</v>
      </c>
    </row>
    <row r="43" spans="1:15" ht="12.75" x14ac:dyDescent="0.2">
      <c r="A43" s="327"/>
      <c r="B43" s="324"/>
      <c r="D43" s="21"/>
      <c r="E43" s="22"/>
      <c r="G43" s="87"/>
      <c r="H43" s="87"/>
      <c r="I43" s="87"/>
      <c r="J43" s="87"/>
      <c r="K43" s="87"/>
      <c r="L43" s="100"/>
      <c r="M43" s="87"/>
      <c r="N43" s="87"/>
      <c r="O43" s="174">
        <f t="array" ref="O43">IFERROR(INDEX(Lookups2!AU:AU,MATCH('1.Data Source'!N43&amp;'1.Data Source'!M43,Lookups2!AS:AS&amp;Lookups2!AT:AT,0)),"")</f>
        <v>0</v>
      </c>
    </row>
    <row r="44" spans="1:15" ht="12.75" x14ac:dyDescent="0.2">
      <c r="A44" s="327"/>
      <c r="B44" s="324"/>
      <c r="C44" s="51"/>
      <c r="D44" s="51"/>
      <c r="E44" s="51"/>
      <c r="G44" s="87"/>
      <c r="H44" s="87"/>
      <c r="I44" s="87"/>
      <c r="J44" s="87"/>
      <c r="K44" s="87"/>
      <c r="L44" s="100"/>
      <c r="M44" s="87"/>
      <c r="N44" s="87"/>
      <c r="O44" s="174">
        <f t="array" ref="O44">IFERROR(INDEX(Lookups2!AU:AU,MATCH('1.Data Source'!N44&amp;'1.Data Source'!M44,Lookups2!AS:AS&amp;Lookups2!AT:AT,0)),"")</f>
        <v>0</v>
      </c>
    </row>
    <row r="45" spans="1:15" ht="12.75" x14ac:dyDescent="0.2">
      <c r="A45" s="327"/>
      <c r="B45" s="324"/>
      <c r="C45" s="51"/>
      <c r="D45" s="51"/>
      <c r="E45" s="51"/>
      <c r="G45" s="87"/>
      <c r="H45" s="87"/>
      <c r="I45" s="87"/>
      <c r="J45" s="87"/>
      <c r="K45" s="87"/>
      <c r="L45" s="100"/>
      <c r="M45" s="87"/>
      <c r="N45" s="87"/>
      <c r="O45" s="174">
        <f t="array" ref="O45">IFERROR(INDEX(Lookups2!AU:AU,MATCH('1.Data Source'!N45&amp;'1.Data Source'!M45,Lookups2!AS:AS&amp;Lookups2!AT:AT,0)),"")</f>
        <v>0</v>
      </c>
    </row>
    <row r="46" spans="1:15" x14ac:dyDescent="0.2">
      <c r="A46" s="327"/>
      <c r="B46" s="324"/>
      <c r="C46" s="51"/>
      <c r="D46" s="51"/>
      <c r="E46" s="51"/>
    </row>
    <row r="47" spans="1:15" ht="13.5" customHeight="1" x14ac:dyDescent="0.2">
      <c r="A47" s="327"/>
      <c r="B47" s="324"/>
      <c r="C47" s="51"/>
      <c r="D47" s="51"/>
      <c r="E47" s="51"/>
    </row>
    <row r="48" spans="1:15" x14ac:dyDescent="0.2">
      <c r="A48" s="328"/>
      <c r="B48" s="325"/>
      <c r="C48" s="51"/>
      <c r="D48" s="51"/>
      <c r="E48" s="51"/>
    </row>
    <row r="49" spans="1:5" x14ac:dyDescent="0.2">
      <c r="A49" s="51"/>
      <c r="B49" s="51"/>
      <c r="C49" s="51"/>
      <c r="D49" s="51"/>
      <c r="E49" s="51"/>
    </row>
    <row r="51" spans="1:5" ht="15" x14ac:dyDescent="0.2">
      <c r="A51" s="260" t="s">
        <v>3573</v>
      </c>
      <c r="B51" s="260"/>
    </row>
    <row r="52" spans="1:5" x14ac:dyDescent="0.2">
      <c r="A52" s="305" t="s">
        <v>3574</v>
      </c>
      <c r="B52" s="305"/>
    </row>
    <row r="53" spans="1:5" ht="12" customHeight="1" x14ac:dyDescent="0.2">
      <c r="A53" s="147" t="s">
        <v>3575</v>
      </c>
      <c r="B53" s="97"/>
    </row>
    <row r="57" spans="1:5" x14ac:dyDescent="0.2">
      <c r="A57" s="301" t="s">
        <v>3576</v>
      </c>
      <c r="B57" s="301"/>
    </row>
    <row r="58" spans="1:5" x14ac:dyDescent="0.2">
      <c r="A58" s="300"/>
      <c r="B58" s="300"/>
    </row>
    <row r="59" spans="1:5" x14ac:dyDescent="0.2">
      <c r="A59" s="321" t="s">
        <v>3577</v>
      </c>
      <c r="B59" s="322"/>
    </row>
    <row r="60" spans="1:5" x14ac:dyDescent="0.2">
      <c r="A60" s="147" t="s">
        <v>3489</v>
      </c>
      <c r="B60" s="98"/>
    </row>
    <row r="61" spans="1:5" x14ac:dyDescent="0.2">
      <c r="A61" s="145" t="s">
        <v>153</v>
      </c>
      <c r="B61" s="99"/>
    </row>
    <row r="62" spans="1:5" x14ac:dyDescent="0.2">
      <c r="A62" s="145" t="s">
        <v>3578</v>
      </c>
      <c r="B62" s="99"/>
    </row>
    <row r="63" spans="1:5" x14ac:dyDescent="0.2">
      <c r="A63" s="145" t="s">
        <v>238</v>
      </c>
      <c r="B63" s="99"/>
    </row>
    <row r="64" spans="1:5" x14ac:dyDescent="0.2">
      <c r="A64" s="3"/>
      <c r="B64" s="3"/>
    </row>
    <row r="65" spans="1:2" x14ac:dyDescent="0.2">
      <c r="A65" s="3"/>
      <c r="B65" s="100"/>
    </row>
    <row r="66" spans="1:2" x14ac:dyDescent="0.2">
      <c r="A66" s="3"/>
      <c r="B66" s="3"/>
    </row>
    <row r="67" spans="1:2" x14ac:dyDescent="0.2">
      <c r="A67" s="3"/>
      <c r="B67" s="3"/>
    </row>
  </sheetData>
  <sheetProtection formatCells="0"/>
  <mergeCells count="22">
    <mergeCell ref="D25:E25"/>
    <mergeCell ref="A57:B58"/>
    <mergeCell ref="A59:B59"/>
    <mergeCell ref="A52:B52"/>
    <mergeCell ref="A34:B34"/>
    <mergeCell ref="B41:B48"/>
    <mergeCell ref="A41:A48"/>
    <mergeCell ref="D28:E28"/>
    <mergeCell ref="A1:XFD1"/>
    <mergeCell ref="B5:E5"/>
    <mergeCell ref="D22:E22"/>
    <mergeCell ref="D18:E18"/>
    <mergeCell ref="A18:B18"/>
    <mergeCell ref="B6:E6"/>
    <mergeCell ref="D11:E11"/>
    <mergeCell ref="A3:E3"/>
    <mergeCell ref="B7:E7"/>
    <mergeCell ref="A4:B4"/>
    <mergeCell ref="C4:D4"/>
    <mergeCell ref="A11:B11"/>
    <mergeCell ref="B8:E8"/>
    <mergeCell ref="G4:H4"/>
  </mergeCells>
  <conditionalFormatting sqref="E23 E19:E20 E33:E40 E43 B26:B27 B12 B15">
    <cfRule type="cellIs" dxfId="1220" priority="52" operator="equal">
      <formula>"&lt;unk.&gt;"</formula>
    </cfRule>
  </conditionalFormatting>
  <conditionalFormatting sqref="B16">
    <cfRule type="cellIs" dxfId="1219" priority="42" operator="equal">
      <formula>"&lt;unk.&gt;"</formula>
    </cfRule>
  </conditionalFormatting>
  <conditionalFormatting sqref="B53">
    <cfRule type="cellIs" dxfId="1218" priority="33" operator="equal">
      <formula>"&lt;unk.&gt;"</formula>
    </cfRule>
  </conditionalFormatting>
  <conditionalFormatting sqref="E41">
    <cfRule type="cellIs" dxfId="1217" priority="30" operator="equal">
      <formula>"&lt;unk.&gt;"</formula>
    </cfRule>
  </conditionalFormatting>
  <conditionalFormatting sqref="E42">
    <cfRule type="cellIs" dxfId="1216" priority="27" operator="equal">
      <formula>"&lt;unk.&gt;"</formula>
    </cfRule>
  </conditionalFormatting>
  <conditionalFormatting sqref="E26">
    <cfRule type="cellIs" dxfId="1215" priority="24" operator="equal">
      <formula>"&lt;unk.&gt;"</formula>
    </cfRule>
  </conditionalFormatting>
  <conditionalFormatting sqref="B30">
    <cfRule type="cellIs" dxfId="1214" priority="19" operator="equal">
      <formula>"&lt;unk.&gt;"</formula>
    </cfRule>
  </conditionalFormatting>
  <conditionalFormatting sqref="B31">
    <cfRule type="cellIs" dxfId="1213" priority="18" operator="equal">
      <formula>"&lt;unk.&gt;"</formula>
    </cfRule>
  </conditionalFormatting>
  <conditionalFormatting sqref="B32">
    <cfRule type="cellIs" dxfId="1212" priority="17" operator="equal">
      <formula>"&lt;unk.&gt;"</formula>
    </cfRule>
  </conditionalFormatting>
  <conditionalFormatting sqref="B25">
    <cfRule type="cellIs" dxfId="1211" priority="14" operator="equal">
      <formula>"&lt;unk.&gt;"</formula>
    </cfRule>
  </conditionalFormatting>
  <conditionalFormatting sqref="E29">
    <cfRule type="cellIs" dxfId="1210" priority="8" operator="equal">
      <formula>"&lt;unk.&gt;"</formula>
    </cfRule>
  </conditionalFormatting>
  <conditionalFormatting sqref="B14">
    <cfRule type="cellIs" dxfId="1209" priority="7" operator="equal">
      <formula>"&lt;unk.&gt;"</formula>
    </cfRule>
  </conditionalFormatting>
  <conditionalFormatting sqref="B13">
    <cfRule type="cellIs" dxfId="1208" priority="6" operator="equal">
      <formula>"&lt;unk.&gt;"</formula>
    </cfRule>
  </conditionalFormatting>
  <conditionalFormatting sqref="B37:B38">
    <cfRule type="cellIs" dxfId="1207" priority="5" operator="equal">
      <formula>"&lt;unk.&gt;"</formula>
    </cfRule>
  </conditionalFormatting>
  <conditionalFormatting sqref="B35">
    <cfRule type="cellIs" dxfId="1206" priority="4" operator="equal">
      <formula>"&lt;unk.&gt;"</formula>
    </cfRule>
  </conditionalFormatting>
  <conditionalFormatting sqref="B36">
    <cfRule type="cellIs" dxfId="1205" priority="3" operator="equal">
      <formula>"&lt;unk.&gt;"</formula>
    </cfRule>
  </conditionalFormatting>
  <conditionalFormatting sqref="B39">
    <cfRule type="cellIs" dxfId="1204" priority="2" operator="equal">
      <formula>"&lt;unk.&gt;"</formula>
    </cfRule>
  </conditionalFormatting>
  <conditionalFormatting sqref="B40">
    <cfRule type="cellIs" dxfId="1203" priority="1" operator="equal">
      <formula>"&lt;unk.&gt;"</formula>
    </cfRule>
  </conditionalFormatting>
  <dataValidations count="7">
    <dataValidation type="date" operator="greaterThan" allowBlank="1" showInputMessage="1" showErrorMessage="1" sqref="B14 B16 E20" xr:uid="{00000000-0002-0000-0800-000000000000}">
      <formula1>40179</formula1>
    </dataValidation>
    <dataValidation type="list" allowBlank="1" showInputMessage="1" showErrorMessage="1" sqref="C20:C27" xr:uid="{00000000-0002-0000-0800-000001000000}">
      <formula1>#REF!</formula1>
    </dataValidation>
    <dataValidation type="list" allowBlank="1" showInputMessage="1" showErrorMessage="1" sqref="B35" xr:uid="{00000000-0002-0000-0800-000002000000}">
      <formula1>LPeriods</formula1>
    </dataValidation>
    <dataValidation type="list" allowBlank="1" showInputMessage="1" showErrorMessage="1" sqref="B19:B24" xr:uid="{00000000-0002-0000-0800-000003000000}">
      <formula1>LYesNo</formula1>
    </dataValidation>
    <dataValidation type="list" allowBlank="1" showInputMessage="1" showErrorMessage="1" sqref="B36" xr:uid="{00000000-0002-0000-0800-000004000000}">
      <formula1>LCals</formula1>
    </dataValidation>
    <dataValidation type="list" showInputMessage="1" showErrorMessage="1" sqref="N14:N45" xr:uid="{00000000-0002-0000-0800-000005000000}">
      <formula1>INDIRECT(SUBSTITUTE(M14," ","_"))</formula1>
    </dataValidation>
    <dataValidation type="date" errorStyle="information" operator="greaterThan" allowBlank="1" showInputMessage="1" showErrorMessage="1" errorTitle="Date Format" error="Please insert correct date format_x000a_DD/MM/YYYY" sqref="E19" xr:uid="{00000000-0002-0000-0800-000006000000}">
      <formula1>40179</formula1>
    </dataValidation>
  </dataValidations>
  <pageMargins left="0.7" right="0.7" top="0.75" bottom="0.75" header="0.3" footer="0.3"/>
  <pageSetup paperSize="9" scale="37" orientation="landscape" r:id="rId1"/>
  <legacy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800-000007000000}">
          <x14:formula1>
            <xm:f>INDIRECT(Lookups2!$E$31)</xm:f>
          </x14:formula1>
          <xm:sqref>B31</xm:sqref>
        </x14:dataValidation>
        <x14:dataValidation type="list" allowBlank="1" showInputMessage="1" showErrorMessage="1" xr:uid="{00000000-0002-0000-0800-000008000000}">
          <x14:formula1>
            <xm:f>INDIRECT(Lookups2!$C$6)</xm:f>
          </x14:formula1>
          <xm:sqref>E23</xm:sqref>
        </x14:dataValidation>
        <x14:dataValidation type="list" allowBlank="1" showInputMessage="1" showErrorMessage="1" xr:uid="{00000000-0002-0000-0800-000009000000}">
          <x14:formula1>
            <xm:f>INDIRECT(Lookups2!$E$1)</xm:f>
          </x14:formula1>
          <xm:sqref>B30</xm:sqref>
        </x14:dataValidation>
        <x14:dataValidation type="list" allowBlank="1" showInputMessage="1" showErrorMessage="1" xr:uid="{00000000-0002-0000-0800-00000A000000}">
          <x14:formula1>
            <xm:f>INDIRECT(Lookups2!$C$1)</xm:f>
          </x14:formula1>
          <xm:sqref>H13:K45</xm:sqref>
        </x14:dataValidation>
        <x14:dataValidation type="list" allowBlank="1" showInputMessage="1" showErrorMessage="1" xr:uid="{00000000-0002-0000-0800-00000B000000}">
          <x14:formula1>
            <xm:f>INDIRECT(Lookups2!$E$38)</xm:f>
          </x14:formula1>
          <xm:sqref>B32</xm:sqref>
        </x14:dataValidation>
        <x14:dataValidation type="list" allowBlank="1" showInputMessage="1" showErrorMessage="1" xr:uid="{00000000-0002-0000-0800-00000C000000}">
          <x14:formula1>
            <xm:f>Lookups2!$U$2:$U$3</xm:f>
          </x14:formula1>
          <xm:sqref>E26</xm:sqref>
        </x14:dataValidation>
        <x14:dataValidation type="list" allowBlank="1" showInputMessage="1" showErrorMessage="1" xr:uid="{00000000-0002-0000-0800-00000D000000}">
          <x14:formula1>
            <xm:f>Lookups2!$A$2:$A$21</xm:f>
          </x14:formula1>
          <xm:sqref>B12</xm:sqref>
        </x14:dataValidation>
        <x14:dataValidation type="list" allowBlank="1" showInputMessage="1" showErrorMessage="1" xr:uid="{00000000-0002-0000-0800-00000E000000}">
          <x14:formula1>
            <xm:f>Lookups2!$C$40:$C$42</xm:f>
          </x14:formula1>
          <xm:sqref>H6</xm:sqref>
        </x14:dataValidation>
        <x14:dataValidation type="list" operator="greaterThan" showInputMessage="1" showErrorMessage="1" xr:uid="{00000000-0002-0000-0800-00000F000000}">
          <x14:formula1>
            <xm:f>Lookups2!$W$2:$W$5</xm:f>
          </x14:formula1>
          <xm:sqref>B15</xm:sqref>
        </x14:dataValidation>
        <x14:dataValidation type="list" showInputMessage="1" showErrorMessage="1" xr:uid="{00000000-0002-0000-0800-000010000000}">
          <x14:formula1>
            <xm:f>Lookups2!$AV$2:$AV$10</xm:f>
          </x14:formula1>
          <xm:sqref>M14:M45</xm:sqref>
        </x14:dataValidation>
        <x14:dataValidation type="list" showInputMessage="1" showErrorMessage="1" xr:uid="{00000000-0002-0000-0800-000011000000}">
          <x14:formula1>
            <xm:f>Lookups2!$I$2:$I$8</xm:f>
          </x14:formula1>
          <xm:sqref>G13:G45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3" tint="0.79998168889431442"/>
  </sheetPr>
  <dimension ref="A1:J83"/>
  <sheetViews>
    <sheetView zoomScale="120" zoomScaleNormal="120" workbookViewId="0">
      <selection activeCell="A11" sqref="A11"/>
    </sheetView>
  </sheetViews>
  <sheetFormatPr defaultRowHeight="12.75" x14ac:dyDescent="0.2"/>
  <cols>
    <col min="1" max="1" width="22.28515625" customWidth="1"/>
    <col min="2" max="5" width="16.7109375" customWidth="1"/>
    <col min="6" max="6" width="44" customWidth="1"/>
    <col min="7" max="7" width="43.42578125" customWidth="1"/>
    <col min="8" max="8" width="28.28515625" customWidth="1"/>
    <col min="9" max="9" width="23.7109375" bestFit="1" customWidth="1"/>
    <col min="10" max="10" width="24.42578125" customWidth="1"/>
  </cols>
  <sheetData>
    <row r="1" spans="1:10" s="297" customFormat="1" ht="26.45" customHeight="1" x14ac:dyDescent="0.2">
      <c r="A1" s="297" t="s">
        <v>3579</v>
      </c>
    </row>
    <row r="2" spans="1:10" s="15" customFormat="1" ht="11.45" customHeight="1" x14ac:dyDescent="0.2"/>
    <row r="3" spans="1:10" s="15" customFormat="1" ht="11.45" customHeight="1" x14ac:dyDescent="0.2">
      <c r="A3" s="301" t="s">
        <v>3580</v>
      </c>
      <c r="B3" s="301"/>
      <c r="C3" s="301"/>
      <c r="D3" s="301"/>
      <c r="E3" s="301"/>
      <c r="F3" s="301"/>
      <c r="G3" s="301"/>
      <c r="H3" s="301" t="s">
        <v>3581</v>
      </c>
      <c r="I3" s="301"/>
      <c r="J3" s="301"/>
    </row>
    <row r="4" spans="1:10" ht="13.15" customHeight="1" x14ac:dyDescent="0.2">
      <c r="A4" s="300"/>
      <c r="B4" s="300"/>
      <c r="C4" s="300"/>
      <c r="D4" s="300"/>
      <c r="E4" s="300"/>
      <c r="F4" s="300"/>
      <c r="G4" s="300"/>
      <c r="H4" s="300"/>
      <c r="I4" s="300"/>
      <c r="J4" s="300"/>
    </row>
    <row r="5" spans="1:10" s="6" customFormat="1" x14ac:dyDescent="0.2">
      <c r="A5" s="199" t="s">
        <v>3582</v>
      </c>
      <c r="B5" s="199" t="s">
        <v>415</v>
      </c>
      <c r="C5" s="199" t="s">
        <v>3338</v>
      </c>
      <c r="D5" s="199" t="s">
        <v>3583</v>
      </c>
      <c r="E5" s="199" t="s">
        <v>3584</v>
      </c>
      <c r="F5" s="199" t="s">
        <v>3585</v>
      </c>
      <c r="G5" s="199" t="s">
        <v>3586</v>
      </c>
      <c r="H5" s="199" t="s">
        <v>3587</v>
      </c>
      <c r="I5" s="199" t="s">
        <v>3504</v>
      </c>
      <c r="J5" s="199" t="s">
        <v>3435</v>
      </c>
    </row>
    <row r="6" spans="1:10" s="6" customFormat="1" x14ac:dyDescent="0.2">
      <c r="A6" s="87" t="s">
        <v>583</v>
      </c>
      <c r="B6" s="87" t="s">
        <v>242</v>
      </c>
      <c r="C6" s="87" t="s">
        <v>470</v>
      </c>
      <c r="D6" s="118">
        <v>43978</v>
      </c>
      <c r="E6" s="119" t="s">
        <v>3588</v>
      </c>
      <c r="F6" s="87" t="s">
        <v>3687</v>
      </c>
      <c r="G6" s="87"/>
      <c r="H6" s="119" t="s">
        <v>3589</v>
      </c>
      <c r="I6" s="87" t="s">
        <v>3590</v>
      </c>
      <c r="J6" s="87"/>
    </row>
    <row r="7" spans="1:10" s="6" customFormat="1" x14ac:dyDescent="0.2">
      <c r="A7" s="87" t="s">
        <v>583</v>
      </c>
      <c r="B7" s="87" t="s">
        <v>409</v>
      </c>
      <c r="C7" s="87" t="s">
        <v>470</v>
      </c>
      <c r="D7" s="118">
        <v>44031</v>
      </c>
      <c r="E7" s="119" t="s">
        <v>3591</v>
      </c>
      <c r="F7" s="87" t="s">
        <v>3687</v>
      </c>
      <c r="G7" s="87"/>
      <c r="H7" s="119" t="s">
        <v>3589</v>
      </c>
      <c r="I7" s="87" t="s">
        <v>3590</v>
      </c>
      <c r="J7" s="87"/>
    </row>
    <row r="8" spans="1:10" s="6" customFormat="1" x14ac:dyDescent="0.2">
      <c r="A8" s="87" t="s">
        <v>583</v>
      </c>
      <c r="B8" s="87" t="s">
        <v>453</v>
      </c>
      <c r="C8" s="87" t="s">
        <v>470</v>
      </c>
      <c r="D8" s="118">
        <v>44063</v>
      </c>
      <c r="E8" s="119" t="s">
        <v>3592</v>
      </c>
      <c r="F8" s="87" t="s">
        <v>3687</v>
      </c>
      <c r="G8" s="87"/>
      <c r="H8" s="119" t="s">
        <v>3589</v>
      </c>
      <c r="I8" s="87" t="s">
        <v>3590</v>
      </c>
      <c r="J8" s="87"/>
    </row>
    <row r="9" spans="1:10" s="6" customFormat="1" x14ac:dyDescent="0.2">
      <c r="A9" s="87" t="s">
        <v>316</v>
      </c>
      <c r="B9" s="87" t="s">
        <v>4185</v>
      </c>
      <c r="C9" s="87" t="s">
        <v>470</v>
      </c>
      <c r="D9" s="118">
        <v>44504</v>
      </c>
      <c r="E9" s="87" t="s">
        <v>4186</v>
      </c>
      <c r="F9" s="87"/>
      <c r="G9" s="87"/>
      <c r="H9" s="87" t="s">
        <v>4113</v>
      </c>
      <c r="I9" s="87"/>
      <c r="J9" s="87"/>
    </row>
    <row r="10" spans="1:10" s="6" customFormat="1" x14ac:dyDescent="0.2">
      <c r="A10" s="87" t="s">
        <v>549</v>
      </c>
      <c r="B10" s="87" t="s">
        <v>453</v>
      </c>
      <c r="C10" s="87" t="s">
        <v>470</v>
      </c>
      <c r="D10" s="118">
        <v>44516</v>
      </c>
      <c r="E10" s="87" t="s">
        <v>4181</v>
      </c>
      <c r="F10" s="87"/>
      <c r="G10" s="87"/>
      <c r="H10" s="87" t="s">
        <v>4182</v>
      </c>
      <c r="I10" s="87" t="s">
        <v>3590</v>
      </c>
      <c r="J10" s="87"/>
    </row>
    <row r="11" spans="1:10" s="6" customFormat="1" x14ac:dyDescent="0.2">
      <c r="A11" s="87"/>
      <c r="B11" s="87"/>
      <c r="C11" s="87"/>
      <c r="D11" s="87"/>
      <c r="E11" s="87"/>
      <c r="F11" s="87"/>
      <c r="G11" s="87"/>
      <c r="H11" s="87"/>
      <c r="I11" s="87"/>
      <c r="J11" s="87"/>
    </row>
    <row r="12" spans="1:10" s="6" customFormat="1" x14ac:dyDescent="0.2">
      <c r="A12" s="87"/>
      <c r="B12" s="87"/>
      <c r="C12" s="87"/>
      <c r="D12" s="87"/>
      <c r="E12" s="87"/>
      <c r="F12" s="87"/>
      <c r="G12" s="87"/>
      <c r="H12" s="87"/>
      <c r="I12" s="87"/>
      <c r="J12" s="87"/>
    </row>
    <row r="13" spans="1:10" s="6" customFormat="1" x14ac:dyDescent="0.2">
      <c r="A13" s="87"/>
      <c r="B13" s="87"/>
      <c r="C13" s="87"/>
      <c r="D13" s="87"/>
      <c r="E13" s="87"/>
      <c r="F13" s="87"/>
      <c r="G13" s="87"/>
      <c r="H13" s="87"/>
      <c r="I13" s="87"/>
      <c r="J13" s="87"/>
    </row>
    <row r="14" spans="1:10" s="6" customFormat="1" x14ac:dyDescent="0.2">
      <c r="A14" s="87"/>
      <c r="B14" s="87"/>
      <c r="C14" s="87"/>
      <c r="D14" s="87"/>
      <c r="E14" s="87"/>
      <c r="F14" s="87"/>
      <c r="G14" s="87"/>
      <c r="H14" s="87"/>
      <c r="I14" s="87"/>
      <c r="J14" s="87"/>
    </row>
    <row r="15" spans="1:10" s="6" customFormat="1" x14ac:dyDescent="0.2">
      <c r="A15" s="87"/>
      <c r="B15" s="87"/>
      <c r="C15" s="87"/>
      <c r="D15" s="87"/>
      <c r="E15" s="87"/>
      <c r="F15" s="87"/>
      <c r="G15" s="87"/>
      <c r="H15" s="87"/>
      <c r="I15" s="87"/>
      <c r="J15" s="87"/>
    </row>
    <row r="16" spans="1:10" s="6" customFormat="1" x14ac:dyDescent="0.2">
      <c r="A16" s="87"/>
      <c r="B16" s="87"/>
      <c r="C16" s="87"/>
      <c r="D16" s="87"/>
      <c r="E16" s="87"/>
      <c r="F16" s="87"/>
      <c r="G16" s="87"/>
      <c r="H16" s="87"/>
      <c r="I16" s="87"/>
      <c r="J16" s="87"/>
    </row>
    <row r="17" spans="1:10" s="6" customFormat="1" x14ac:dyDescent="0.2">
      <c r="A17" s="87"/>
      <c r="B17" s="87"/>
      <c r="C17" s="87"/>
      <c r="D17" s="87"/>
      <c r="E17" s="87"/>
      <c r="F17" s="87"/>
      <c r="G17" s="87"/>
      <c r="H17" s="87"/>
      <c r="I17" s="87"/>
      <c r="J17" s="87"/>
    </row>
    <row r="18" spans="1:10" s="6" customFormat="1" x14ac:dyDescent="0.2">
      <c r="A18" s="87"/>
      <c r="B18" s="87"/>
      <c r="C18" s="87"/>
      <c r="D18" s="87"/>
      <c r="E18" s="87"/>
      <c r="F18" s="87"/>
      <c r="G18" s="87"/>
      <c r="H18" s="87"/>
      <c r="I18" s="87"/>
      <c r="J18" s="87"/>
    </row>
    <row r="19" spans="1:10" s="6" customFormat="1" x14ac:dyDescent="0.2">
      <c r="A19" s="87"/>
      <c r="B19" s="87"/>
      <c r="C19" s="87"/>
      <c r="D19" s="87"/>
      <c r="E19" s="87"/>
      <c r="F19" s="87"/>
      <c r="G19" s="87"/>
      <c r="H19" s="87"/>
      <c r="I19" s="87"/>
      <c r="J19" s="87"/>
    </row>
    <row r="20" spans="1:10" s="6" customFormat="1" x14ac:dyDescent="0.2">
      <c r="A20" s="87"/>
      <c r="B20" s="87"/>
      <c r="C20" s="87"/>
      <c r="D20" s="87"/>
      <c r="E20" s="87"/>
      <c r="F20" s="87"/>
      <c r="G20" s="87"/>
      <c r="H20" s="87"/>
      <c r="I20" s="87"/>
      <c r="J20" s="87"/>
    </row>
    <row r="21" spans="1:10" s="6" customFormat="1" x14ac:dyDescent="0.2">
      <c r="A21" s="87"/>
      <c r="B21" s="87"/>
      <c r="C21" s="87"/>
      <c r="D21" s="87"/>
      <c r="E21" s="87"/>
      <c r="F21" s="87"/>
      <c r="G21" s="87"/>
      <c r="H21" s="87"/>
      <c r="I21" s="87"/>
      <c r="J21" s="87"/>
    </row>
    <row r="22" spans="1:10" s="6" customFormat="1" x14ac:dyDescent="0.2">
      <c r="A22" s="87"/>
      <c r="B22" s="87"/>
      <c r="C22" s="87"/>
      <c r="D22" s="87"/>
      <c r="E22" s="87"/>
      <c r="F22" s="87"/>
      <c r="G22" s="87"/>
      <c r="H22" s="87"/>
      <c r="I22" s="87"/>
      <c r="J22" s="87"/>
    </row>
    <row r="23" spans="1:10" s="6" customFormat="1" x14ac:dyDescent="0.2">
      <c r="A23" s="87"/>
      <c r="B23" s="87"/>
      <c r="C23" s="87"/>
      <c r="D23" s="87"/>
      <c r="E23" s="87"/>
      <c r="F23" s="87"/>
      <c r="G23" s="87"/>
      <c r="H23" s="87"/>
      <c r="I23" s="87"/>
      <c r="J23" s="87"/>
    </row>
    <row r="24" spans="1:10" s="6" customFormat="1" x14ac:dyDescent="0.2">
      <c r="A24" s="87"/>
      <c r="B24" s="87"/>
      <c r="C24" s="87"/>
      <c r="D24" s="87"/>
      <c r="E24" s="87"/>
      <c r="F24" s="87"/>
      <c r="G24" s="87"/>
      <c r="H24" s="87"/>
      <c r="I24" s="87"/>
      <c r="J24" s="87"/>
    </row>
    <row r="25" spans="1:10" s="6" customFormat="1" x14ac:dyDescent="0.2">
      <c r="A25" s="87"/>
      <c r="B25" s="87"/>
      <c r="C25" s="87"/>
      <c r="D25" s="87"/>
      <c r="E25" s="87"/>
      <c r="F25" s="87"/>
      <c r="G25" s="87"/>
      <c r="H25" s="87"/>
      <c r="I25" s="87"/>
      <c r="J25" s="87"/>
    </row>
    <row r="26" spans="1:10" s="6" customFormat="1" x14ac:dyDescent="0.2">
      <c r="A26" s="87"/>
      <c r="B26" s="87"/>
      <c r="C26" s="87"/>
      <c r="D26" s="87"/>
      <c r="E26" s="87"/>
      <c r="F26" s="87"/>
      <c r="G26" s="87"/>
      <c r="H26" s="87"/>
      <c r="I26" s="87"/>
      <c r="J26" s="87"/>
    </row>
    <row r="27" spans="1:10" s="6" customFormat="1" x14ac:dyDescent="0.2">
      <c r="A27" s="87"/>
      <c r="B27" s="87"/>
      <c r="C27" s="87"/>
      <c r="D27" s="87"/>
      <c r="E27" s="87"/>
      <c r="F27" s="87"/>
      <c r="G27" s="87"/>
      <c r="H27" s="87"/>
      <c r="I27" s="87"/>
      <c r="J27" s="87"/>
    </row>
    <row r="28" spans="1:10" s="6" customFormat="1" x14ac:dyDescent="0.2">
      <c r="A28" s="87"/>
      <c r="B28" s="87"/>
      <c r="C28" s="87"/>
      <c r="D28" s="87"/>
      <c r="E28" s="87"/>
      <c r="F28" s="87"/>
      <c r="G28" s="87"/>
      <c r="H28" s="87"/>
      <c r="I28" s="87"/>
      <c r="J28" s="87"/>
    </row>
    <row r="29" spans="1:10" s="6" customFormat="1" x14ac:dyDescent="0.2">
      <c r="A29" s="87"/>
      <c r="B29" s="87"/>
      <c r="C29" s="87"/>
      <c r="D29" s="87"/>
      <c r="E29" s="87"/>
      <c r="F29" s="87"/>
      <c r="G29" s="87"/>
      <c r="H29" s="87"/>
      <c r="I29" s="87"/>
      <c r="J29" s="87"/>
    </row>
    <row r="30" spans="1:10" s="6" customFormat="1" x14ac:dyDescent="0.2">
      <c r="A30" s="87"/>
      <c r="B30" s="87"/>
      <c r="C30" s="87"/>
      <c r="D30" s="87"/>
      <c r="E30" s="87"/>
      <c r="F30" s="87"/>
      <c r="G30" s="87"/>
      <c r="H30" s="87"/>
      <c r="I30" s="87"/>
      <c r="J30" s="87"/>
    </row>
    <row r="31" spans="1:10" s="6" customFormat="1" x14ac:dyDescent="0.2">
      <c r="A31" s="87"/>
      <c r="B31" s="87"/>
      <c r="C31" s="87"/>
      <c r="D31" s="87"/>
      <c r="E31" s="87"/>
      <c r="F31" s="87"/>
      <c r="G31" s="87"/>
      <c r="H31" s="87"/>
      <c r="I31" s="87"/>
      <c r="J31" s="87"/>
    </row>
    <row r="32" spans="1:10" s="6" customFormat="1" x14ac:dyDescent="0.2">
      <c r="A32" s="87"/>
      <c r="B32" s="87"/>
      <c r="C32" s="87"/>
      <c r="D32" s="87"/>
      <c r="E32" s="87"/>
      <c r="F32" s="87"/>
      <c r="G32" s="87"/>
      <c r="H32" s="87"/>
      <c r="I32" s="87"/>
      <c r="J32" s="87"/>
    </row>
    <row r="33" spans="1:10" s="6" customFormat="1" x14ac:dyDescent="0.2">
      <c r="A33" s="87"/>
      <c r="B33" s="87"/>
      <c r="C33" s="87"/>
      <c r="D33" s="87"/>
      <c r="E33" s="87"/>
      <c r="F33" s="87"/>
      <c r="G33" s="87"/>
      <c r="H33" s="87"/>
      <c r="I33" s="87"/>
      <c r="J33" s="87"/>
    </row>
    <row r="34" spans="1:10" s="6" customFormat="1" x14ac:dyDescent="0.2">
      <c r="A34" s="87"/>
      <c r="B34" s="87"/>
      <c r="C34" s="87"/>
      <c r="D34" s="87"/>
      <c r="E34" s="87"/>
      <c r="F34" s="87"/>
      <c r="G34" s="87"/>
      <c r="H34" s="87"/>
      <c r="I34" s="87"/>
      <c r="J34" s="87"/>
    </row>
    <row r="35" spans="1:10" s="6" customFormat="1" x14ac:dyDescent="0.2">
      <c r="A35" s="87"/>
      <c r="B35" s="87"/>
      <c r="C35" s="87"/>
      <c r="D35" s="87"/>
      <c r="E35" s="87"/>
      <c r="F35" s="87"/>
      <c r="G35" s="87"/>
      <c r="H35" s="87"/>
      <c r="I35" s="87"/>
      <c r="J35" s="87"/>
    </row>
    <row r="36" spans="1:10" s="6" customFormat="1" x14ac:dyDescent="0.2">
      <c r="A36" s="87"/>
      <c r="B36" s="87"/>
      <c r="C36" s="87"/>
      <c r="D36" s="87"/>
      <c r="E36" s="87"/>
      <c r="F36" s="87"/>
      <c r="G36" s="87"/>
      <c r="H36" s="87"/>
      <c r="I36" s="87"/>
      <c r="J36" s="87"/>
    </row>
    <row r="37" spans="1:10" s="6" customFormat="1" x14ac:dyDescent="0.2">
      <c r="A37" s="87"/>
      <c r="B37" s="87"/>
      <c r="C37" s="87"/>
      <c r="D37" s="87"/>
      <c r="E37" s="87"/>
      <c r="F37" s="87"/>
      <c r="G37" s="87"/>
      <c r="H37" s="87"/>
      <c r="I37" s="87"/>
      <c r="J37" s="87"/>
    </row>
    <row r="38" spans="1:10" s="6" customFormat="1" x14ac:dyDescent="0.2">
      <c r="A38" s="87"/>
      <c r="B38" s="87"/>
      <c r="C38" s="87"/>
      <c r="D38" s="87"/>
      <c r="E38" s="87"/>
      <c r="F38" s="87"/>
      <c r="G38" s="87"/>
      <c r="H38" s="87"/>
      <c r="I38" s="87"/>
      <c r="J38" s="87"/>
    </row>
    <row r="39" spans="1:10" s="6" customFormat="1" x14ac:dyDescent="0.2">
      <c r="A39" s="87"/>
      <c r="B39" s="87"/>
      <c r="C39" s="87"/>
      <c r="D39" s="87"/>
      <c r="E39" s="87"/>
      <c r="F39" s="87"/>
      <c r="G39" s="87"/>
      <c r="H39" s="87"/>
      <c r="I39" s="87"/>
      <c r="J39" s="87"/>
    </row>
    <row r="40" spans="1:10" s="6" customFormat="1" x14ac:dyDescent="0.2">
      <c r="A40" s="87"/>
      <c r="B40" s="87"/>
      <c r="C40" s="87"/>
      <c r="D40" s="87"/>
      <c r="E40" s="87"/>
      <c r="F40" s="87"/>
      <c r="G40" s="87"/>
      <c r="H40" s="87"/>
      <c r="I40" s="87"/>
      <c r="J40" s="87"/>
    </row>
    <row r="41" spans="1:10" s="6" customFormat="1" x14ac:dyDescent="0.2">
      <c r="A41" s="87"/>
      <c r="B41" s="87"/>
      <c r="C41" s="87"/>
      <c r="D41" s="87"/>
      <c r="E41" s="87"/>
      <c r="F41" s="87"/>
      <c r="G41" s="87"/>
      <c r="H41" s="87"/>
      <c r="I41" s="87"/>
      <c r="J41" s="87"/>
    </row>
    <row r="42" spans="1:10" s="6" customFormat="1" x14ac:dyDescent="0.2">
      <c r="A42" s="87"/>
      <c r="B42" s="87"/>
      <c r="C42" s="87"/>
      <c r="D42" s="87"/>
      <c r="E42" s="87"/>
      <c r="F42" s="87"/>
      <c r="G42" s="87"/>
      <c r="H42" s="87"/>
      <c r="I42" s="87"/>
      <c r="J42" s="87"/>
    </row>
    <row r="43" spans="1:10" s="6" customFormat="1" x14ac:dyDescent="0.2">
      <c r="A43" s="87"/>
      <c r="B43" s="87"/>
      <c r="C43" s="87"/>
      <c r="D43" s="87"/>
      <c r="E43" s="87"/>
      <c r="F43" s="87"/>
      <c r="G43" s="87"/>
      <c r="H43" s="87"/>
      <c r="I43" s="87"/>
      <c r="J43" s="87"/>
    </row>
    <row r="44" spans="1:10" s="6" customFormat="1" x14ac:dyDescent="0.2">
      <c r="A44" s="87"/>
      <c r="B44" s="87"/>
      <c r="C44" s="87"/>
      <c r="D44" s="87"/>
      <c r="E44" s="87"/>
      <c r="F44" s="87"/>
      <c r="G44" s="87"/>
      <c r="H44" s="87"/>
      <c r="I44" s="87"/>
      <c r="J44" s="87"/>
    </row>
    <row r="45" spans="1:10" s="6" customFormat="1" x14ac:dyDescent="0.2">
      <c r="A45" s="87"/>
      <c r="B45" s="87"/>
      <c r="C45" s="87"/>
      <c r="D45" s="87"/>
      <c r="E45" s="87"/>
      <c r="F45" s="87"/>
      <c r="G45" s="87"/>
      <c r="H45" s="87"/>
      <c r="I45" s="87"/>
      <c r="J45" s="87"/>
    </row>
    <row r="46" spans="1:10" s="6" customFormat="1" x14ac:dyDescent="0.2">
      <c r="A46" s="87"/>
      <c r="B46" s="87"/>
      <c r="C46" s="87"/>
      <c r="D46" s="87"/>
      <c r="E46" s="87"/>
      <c r="F46" s="87"/>
      <c r="G46" s="87"/>
      <c r="H46" s="87"/>
      <c r="I46" s="87"/>
      <c r="J46" s="87"/>
    </row>
    <row r="47" spans="1:10" s="6" customFormat="1" x14ac:dyDescent="0.2">
      <c r="A47" s="87"/>
      <c r="B47" s="87"/>
      <c r="C47" s="87"/>
      <c r="D47" s="87"/>
      <c r="E47" s="87"/>
      <c r="F47" s="87"/>
      <c r="G47" s="87"/>
      <c r="H47" s="87"/>
      <c r="I47" s="87"/>
      <c r="J47" s="87"/>
    </row>
    <row r="48" spans="1:10" s="6" customFormat="1" x14ac:dyDescent="0.2">
      <c r="A48" s="87"/>
      <c r="B48" s="87"/>
      <c r="C48" s="87"/>
      <c r="D48" s="87"/>
      <c r="E48" s="87"/>
      <c r="F48" s="87"/>
      <c r="G48" s="87"/>
      <c r="H48" s="87"/>
      <c r="I48" s="87"/>
      <c r="J48" s="87"/>
    </row>
    <row r="49" spans="1:10" s="6" customFormat="1" x14ac:dyDescent="0.2">
      <c r="A49" s="87"/>
      <c r="B49" s="87"/>
      <c r="C49" s="87"/>
      <c r="D49" s="87"/>
      <c r="E49" s="87"/>
      <c r="F49" s="87"/>
      <c r="G49" s="87"/>
      <c r="H49" s="87"/>
      <c r="I49" s="87"/>
      <c r="J49" s="87"/>
    </row>
    <row r="50" spans="1:10" s="6" customFormat="1" x14ac:dyDescent="0.2">
      <c r="A50" s="87"/>
      <c r="B50" s="87"/>
      <c r="C50" s="87"/>
      <c r="D50" s="87"/>
      <c r="E50" s="87"/>
      <c r="F50" s="87"/>
      <c r="G50" s="87"/>
      <c r="H50" s="87"/>
      <c r="I50" s="87"/>
      <c r="J50" s="87"/>
    </row>
    <row r="51" spans="1:10" s="6" customFormat="1" x14ac:dyDescent="0.2">
      <c r="A51" s="87"/>
      <c r="B51" s="87"/>
      <c r="C51" s="87"/>
      <c r="D51" s="87"/>
      <c r="E51" s="87"/>
      <c r="F51" s="87"/>
      <c r="G51" s="87"/>
      <c r="H51" s="87"/>
      <c r="I51" s="87"/>
      <c r="J51" s="87"/>
    </row>
    <row r="52" spans="1:10" s="6" customFormat="1" x14ac:dyDescent="0.2">
      <c r="A52" s="87"/>
      <c r="B52" s="87"/>
      <c r="C52" s="87"/>
      <c r="D52" s="87"/>
      <c r="E52" s="87"/>
      <c r="F52" s="87"/>
      <c r="G52" s="87"/>
      <c r="H52" s="87"/>
      <c r="I52" s="87"/>
      <c r="J52" s="87"/>
    </row>
    <row r="53" spans="1:10" s="6" customFormat="1" x14ac:dyDescent="0.2">
      <c r="A53" s="87"/>
      <c r="B53" s="87"/>
      <c r="C53" s="87"/>
      <c r="D53" s="87"/>
      <c r="E53" s="87"/>
      <c r="F53" s="87"/>
      <c r="G53" s="87"/>
      <c r="H53" s="87"/>
      <c r="I53" s="87"/>
      <c r="J53" s="87"/>
    </row>
    <row r="54" spans="1:10" s="6" customFormat="1" x14ac:dyDescent="0.2">
      <c r="A54" s="87"/>
      <c r="B54" s="87"/>
      <c r="C54" s="87"/>
      <c r="D54" s="87"/>
      <c r="E54" s="87"/>
      <c r="F54" s="87"/>
      <c r="G54" s="87"/>
      <c r="H54" s="87"/>
      <c r="I54" s="87"/>
      <c r="J54" s="87"/>
    </row>
    <row r="55" spans="1:10" s="6" customFormat="1" x14ac:dyDescent="0.2">
      <c r="A55" s="87"/>
      <c r="B55" s="87"/>
      <c r="C55" s="87"/>
      <c r="D55" s="87"/>
      <c r="E55" s="87"/>
      <c r="F55" s="87"/>
      <c r="G55" s="87"/>
      <c r="H55" s="87"/>
      <c r="I55" s="87"/>
      <c r="J55" s="87"/>
    </row>
    <row r="56" spans="1:10" s="6" customFormat="1" x14ac:dyDescent="0.2">
      <c r="A56" s="87"/>
      <c r="B56" s="87"/>
      <c r="C56" s="87"/>
      <c r="D56" s="87"/>
      <c r="E56" s="87"/>
      <c r="F56" s="87"/>
      <c r="G56" s="87"/>
      <c r="H56" s="87"/>
      <c r="I56" s="87"/>
      <c r="J56" s="87"/>
    </row>
    <row r="57" spans="1:10" s="6" customFormat="1" x14ac:dyDescent="0.2"/>
    <row r="58" spans="1:10" s="6" customFormat="1" x14ac:dyDescent="0.2"/>
    <row r="59" spans="1:10" s="6" customFormat="1" x14ac:dyDescent="0.2"/>
    <row r="60" spans="1:10" s="6" customFormat="1" x14ac:dyDescent="0.2"/>
    <row r="61" spans="1:10" s="6" customFormat="1" x14ac:dyDescent="0.2"/>
    <row r="62" spans="1:10" s="6" customFormat="1" x14ac:dyDescent="0.2"/>
    <row r="63" spans="1:10" s="6" customFormat="1" x14ac:dyDescent="0.2"/>
    <row r="64" spans="1:10" s="6" customFormat="1" x14ac:dyDescent="0.2"/>
    <row r="65" s="6" customFormat="1" x14ac:dyDescent="0.2"/>
    <row r="66" s="6" customFormat="1" x14ac:dyDescent="0.2"/>
    <row r="67" s="6" customFormat="1" x14ac:dyDescent="0.2"/>
    <row r="68" s="6" customFormat="1" x14ac:dyDescent="0.2"/>
    <row r="69" s="6" customFormat="1" x14ac:dyDescent="0.2"/>
    <row r="70" s="6" customFormat="1" x14ac:dyDescent="0.2"/>
    <row r="71" s="6" customFormat="1" x14ac:dyDescent="0.2"/>
    <row r="72" s="6" customFormat="1" x14ac:dyDescent="0.2"/>
    <row r="73" s="6" customFormat="1" x14ac:dyDescent="0.2"/>
    <row r="74" s="6" customFormat="1" x14ac:dyDescent="0.2"/>
    <row r="75" s="6" customFormat="1" x14ac:dyDescent="0.2"/>
    <row r="76" s="6" customFormat="1" x14ac:dyDescent="0.2"/>
    <row r="77" s="6" customFormat="1" x14ac:dyDescent="0.2"/>
    <row r="78" s="6" customFormat="1" x14ac:dyDescent="0.2"/>
    <row r="79" s="6" customFormat="1" x14ac:dyDescent="0.2"/>
    <row r="80" s="6" customFormat="1" x14ac:dyDescent="0.2"/>
    <row r="81" spans="1:10" s="6" customFormat="1" x14ac:dyDescent="0.2"/>
    <row r="82" spans="1:10" s="6" customFormat="1" x14ac:dyDescent="0.2"/>
    <row r="83" spans="1:10" s="6" customFormat="1" x14ac:dyDescent="0.2">
      <c r="A83" s="63"/>
      <c r="B83" s="63"/>
      <c r="C83" s="63"/>
      <c r="D83" s="63"/>
      <c r="E83" s="63"/>
      <c r="F83" s="63"/>
      <c r="G83" s="63"/>
      <c r="H83" s="63"/>
      <c r="I83" s="63"/>
      <c r="J83" s="63"/>
    </row>
  </sheetData>
  <mergeCells count="3">
    <mergeCell ref="A3:G4"/>
    <mergeCell ref="H3:J4"/>
    <mergeCell ref="A1:XFD1"/>
  </mergeCells>
  <conditionalFormatting sqref="D9:I9 F8:G8 D11:I56 D10:H10 F6:G6 E6:E8 A6:C56">
    <cfRule type="expression" dxfId="1202" priority="22">
      <formula>MOD(ROW(),2)=0</formula>
    </cfRule>
  </conditionalFormatting>
  <conditionalFormatting sqref="J13:J56">
    <cfRule type="expression" dxfId="1201" priority="20">
      <formula>MOD(ROW(),2)=0</formula>
    </cfRule>
  </conditionalFormatting>
  <conditionalFormatting sqref="J8:J11">
    <cfRule type="expression" dxfId="1200" priority="19">
      <formula>MOD(ROW(),2)=0</formula>
    </cfRule>
  </conditionalFormatting>
  <conditionalFormatting sqref="J12">
    <cfRule type="expression" dxfId="1199" priority="17">
      <formula>MOD(ROW(),2)=0</formula>
    </cfRule>
  </conditionalFormatting>
  <conditionalFormatting sqref="J6">
    <cfRule type="expression" dxfId="1198" priority="16">
      <formula>MOD(ROW(),2)=0</formula>
    </cfRule>
  </conditionalFormatting>
  <conditionalFormatting sqref="F7:G7">
    <cfRule type="expression" dxfId="1197" priority="14">
      <formula>MOD(ROW(),2)=0</formula>
    </cfRule>
  </conditionalFormatting>
  <conditionalFormatting sqref="J7">
    <cfRule type="expression" dxfId="1196" priority="11">
      <formula>MOD(ROW(),2)=0</formula>
    </cfRule>
  </conditionalFormatting>
  <conditionalFormatting sqref="H6:H8">
    <cfRule type="expression" dxfId="1195" priority="3">
      <formula>MOD(ROW(),2)=0</formula>
    </cfRule>
  </conditionalFormatting>
  <conditionalFormatting sqref="D8">
    <cfRule type="expression" dxfId="1194" priority="8">
      <formula>MOD(ROW(),2)=0</formula>
    </cfRule>
  </conditionalFormatting>
  <conditionalFormatting sqref="D6:D7">
    <cfRule type="expression" dxfId="1193" priority="7">
      <formula>MOD(ROW(),2)=0</formula>
    </cfRule>
  </conditionalFormatting>
  <conditionalFormatting sqref="I6:I8">
    <cfRule type="expression" dxfId="1192" priority="2">
      <formula>MOD(ROW(),2)=0</formula>
    </cfRule>
  </conditionalFormatting>
  <conditionalFormatting sqref="I10">
    <cfRule type="expression" dxfId="1191" priority="1">
      <formula>MOD(ROW(),2)=0</formula>
    </cfRule>
  </conditionalFormatting>
  <dataValidations count="2">
    <dataValidation type="date" operator="greaterThan" allowBlank="1" showInputMessage="1" showErrorMessage="1" sqref="D6:D56" xr:uid="{00000000-0002-0000-0900-000000000000}">
      <formula1>42005</formula1>
    </dataValidation>
    <dataValidation type="list" allowBlank="1" showInputMessage="1" showErrorMessage="1" sqref="C6:C56" xr:uid="{00000000-0002-0000-0900-000001000000}">
      <formula1>LApprovalStatus</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900-000002000000}">
          <x14:formula1>
            <xm:f>Lookups2!$C$21:$C$25</xm:f>
          </x14:formula1>
          <xm:sqref>A16:A56</xm:sqref>
        </x14:dataValidation>
        <x14:dataValidation type="list" showInputMessage="1" showErrorMessage="1" xr:uid="{00000000-0002-0000-0900-000004000000}">
          <x14:formula1>
            <xm:f>Lookups2!$C$21:$C$26</xm:f>
          </x14:formula1>
          <xm:sqref>A7:A15</xm:sqref>
        </x14:dataValidation>
        <x14:dataValidation type="list" allowBlank="1" showInputMessage="1" showErrorMessage="1" xr:uid="{00000000-0002-0000-0900-000003000000}">
          <x14:formula1>
            <xm:f>Lookups2!$A$2:$A$19</xm:f>
          </x14:formula1>
          <xm:sqref>B6:B8 B10:B56</xm:sqref>
        </x14:dataValidation>
        <x14:dataValidation type="list" showInputMessage="1" showErrorMessage="1" xr:uid="{00000000-0002-0000-0900-000005000000}">
          <x14:formula1>
            <xm:f>Lookups2!$C$21:$C$27</xm:f>
          </x14:formula1>
          <xm:sqref>A6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3" tint="0.79998168889431442"/>
  </sheetPr>
  <dimension ref="A1:E48"/>
  <sheetViews>
    <sheetView zoomScale="120" zoomScaleNormal="120" workbookViewId="0">
      <selection activeCell="D12" sqref="D12"/>
    </sheetView>
  </sheetViews>
  <sheetFormatPr defaultRowHeight="12.75" x14ac:dyDescent="0.2"/>
  <cols>
    <col min="1" max="1" width="3.7109375" style="1" customWidth="1"/>
    <col min="2" max="2" width="31.5703125" customWidth="1"/>
    <col min="3" max="3" width="25.7109375" customWidth="1"/>
    <col min="4" max="5" width="43.5703125" customWidth="1"/>
  </cols>
  <sheetData>
    <row r="1" spans="1:5" s="297" customFormat="1" ht="26.45" customHeight="1" x14ac:dyDescent="0.2">
      <c r="A1" s="297" t="s">
        <v>3593</v>
      </c>
    </row>
    <row r="2" spans="1:5" s="15" customFormat="1" ht="11.45" customHeight="1" x14ac:dyDescent="0.2"/>
    <row r="3" spans="1:5" s="15" customFormat="1" ht="11.45" customHeight="1" x14ac:dyDescent="0.2">
      <c r="B3" s="301" t="s">
        <v>3593</v>
      </c>
      <c r="C3" s="301"/>
      <c r="D3" s="301"/>
      <c r="E3" s="301"/>
    </row>
    <row r="4" spans="1:5" ht="13.15" customHeight="1" x14ac:dyDescent="0.2">
      <c r="B4" s="300"/>
      <c r="C4" s="300"/>
      <c r="D4" s="300"/>
      <c r="E4" s="300"/>
    </row>
    <row r="5" spans="1:5" x14ac:dyDescent="0.2">
      <c r="B5" s="164" t="s">
        <v>3594</v>
      </c>
      <c r="C5" s="268" t="s">
        <v>415</v>
      </c>
      <c r="D5" s="164" t="s">
        <v>3595</v>
      </c>
      <c r="E5" s="164" t="s">
        <v>167</v>
      </c>
    </row>
    <row r="6" spans="1:5" x14ac:dyDescent="0.2">
      <c r="B6" s="87" t="s">
        <v>3596</v>
      </c>
      <c r="C6" s="87"/>
      <c r="D6" s="64" t="s">
        <v>458</v>
      </c>
      <c r="E6" s="42" t="s">
        <v>3597</v>
      </c>
    </row>
    <row r="7" spans="1:5" x14ac:dyDescent="0.2">
      <c r="B7" s="87" t="s">
        <v>3598</v>
      </c>
      <c r="C7" s="87"/>
      <c r="D7" s="64" t="s">
        <v>3599</v>
      </c>
      <c r="E7" s="42" t="s">
        <v>3600</v>
      </c>
    </row>
    <row r="8" spans="1:5" x14ac:dyDescent="0.2">
      <c r="B8" s="87" t="s">
        <v>521</v>
      </c>
      <c r="C8" s="87"/>
      <c r="D8" s="87" t="s">
        <v>3601</v>
      </c>
      <c r="E8" s="42" t="s">
        <v>3602</v>
      </c>
    </row>
    <row r="9" spans="1:5" x14ac:dyDescent="0.2">
      <c r="B9" s="87" t="s">
        <v>3603</v>
      </c>
      <c r="C9" s="87"/>
      <c r="D9" s="87" t="s">
        <v>3604</v>
      </c>
      <c r="E9" s="97" t="s">
        <v>3605</v>
      </c>
    </row>
    <row r="10" spans="1:5" x14ac:dyDescent="0.2">
      <c r="B10" s="87" t="s">
        <v>3606</v>
      </c>
      <c r="C10" s="87"/>
      <c r="D10" s="87" t="s">
        <v>3607</v>
      </c>
      <c r="E10" s="97" t="s">
        <v>3608</v>
      </c>
    </row>
    <row r="11" spans="1:5" x14ac:dyDescent="0.2">
      <c r="B11" s="87" t="s">
        <v>4110</v>
      </c>
      <c r="C11" s="87"/>
      <c r="D11" s="87" t="s">
        <v>4112</v>
      </c>
      <c r="E11" s="97" t="s">
        <v>4111</v>
      </c>
    </row>
    <row r="12" spans="1:5" x14ac:dyDescent="0.2">
      <c r="B12" s="87"/>
      <c r="C12" s="87"/>
      <c r="D12" s="87"/>
      <c r="E12" s="97"/>
    </row>
    <row r="13" spans="1:5" x14ac:dyDescent="0.2">
      <c r="B13" s="87"/>
      <c r="C13" s="87"/>
      <c r="D13" s="87"/>
      <c r="E13" s="97"/>
    </row>
    <row r="14" spans="1:5" x14ac:dyDescent="0.2">
      <c r="B14" s="87"/>
      <c r="C14" s="87"/>
      <c r="D14" s="87"/>
      <c r="E14" s="97"/>
    </row>
    <row r="15" spans="1:5" x14ac:dyDescent="0.2">
      <c r="B15" s="87"/>
      <c r="C15" s="87"/>
      <c r="D15" s="87"/>
      <c r="E15" s="87"/>
    </row>
    <row r="16" spans="1:5" x14ac:dyDescent="0.2">
      <c r="B16" s="87"/>
      <c r="C16" s="87"/>
      <c r="D16" s="87"/>
      <c r="E16" s="87"/>
    </row>
    <row r="17" spans="2:5" x14ac:dyDescent="0.2">
      <c r="B17" s="87"/>
      <c r="C17" s="87"/>
      <c r="D17" s="87"/>
      <c r="E17" s="87"/>
    </row>
    <row r="18" spans="2:5" x14ac:dyDescent="0.2">
      <c r="B18" s="87"/>
      <c r="C18" s="87"/>
      <c r="D18" s="87"/>
      <c r="E18" s="87"/>
    </row>
    <row r="19" spans="2:5" x14ac:dyDescent="0.2">
      <c r="B19" s="87"/>
      <c r="C19" s="87"/>
      <c r="D19" s="87"/>
      <c r="E19" s="87"/>
    </row>
    <row r="20" spans="2:5" x14ac:dyDescent="0.2">
      <c r="B20" s="87"/>
      <c r="C20" s="87"/>
      <c r="D20" s="87"/>
      <c r="E20" s="87"/>
    </row>
    <row r="21" spans="2:5" x14ac:dyDescent="0.2">
      <c r="B21" s="87"/>
      <c r="C21" s="87"/>
      <c r="D21" s="87"/>
      <c r="E21" s="87"/>
    </row>
    <row r="22" spans="2:5" x14ac:dyDescent="0.2">
      <c r="B22" s="87"/>
      <c r="C22" s="87"/>
      <c r="D22" s="87"/>
      <c r="E22" s="87"/>
    </row>
    <row r="23" spans="2:5" x14ac:dyDescent="0.2">
      <c r="B23" s="87"/>
      <c r="C23" s="87"/>
      <c r="D23" s="87"/>
      <c r="E23" s="87"/>
    </row>
    <row r="24" spans="2:5" x14ac:dyDescent="0.2">
      <c r="B24" s="87"/>
      <c r="C24" s="87"/>
      <c r="D24" s="87"/>
      <c r="E24" s="87"/>
    </row>
    <row r="25" spans="2:5" x14ac:dyDescent="0.2">
      <c r="B25" s="87"/>
      <c r="C25" s="87"/>
      <c r="D25" s="87"/>
      <c r="E25" s="87"/>
    </row>
    <row r="26" spans="2:5" x14ac:dyDescent="0.2">
      <c r="B26" s="87"/>
      <c r="C26" s="87"/>
      <c r="D26" s="87"/>
      <c r="E26" s="87"/>
    </row>
    <row r="27" spans="2:5" x14ac:dyDescent="0.2">
      <c r="B27" s="87"/>
      <c r="C27" s="87"/>
      <c r="D27" s="87"/>
      <c r="E27" s="87"/>
    </row>
    <row r="28" spans="2:5" x14ac:dyDescent="0.2">
      <c r="B28" s="87"/>
      <c r="C28" s="87"/>
      <c r="D28" s="87"/>
      <c r="E28" s="87"/>
    </row>
    <row r="29" spans="2:5" x14ac:dyDescent="0.2">
      <c r="B29" s="87"/>
      <c r="C29" s="87"/>
      <c r="D29" s="87"/>
      <c r="E29" s="87"/>
    </row>
    <row r="30" spans="2:5" x14ac:dyDescent="0.2">
      <c r="B30" s="87"/>
      <c r="C30" s="87"/>
      <c r="D30" s="87"/>
      <c r="E30" s="87"/>
    </row>
    <row r="31" spans="2:5" x14ac:dyDescent="0.2">
      <c r="B31" s="87"/>
      <c r="C31" s="87"/>
      <c r="D31" s="87"/>
      <c r="E31" s="87"/>
    </row>
    <row r="32" spans="2:5" x14ac:dyDescent="0.2">
      <c r="B32" s="87"/>
      <c r="C32" s="87"/>
      <c r="D32" s="87"/>
      <c r="E32" s="87"/>
    </row>
    <row r="33" spans="2:5" x14ac:dyDescent="0.2">
      <c r="B33" s="87"/>
      <c r="C33" s="87"/>
      <c r="D33" s="87"/>
      <c r="E33" s="87"/>
    </row>
    <row r="34" spans="2:5" x14ac:dyDescent="0.2">
      <c r="B34" s="87"/>
      <c r="C34" s="87"/>
      <c r="D34" s="87"/>
      <c r="E34" s="87"/>
    </row>
    <row r="35" spans="2:5" x14ac:dyDescent="0.2">
      <c r="B35" s="87"/>
      <c r="C35" s="87"/>
      <c r="D35" s="87"/>
      <c r="E35" s="87"/>
    </row>
    <row r="36" spans="2:5" x14ac:dyDescent="0.2">
      <c r="B36" s="87"/>
      <c r="C36" s="87"/>
      <c r="D36" s="87"/>
      <c r="E36" s="87"/>
    </row>
    <row r="37" spans="2:5" x14ac:dyDescent="0.2">
      <c r="B37" s="87"/>
      <c r="C37" s="87"/>
      <c r="D37" s="87"/>
      <c r="E37" s="87"/>
    </row>
    <row r="38" spans="2:5" x14ac:dyDescent="0.2">
      <c r="B38" s="87"/>
      <c r="C38" s="87"/>
      <c r="D38" s="87"/>
      <c r="E38" s="87"/>
    </row>
    <row r="39" spans="2:5" x14ac:dyDescent="0.2">
      <c r="B39" s="87"/>
      <c r="C39" s="87"/>
      <c r="D39" s="87"/>
      <c r="E39" s="87"/>
    </row>
    <row r="40" spans="2:5" x14ac:dyDescent="0.2">
      <c r="B40" s="87"/>
      <c r="C40" s="87"/>
      <c r="D40" s="87"/>
      <c r="E40" s="87"/>
    </row>
    <row r="41" spans="2:5" x14ac:dyDescent="0.2">
      <c r="B41" s="87"/>
      <c r="C41" s="87"/>
      <c r="D41" s="87"/>
      <c r="E41" s="87"/>
    </row>
    <row r="42" spans="2:5" x14ac:dyDescent="0.2">
      <c r="B42" s="87"/>
      <c r="C42" s="87"/>
      <c r="D42" s="87"/>
      <c r="E42" s="87"/>
    </row>
    <row r="43" spans="2:5" x14ac:dyDescent="0.2">
      <c r="B43" s="87"/>
      <c r="C43" s="87"/>
      <c r="D43" s="87"/>
      <c r="E43" s="87"/>
    </row>
    <row r="44" spans="2:5" x14ac:dyDescent="0.2">
      <c r="B44" s="87"/>
      <c r="C44" s="87"/>
      <c r="D44" s="87"/>
      <c r="E44" s="87"/>
    </row>
    <row r="45" spans="2:5" x14ac:dyDescent="0.2">
      <c r="B45" s="87"/>
      <c r="C45" s="87"/>
      <c r="D45" s="87"/>
      <c r="E45" s="87"/>
    </row>
    <row r="46" spans="2:5" x14ac:dyDescent="0.2">
      <c r="B46" s="87"/>
      <c r="C46" s="87"/>
      <c r="D46" s="87"/>
      <c r="E46" s="87"/>
    </row>
    <row r="47" spans="2:5" x14ac:dyDescent="0.2">
      <c r="B47" s="87"/>
      <c r="C47" s="87"/>
      <c r="D47" s="87"/>
      <c r="E47" s="87"/>
    </row>
    <row r="48" spans="2:5" x14ac:dyDescent="0.2">
      <c r="B48" s="87"/>
      <c r="C48" s="87"/>
      <c r="D48" s="87"/>
      <c r="E48" s="87"/>
    </row>
  </sheetData>
  <mergeCells count="2">
    <mergeCell ref="A1:XFD1"/>
    <mergeCell ref="B3:E4"/>
  </mergeCells>
  <conditionalFormatting sqref="B6:C7 B11:E48 C9:E10 B8:B9 C8:D8">
    <cfRule type="expression" dxfId="1190" priority="4">
      <formula>MOD(ROW(),2)=0</formula>
    </cfRule>
  </conditionalFormatting>
  <conditionalFormatting sqref="D6:E7">
    <cfRule type="expression" dxfId="1189" priority="3">
      <formula>MOD(ROW(),2)=0</formula>
    </cfRule>
  </conditionalFormatting>
  <conditionalFormatting sqref="E8">
    <cfRule type="expression" dxfId="1188" priority="2">
      <formula>MOD(ROW(),2)=0</formula>
    </cfRule>
  </conditionalFormatting>
  <conditionalFormatting sqref="B10">
    <cfRule type="expression" dxfId="1187" priority="1">
      <formula>MOD(ROW(),2)=0</formula>
    </cfRule>
  </conditionalFormatting>
  <hyperlinks>
    <hyperlink ref="E7" r:id="rId1" xr:uid="{00000000-0004-0000-0A00-000000000000}"/>
    <hyperlink ref="E6" r:id="rId2" xr:uid="{00000000-0004-0000-0A00-000001000000}"/>
    <hyperlink ref="E8" r:id="rId3" xr:uid="{00000000-0004-0000-0A00-000002000000}"/>
    <hyperlink ref="E10" r:id="rId4" xr:uid="{00000000-0004-0000-0A00-000003000000}"/>
  </hyperlinks>
  <pageMargins left="0.7" right="0.7" top="0.75" bottom="0.75" header="0.3" footer="0.3"/>
  <pageSetup paperSize="9" orientation="portrait" r:id="rId5"/>
  <legacyDrawing r:id="rId6"/>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0000000}">
          <x14:formula1>
            <xm:f>Lookups2!$O$2:$O$26</xm:f>
          </x14:formula1>
          <xm:sqref>B6:B48</xm:sqref>
        </x14:dataValidation>
        <x14:dataValidation type="list" allowBlank="1" showInputMessage="1" showErrorMessage="1" xr:uid="{00000000-0002-0000-0A00-000001000000}">
          <x14:formula1>
            <xm:f>Lookups2!$A$2:$A$17</xm:f>
          </x14:formula1>
          <xm:sqref>C6:C48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2060"/>
  </sheetPr>
  <dimension ref="A1:M66"/>
  <sheetViews>
    <sheetView showGridLines="0" topLeftCell="B1" zoomScale="120" zoomScaleNormal="120" zoomScaleSheetLayoutView="80" workbookViewId="0">
      <selection activeCell="E14" sqref="E14"/>
    </sheetView>
  </sheetViews>
  <sheetFormatPr defaultRowHeight="12.75" x14ac:dyDescent="0.2"/>
  <cols>
    <col min="1" max="1" width="65.7109375" hidden="1" customWidth="1"/>
    <col min="2" max="2" width="26.85546875" customWidth="1"/>
    <col min="3" max="3" width="35.85546875" customWidth="1"/>
    <col min="4" max="4" width="41.42578125" bestFit="1" customWidth="1"/>
    <col min="5" max="5" width="36.42578125" bestFit="1" customWidth="1"/>
    <col min="6" max="6" width="30.5703125" customWidth="1"/>
    <col min="7" max="7" width="41.42578125" bestFit="1" customWidth="1"/>
    <col min="8" max="8" width="36.42578125" bestFit="1" customWidth="1"/>
    <col min="10" max="10" width="16.140625" customWidth="1"/>
    <col min="16" max="16" width="15.7109375" customWidth="1"/>
    <col min="17" max="17" width="14.140625" customWidth="1"/>
  </cols>
  <sheetData>
    <row r="1" spans="1:5" s="297" customFormat="1" ht="26.45" customHeight="1" x14ac:dyDescent="0.2">
      <c r="A1" s="297" t="s">
        <v>499</v>
      </c>
    </row>
    <row r="2" spans="1:5" s="15" customFormat="1" ht="11.45" customHeight="1" x14ac:dyDescent="0.2">
      <c r="A2" s="63"/>
      <c r="B2" s="63"/>
      <c r="C2" s="63"/>
    </row>
    <row r="3" spans="1:5" ht="13.15" customHeight="1" x14ac:dyDescent="0.2">
      <c r="A3" s="301" t="s">
        <v>3609</v>
      </c>
      <c r="B3" s="301"/>
      <c r="C3" s="301"/>
      <c r="D3" s="301"/>
      <c r="E3" s="301"/>
    </row>
    <row r="4" spans="1:5" ht="13.15" customHeight="1" x14ac:dyDescent="0.2">
      <c r="A4" s="330"/>
      <c r="B4" s="330"/>
      <c r="C4" s="330"/>
      <c r="D4" s="330"/>
      <c r="E4" s="330"/>
    </row>
    <row r="5" spans="1:5" x14ac:dyDescent="0.2">
      <c r="A5" s="7" t="s">
        <v>154</v>
      </c>
      <c r="B5" s="7" t="s">
        <v>3610</v>
      </c>
      <c r="C5" s="166" t="s">
        <v>3611</v>
      </c>
      <c r="D5" s="166" t="s">
        <v>3612</v>
      </c>
      <c r="E5" s="165" t="s">
        <v>3613</v>
      </c>
    </row>
    <row r="6" spans="1:5" x14ac:dyDescent="0.2">
      <c r="A6" s="11"/>
      <c r="B6" s="169" t="s">
        <v>3614</v>
      </c>
      <c r="C6" s="179"/>
      <c r="D6" s="177"/>
      <c r="E6" s="177" t="s">
        <v>165</v>
      </c>
    </row>
    <row r="7" spans="1:5" ht="13.15" customHeight="1" x14ac:dyDescent="0.2">
      <c r="A7" s="11" t="str">
        <f>SettingsMtx!C4</f>
        <v>src</v>
      </c>
      <c r="B7" s="167" t="str">
        <f>SettingsMtx!B4</f>
        <v>Source</v>
      </c>
      <c r="C7" s="179"/>
      <c r="D7" s="178"/>
      <c r="E7" s="178"/>
    </row>
    <row r="8" spans="1:5" x14ac:dyDescent="0.2">
      <c r="A8" s="11" t="str">
        <f>SettingsMtx!C5</f>
        <v>src:spid</v>
      </c>
      <c r="B8" s="168" t="str">
        <f>SettingsMtx!B5</f>
        <v>SPID</v>
      </c>
      <c r="C8" s="179"/>
      <c r="D8" s="177"/>
      <c r="E8" s="177"/>
    </row>
    <row r="9" spans="1:5" ht="13.15" customHeight="1" x14ac:dyDescent="0.2">
      <c r="A9" s="11" t="str">
        <f>SettingsMtx!C6</f>
        <v>auth</v>
      </c>
      <c r="B9" s="167" t="str">
        <f>SettingsMtx!B6</f>
        <v>Authentication</v>
      </c>
      <c r="C9" s="179"/>
      <c r="D9" s="177"/>
      <c r="E9" s="177"/>
    </row>
    <row r="10" spans="1:5" x14ac:dyDescent="0.2">
      <c r="A10" s="11" t="str">
        <f>SettingsMtx!C7</f>
        <v>auth:type</v>
      </c>
      <c r="B10" s="168" t="str">
        <f>SettingsMtx!B7</f>
        <v>Auth type</v>
      </c>
      <c r="C10" s="179"/>
      <c r="D10" s="177"/>
      <c r="E10" s="177"/>
    </row>
    <row r="11" spans="1:5" ht="13.15" customHeight="1" x14ac:dyDescent="0.2">
      <c r="A11" s="11" t="str">
        <f>SettingsMtx!C8</f>
        <v>auth:user</v>
      </c>
      <c r="B11" s="168" t="str">
        <f>SettingsMtx!B8</f>
        <v>Username</v>
      </c>
      <c r="C11" s="179"/>
      <c r="D11" s="177"/>
      <c r="E11" s="177"/>
    </row>
    <row r="12" spans="1:5" x14ac:dyDescent="0.2">
      <c r="A12" s="11" t="str">
        <f>SettingsMtx!C9</f>
        <v>auth:password</v>
      </c>
      <c r="B12" s="168" t="str">
        <f>SettingsMtx!B9</f>
        <v>Password</v>
      </c>
      <c r="C12" s="179"/>
      <c r="D12" s="177"/>
      <c r="E12" s="177"/>
    </row>
    <row r="13" spans="1:5" x14ac:dyDescent="0.2">
      <c r="A13" s="11" t="str">
        <f>SettingsMtx!C10</f>
        <v>http</v>
      </c>
      <c r="B13" s="167" t="str">
        <f>SettingsMtx!B10</f>
        <v>HTTP</v>
      </c>
      <c r="C13" s="179"/>
      <c r="D13" s="177"/>
      <c r="E13" s="177"/>
    </row>
    <row r="14" spans="1:5" ht="13.15" customHeight="1" x14ac:dyDescent="0.2">
      <c r="A14" s="11" t="str">
        <f>SettingsMtx!C11</f>
        <v>http:url</v>
      </c>
      <c r="B14" s="168" t="str">
        <f>SettingsMtx!B11</f>
        <v>BaseUrl</v>
      </c>
      <c r="C14" s="179"/>
      <c r="D14" s="177"/>
      <c r="E14" s="114" t="s">
        <v>3615</v>
      </c>
    </row>
    <row r="15" spans="1:5" x14ac:dyDescent="0.2">
      <c r="A15" s="11" t="str">
        <f>SettingsMtx!C12</f>
        <v>ftps:pull</v>
      </c>
      <c r="B15" s="167" t="str">
        <f>SettingsMtx!B12</f>
        <v>FTPS:Pull</v>
      </c>
      <c r="C15" s="179"/>
      <c r="D15" s="177"/>
      <c r="E15" s="177"/>
    </row>
    <row r="16" spans="1:5" x14ac:dyDescent="0.2">
      <c r="A16" s="11" t="str">
        <f>SettingsMtx!C13</f>
        <v>ftps:pull:server</v>
      </c>
      <c r="B16" s="168" t="str">
        <f>SettingsMtx!B13</f>
        <v>Server</v>
      </c>
      <c r="C16" s="179"/>
      <c r="D16" s="177"/>
      <c r="E16" s="177"/>
    </row>
    <row r="17" spans="1:13" x14ac:dyDescent="0.2">
      <c r="A17" s="11" t="str">
        <f>SettingsMtx!C14</f>
        <v>ftps:pull:port</v>
      </c>
      <c r="B17" s="168" t="str">
        <f>SettingsMtx!B14</f>
        <v>Port</v>
      </c>
      <c r="C17" s="179"/>
      <c r="D17" s="177"/>
      <c r="E17" s="177"/>
      <c r="F17" s="63"/>
      <c r="G17" s="63"/>
      <c r="H17" s="63"/>
      <c r="I17" s="63"/>
      <c r="J17" s="63"/>
      <c r="K17" s="63"/>
      <c r="L17" s="63"/>
      <c r="M17" s="63"/>
    </row>
    <row r="18" spans="1:13" x14ac:dyDescent="0.2">
      <c r="A18" s="11" t="str">
        <f>SettingsMtx!C15</f>
        <v>ftps:pull:dir</v>
      </c>
      <c r="B18" s="168" t="str">
        <f>SettingsMtx!B15</f>
        <v>Directory</v>
      </c>
      <c r="C18" s="179"/>
      <c r="D18" s="177"/>
      <c r="E18" s="177"/>
      <c r="F18" s="63"/>
      <c r="G18" s="63"/>
      <c r="H18" s="63"/>
      <c r="I18" s="63"/>
      <c r="J18" s="63"/>
      <c r="K18" s="63"/>
      <c r="L18" s="63"/>
      <c r="M18" s="63"/>
    </row>
    <row r="19" spans="1:13" x14ac:dyDescent="0.2">
      <c r="A19" s="11" t="str">
        <f>SettingsMtx!C16</f>
        <v>db:ora</v>
      </c>
      <c r="B19" s="167" t="str">
        <f>SettingsMtx!B16</f>
        <v>DB:Oracle</v>
      </c>
      <c r="C19" s="179"/>
      <c r="D19" s="177"/>
      <c r="E19" s="177"/>
      <c r="F19" s="63"/>
      <c r="G19" s="63"/>
      <c r="H19" s="63"/>
      <c r="I19" s="63"/>
      <c r="J19" s="63"/>
      <c r="K19" s="63"/>
      <c r="L19" s="63"/>
      <c r="M19" s="63"/>
    </row>
    <row r="20" spans="1:13" x14ac:dyDescent="0.2">
      <c r="A20" s="11" t="str">
        <f>SettingsMtx!C17</f>
        <v>db:ora:service</v>
      </c>
      <c r="B20" s="168" t="str">
        <f>SettingsMtx!B17</f>
        <v>Service Name</v>
      </c>
      <c r="C20" s="179"/>
      <c r="D20" s="177"/>
      <c r="E20" s="177"/>
      <c r="F20" s="63"/>
      <c r="G20" s="63"/>
      <c r="H20" s="63"/>
      <c r="I20" s="63"/>
      <c r="J20" s="63"/>
      <c r="K20" s="63"/>
      <c r="L20" s="63"/>
      <c r="M20" s="63"/>
    </row>
    <row r="21" spans="1:13" x14ac:dyDescent="0.2">
      <c r="A21" s="11" t="str">
        <f>SettingsMtx!C18</f>
        <v>sp:lib</v>
      </c>
      <c r="B21" s="167" t="str">
        <f>SettingsMtx!B18</f>
        <v>Sharepoint:Lib</v>
      </c>
      <c r="C21" s="179"/>
      <c r="D21" s="177"/>
      <c r="E21" s="177"/>
      <c r="F21" s="63"/>
      <c r="G21" s="63"/>
      <c r="H21" s="63"/>
      <c r="I21" s="63"/>
      <c r="J21" s="63"/>
      <c r="K21" s="63"/>
      <c r="L21" s="63"/>
      <c r="M21" s="63"/>
    </row>
    <row r="22" spans="1:13" x14ac:dyDescent="0.2">
      <c r="A22" s="11" t="str">
        <f>SettingsMtx!C19</f>
        <v>sp:lib:guid</v>
      </c>
      <c r="B22" s="168" t="str">
        <f>SettingsMtx!B19</f>
        <v>Library GUID</v>
      </c>
      <c r="C22" s="179"/>
      <c r="D22" s="177"/>
      <c r="E22" s="177"/>
      <c r="F22" s="63"/>
      <c r="G22" s="63"/>
      <c r="H22" s="63"/>
      <c r="I22" s="63"/>
      <c r="J22" s="63"/>
      <c r="K22" s="63"/>
      <c r="L22" s="63"/>
      <c r="M22" s="63"/>
    </row>
    <row r="23" spans="1:13" x14ac:dyDescent="0.2">
      <c r="A23" s="11" t="str">
        <f>SettingsMtx!C20</f>
        <v>dp:lib:name</v>
      </c>
      <c r="B23" s="168" t="str">
        <f>SettingsMtx!B20</f>
        <v>Library Name</v>
      </c>
      <c r="C23" s="179"/>
      <c r="D23" s="177"/>
      <c r="E23" s="177"/>
      <c r="F23" s="63"/>
      <c r="G23" s="63"/>
      <c r="H23" s="63"/>
      <c r="I23" s="63"/>
      <c r="J23" s="63"/>
      <c r="K23" s="63"/>
      <c r="L23" s="63"/>
      <c r="M23" s="63"/>
    </row>
    <row r="24" spans="1:13" x14ac:dyDescent="0.2">
      <c r="A24" s="11" t="str">
        <f>SettingsMtx!C21</f>
        <v>fb</v>
      </c>
      <c r="B24" s="167" t="str">
        <f>SettingsMtx!B21</f>
        <v>Filebroker</v>
      </c>
      <c r="C24" s="179"/>
      <c r="D24" s="177"/>
      <c r="E24" s="177"/>
      <c r="F24" s="63"/>
      <c r="G24" s="63"/>
      <c r="H24" s="63"/>
      <c r="I24" s="63"/>
      <c r="J24" s="63"/>
      <c r="K24" s="63"/>
      <c r="L24" s="63"/>
      <c r="M24" s="63"/>
    </row>
    <row r="25" spans="1:13" x14ac:dyDescent="0.2">
      <c r="A25" s="11" t="str">
        <f>SettingsMtx!C22</f>
        <v>fb:refid</v>
      </c>
      <c r="B25" s="168" t="str">
        <f>SettingsMtx!B22</f>
        <v>RefID</v>
      </c>
      <c r="C25" s="179"/>
      <c r="D25" s="177"/>
      <c r="E25" s="177"/>
      <c r="F25" s="63"/>
      <c r="G25" s="63"/>
      <c r="H25" s="63"/>
      <c r="I25" s="63"/>
      <c r="J25" s="63"/>
      <c r="K25" s="63"/>
      <c r="L25" s="63"/>
      <c r="M25" s="63"/>
    </row>
    <row r="26" spans="1:13" x14ac:dyDescent="0.2">
      <c r="A26" s="11" t="str">
        <f>SettingsMtx!C23</f>
        <v>fb:sys</v>
      </c>
      <c r="B26" s="168" t="str">
        <f>SettingsMtx!B23</f>
        <v>System</v>
      </c>
      <c r="C26" s="179"/>
      <c r="D26" s="177"/>
      <c r="E26" s="177"/>
      <c r="F26" s="63"/>
      <c r="G26" s="63"/>
      <c r="H26" s="63"/>
      <c r="I26" s="63"/>
      <c r="J26" s="63"/>
      <c r="K26" s="63"/>
      <c r="L26" s="63"/>
      <c r="M26" s="63"/>
    </row>
    <row r="27" spans="1:13" x14ac:dyDescent="0.2">
      <c r="A27" s="11" t="str">
        <f>SettingsMtx!C24</f>
        <v>webui</v>
      </c>
      <c r="B27" s="167" t="str">
        <f>SettingsMtx!B24</f>
        <v>Web UI</v>
      </c>
      <c r="C27" s="179"/>
      <c r="D27" s="177"/>
      <c r="E27" s="177"/>
      <c r="F27" s="63"/>
      <c r="G27" s="63"/>
      <c r="H27" s="63"/>
      <c r="I27" s="63"/>
      <c r="J27" s="63"/>
      <c r="K27" s="63"/>
      <c r="L27" s="63"/>
      <c r="M27" s="63"/>
    </row>
    <row r="28" spans="1:13" x14ac:dyDescent="0.2">
      <c r="A28" s="11" t="str">
        <f>SettingsMtx!C25</f>
        <v>webui:topic</v>
      </c>
      <c r="B28" s="168" t="str">
        <f>SettingsMtx!B25</f>
        <v>Topic</v>
      </c>
      <c r="C28" s="179"/>
      <c r="D28" s="177"/>
      <c r="E28" s="177"/>
      <c r="F28" s="63"/>
      <c r="G28" s="63"/>
      <c r="H28" s="63"/>
      <c r="I28" s="63"/>
      <c r="J28" s="63"/>
      <c r="K28" s="63"/>
      <c r="L28" s="63"/>
      <c r="M28" s="63"/>
    </row>
    <row r="29" spans="1:13" x14ac:dyDescent="0.2">
      <c r="A29" s="11" t="str">
        <f>SettingsMtx!C26</f>
        <v>email</v>
      </c>
      <c r="B29" s="167" t="str">
        <f>SettingsMtx!B26</f>
        <v>Email</v>
      </c>
      <c r="C29" s="179"/>
      <c r="D29" s="177"/>
      <c r="E29" s="177"/>
      <c r="F29" s="63"/>
      <c r="G29" s="63"/>
      <c r="H29" s="63"/>
      <c r="I29" s="63"/>
      <c r="J29" s="63"/>
      <c r="K29" s="63"/>
      <c r="L29" s="63"/>
      <c r="M29" s="181" t="s">
        <v>653</v>
      </c>
    </row>
    <row r="30" spans="1:13" x14ac:dyDescent="0.2">
      <c r="A30" s="11" t="str">
        <f>SettingsMtx!C27</f>
        <v>email:box</v>
      </c>
      <c r="B30" s="168" t="str">
        <f>SettingsMtx!B27</f>
        <v>Mailbox</v>
      </c>
      <c r="C30" s="179"/>
      <c r="D30" s="177"/>
      <c r="E30" s="177"/>
      <c r="F30" s="63"/>
      <c r="G30" s="63"/>
      <c r="H30" s="63"/>
      <c r="I30" s="63"/>
      <c r="J30" s="63"/>
      <c r="K30" s="63"/>
      <c r="L30" s="63"/>
      <c r="M30" s="181" t="s">
        <v>662</v>
      </c>
    </row>
    <row r="31" spans="1:13" x14ac:dyDescent="0.2">
      <c r="A31" s="63"/>
      <c r="B31" s="167" t="str">
        <f>SettingsMtx!B28</f>
        <v>Impala</v>
      </c>
      <c r="C31" s="179"/>
      <c r="D31" s="177"/>
      <c r="E31" s="177"/>
      <c r="F31" s="63"/>
      <c r="G31" s="63"/>
      <c r="H31" s="63"/>
      <c r="I31" s="63"/>
      <c r="J31" s="63"/>
      <c r="K31" s="63"/>
      <c r="L31" s="63"/>
      <c r="M31" s="63"/>
    </row>
    <row r="32" spans="1:13" x14ac:dyDescent="0.2">
      <c r="A32" s="63"/>
      <c r="B32" s="168" t="str">
        <f>SettingsMtx!B29</f>
        <v>Service Name</v>
      </c>
      <c r="C32" s="179"/>
      <c r="D32" s="177"/>
      <c r="E32" s="177"/>
      <c r="F32" s="63"/>
      <c r="G32" s="63"/>
      <c r="H32" s="63"/>
      <c r="I32" s="63"/>
      <c r="J32" s="63"/>
      <c r="K32" s="63"/>
      <c r="L32" s="63"/>
      <c r="M32" s="63"/>
    </row>
    <row r="38" spans="1:5" x14ac:dyDescent="0.2">
      <c r="A38" s="63"/>
      <c r="B38" s="63"/>
      <c r="C38" s="63"/>
      <c r="D38" s="63"/>
      <c r="E38" s="63"/>
    </row>
    <row r="39" spans="1:5" x14ac:dyDescent="0.2">
      <c r="A39" s="63"/>
      <c r="B39" s="63"/>
      <c r="C39" s="63"/>
      <c r="D39" s="63"/>
      <c r="E39" s="63"/>
    </row>
    <row r="40" spans="1:5" ht="15" customHeight="1" x14ac:dyDescent="0.2">
      <c r="A40" s="63"/>
      <c r="B40" s="63"/>
      <c r="C40" s="63"/>
      <c r="D40" s="63"/>
      <c r="E40" s="63"/>
    </row>
    <row r="41" spans="1:5" s="297" customFormat="1" ht="26.45" customHeight="1" x14ac:dyDescent="0.2">
      <c r="A41" s="297" t="s">
        <v>3616</v>
      </c>
    </row>
    <row r="42" spans="1:5" ht="15" customHeight="1" x14ac:dyDescent="0.2">
      <c r="A42" s="63"/>
      <c r="B42" s="329" t="s">
        <v>3617</v>
      </c>
      <c r="C42" s="329"/>
      <c r="D42" s="63"/>
      <c r="E42" s="63"/>
    </row>
    <row r="43" spans="1:5" ht="15" customHeight="1" x14ac:dyDescent="0.2">
      <c r="A43" s="63"/>
      <c r="B43" s="311"/>
      <c r="C43" s="311"/>
      <c r="D43" s="63"/>
      <c r="E43" s="63"/>
    </row>
    <row r="44" spans="1:5" x14ac:dyDescent="0.2">
      <c r="A44" s="63"/>
      <c r="B44" s="65" t="s">
        <v>604</v>
      </c>
      <c r="C44" s="66"/>
      <c r="D44" s="63"/>
      <c r="E44" s="63"/>
    </row>
    <row r="45" spans="1:5" x14ac:dyDescent="0.2">
      <c r="A45" s="63"/>
      <c r="B45" s="10" t="s">
        <v>604</v>
      </c>
      <c r="C45" s="84"/>
      <c r="D45" s="63"/>
      <c r="E45" s="63"/>
    </row>
    <row r="46" spans="1:5" ht="15" customHeight="1" x14ac:dyDescent="0.2">
      <c r="A46" s="63"/>
      <c r="B46" s="10" t="s">
        <v>3618</v>
      </c>
      <c r="C46" s="11"/>
      <c r="D46" s="63"/>
      <c r="E46" s="63"/>
    </row>
    <row r="47" spans="1:5" ht="15" customHeight="1" x14ac:dyDescent="0.2">
      <c r="A47" s="63"/>
      <c r="B47" s="63"/>
      <c r="C47" s="63"/>
      <c r="D47" s="63"/>
      <c r="E47" s="63"/>
    </row>
    <row r="48" spans="1:5" ht="12.75" customHeight="1" x14ac:dyDescent="0.2">
      <c r="A48" s="63"/>
      <c r="B48" s="329" t="s">
        <v>3619</v>
      </c>
      <c r="C48" s="329"/>
      <c r="D48" s="63"/>
      <c r="E48" s="63"/>
    </row>
    <row r="49" spans="1:5" ht="12.75" customHeight="1" x14ac:dyDescent="0.2">
      <c r="A49" s="63"/>
      <c r="B49" s="311"/>
      <c r="C49" s="311"/>
      <c r="D49" s="63"/>
      <c r="E49" s="63"/>
    </row>
    <row r="50" spans="1:5" x14ac:dyDescent="0.2">
      <c r="A50" s="63"/>
      <c r="B50" s="65" t="s">
        <v>3620</v>
      </c>
      <c r="C50" s="66"/>
      <c r="D50" s="63"/>
      <c r="E50" s="63"/>
    </row>
    <row r="51" spans="1:5" ht="48" x14ac:dyDescent="0.2">
      <c r="A51" s="63"/>
      <c r="B51" s="76" t="s">
        <v>3621</v>
      </c>
      <c r="C51" s="84"/>
      <c r="D51" s="63"/>
      <c r="E51" s="63"/>
    </row>
    <row r="52" spans="1:5" x14ac:dyDescent="0.2">
      <c r="A52" s="63"/>
      <c r="B52" s="10" t="s">
        <v>3622</v>
      </c>
      <c r="C52" s="84"/>
      <c r="D52" s="63"/>
      <c r="E52" s="63"/>
    </row>
    <row r="53" spans="1:5" x14ac:dyDescent="0.2">
      <c r="A53" s="63"/>
      <c r="B53" s="10" t="s">
        <v>3623</v>
      </c>
      <c r="C53" s="10"/>
      <c r="D53" s="63"/>
      <c r="E53" s="63"/>
    </row>
    <row r="54" spans="1:5" ht="15" customHeight="1" x14ac:dyDescent="0.2">
      <c r="A54" s="63"/>
      <c r="B54" s="10" t="s">
        <v>3624</v>
      </c>
      <c r="C54" s="10"/>
      <c r="D54" s="63"/>
      <c r="E54" s="63"/>
    </row>
    <row r="55" spans="1:5" ht="15" customHeight="1" x14ac:dyDescent="0.2">
      <c r="A55" s="63"/>
      <c r="B55" s="63"/>
      <c r="C55" s="63"/>
      <c r="D55" s="63"/>
      <c r="E55" s="63"/>
    </row>
    <row r="56" spans="1:5" ht="12.75" customHeight="1" x14ac:dyDescent="0.2">
      <c r="A56" s="63"/>
      <c r="B56" s="329" t="s">
        <v>3625</v>
      </c>
      <c r="C56" s="329"/>
      <c r="D56" s="63"/>
      <c r="E56" s="63"/>
    </row>
    <row r="57" spans="1:5" ht="12.75" customHeight="1" x14ac:dyDescent="0.2">
      <c r="A57" s="63"/>
      <c r="B57" s="329"/>
      <c r="C57" s="329"/>
      <c r="D57" s="63"/>
      <c r="E57" s="63"/>
    </row>
    <row r="58" spans="1:5" ht="16.5" customHeight="1" x14ac:dyDescent="0.2">
      <c r="A58" s="63"/>
      <c r="B58" s="59" t="s">
        <v>3626</v>
      </c>
      <c r="C58" s="180" t="s">
        <v>653</v>
      </c>
      <c r="D58" s="63"/>
      <c r="E58" s="63"/>
    </row>
    <row r="59" spans="1:5" ht="15" customHeight="1" x14ac:dyDescent="0.2">
      <c r="A59" s="63"/>
      <c r="B59" s="63"/>
      <c r="C59" s="63"/>
      <c r="D59" s="63"/>
      <c r="E59" s="63"/>
    </row>
    <row r="60" spans="1:5" ht="12.75" customHeight="1" x14ac:dyDescent="0.2">
      <c r="A60" s="63"/>
      <c r="B60" s="329" t="s">
        <v>3627</v>
      </c>
      <c r="C60" s="329"/>
      <c r="D60" s="63"/>
      <c r="E60" s="63"/>
    </row>
    <row r="61" spans="1:5" ht="12.75" customHeight="1" x14ac:dyDescent="0.2">
      <c r="A61" s="63"/>
      <c r="B61" s="311"/>
      <c r="C61" s="311"/>
      <c r="D61" s="63"/>
      <c r="E61" s="63"/>
    </row>
    <row r="62" spans="1:5" x14ac:dyDescent="0.2">
      <c r="A62" s="63"/>
      <c r="B62" s="10" t="s">
        <v>3628</v>
      </c>
      <c r="C62" s="84" t="s">
        <v>653</v>
      </c>
      <c r="D62" s="63"/>
      <c r="E62" s="63"/>
    </row>
    <row r="64" spans="1:5" s="63" customFormat="1" ht="12.75" customHeight="1" x14ac:dyDescent="0.2">
      <c r="B64" s="329" t="s">
        <v>3629</v>
      </c>
      <c r="C64" s="329"/>
    </row>
    <row r="65" spans="2:3" s="63" customFormat="1" ht="12.75" customHeight="1" x14ac:dyDescent="0.2">
      <c r="B65" s="311"/>
      <c r="C65" s="311"/>
    </row>
    <row r="66" spans="2:3" ht="12.75" customHeight="1" x14ac:dyDescent="0.2">
      <c r="B66" s="59" t="s">
        <v>3630</v>
      </c>
      <c r="C66" s="59"/>
    </row>
  </sheetData>
  <dataConsolidate/>
  <mergeCells count="8">
    <mergeCell ref="B64:C65"/>
    <mergeCell ref="B56:C57"/>
    <mergeCell ref="B60:C61"/>
    <mergeCell ref="A1:XFD1"/>
    <mergeCell ref="A3:E4"/>
    <mergeCell ref="A41:XFD41"/>
    <mergeCell ref="B42:C43"/>
    <mergeCell ref="B48:C49"/>
  </mergeCells>
  <dataValidations count="1">
    <dataValidation type="list" allowBlank="1" showInputMessage="1" showErrorMessage="1" sqref="C62 C58" xr:uid="{00000000-0002-0000-0B00-000000000000}">
      <formula1>$M$29:$M$30</formula1>
    </dataValidation>
  </dataValidations>
  <hyperlinks>
    <hyperlink ref="E14" r:id="rId1" tooltip="Follow link" xr:uid="{00000000-0004-0000-0B00-000000000000}"/>
  </hyperlink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83" id="{5BD0DBFF-8B96-41B4-B71C-C91CC5596E40}">
            <xm:f>NOT(EXACT(INDEX(LSetMatrix,SettingsMtx!$A5,MATCH($D$6,LSetInterfaceLookup,0)),"X"))</xm:f>
            <x14:dxf>
              <font>
                <color theme="0" tint="-0.14996795556505021"/>
              </font>
              <fill>
                <patternFill>
                  <bgColor theme="0" tint="-4.9989318521683403E-2"/>
                </patternFill>
              </fill>
            </x14:dxf>
          </x14:cfRule>
          <xm:sqref>D8:D32</xm:sqref>
        </x14:conditionalFormatting>
        <x14:conditionalFormatting xmlns:xm="http://schemas.microsoft.com/office/excel/2006/main">
          <x14:cfRule type="expression" priority="85" id="{1685ADBB-E989-4E76-A589-B459A0A0E50D}">
            <xm:f>NOT(EXACT(INDEX(LSetMatrix,SettingsMtx!$A5,MATCH($E$6,LSetInterfaceLookup,0)),"X"))</xm:f>
            <x14:dxf>
              <font>
                <color theme="0" tint="-0.14996795556505021"/>
              </font>
              <fill>
                <patternFill>
                  <bgColor theme="0" tint="-4.9989318521683403E-2"/>
                </patternFill>
              </fill>
            </x14:dxf>
          </x14:cfRule>
          <xm:sqref>E8:E13 E15:E32</xm:sqref>
        </x14:conditionalFormatting>
        <x14:conditionalFormatting xmlns:xm="http://schemas.microsoft.com/office/excel/2006/main">
          <x14:cfRule type="expression" priority="3" id="{9D3C7253-49D9-49C9-A25B-B7FCF6E11151}">
            <xm:f>NOT(EXACT(INDEX(LSetMatrix,'\\ch.ad.hedani.net\home_ch$\F202241\Desktop\ch.ad.hedani.net\home_ch$\Users\A135761\AppData\Local\Microsoft\Windows\Temporary Internet Files\Content.Outlook\KSAZQQ8U\[Sample_source_v1.xlsx]SettingsMtx'!#REF!,MATCH($D$6,LSetInterfaceLookup,0)),"X"))</xm:f>
            <x14:dxf>
              <font>
                <color theme="0" tint="-0.14996795556505021"/>
              </font>
              <fill>
                <patternFill>
                  <bgColor theme="0" tint="-4.9989318521683403E-2"/>
                </patternFill>
              </fill>
            </x14:dxf>
          </x14:cfRule>
          <xm:sqref>D7</xm:sqref>
        </x14:conditionalFormatting>
        <x14:conditionalFormatting xmlns:xm="http://schemas.microsoft.com/office/excel/2006/main">
          <x14:cfRule type="expression" priority="4" id="{9CA9C7EB-6513-4709-88F2-B6A791307156}">
            <xm:f>NOT(EXACT(INDEX(LSetMatrix,'\\ch.ad.hedani.net\home_ch$\F202241\Desktop\ch.ad.hedani.net\home_ch$\Users\A135761\AppData\Local\Microsoft\Windows\Temporary Internet Files\Content.Outlook\KSAZQQ8U\[Sample_source_v1.xlsx]SettingsMtx'!#REF!,MATCH($E$6,LSetInterfaceLookup,0)),"X"))</xm:f>
            <x14:dxf>
              <font>
                <color theme="0" tint="-0.14996795556505021"/>
              </font>
              <fill>
                <patternFill>
                  <bgColor theme="0" tint="-4.9989318521683403E-2"/>
                </patternFill>
              </fill>
            </x14:dxf>
          </x14:cfRule>
          <xm:sqref>E7</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B00-000001000000}">
          <x14:formula1>
            <xm:f>INDIRECT(Lookups2!$E$12)</xm:f>
          </x14:formula1>
          <xm:sqref>C6:E6</xm:sqref>
        </x14:dataValidation>
        <x14:dataValidation type="list" allowBlank="1" showInputMessage="1" showErrorMessage="1" xr:uid="{00000000-0002-0000-0B00-000002000000}">
          <x14:formula1>
            <xm:f>Lookups2!$M$35:$M$36</xm:f>
          </x14:formula1>
          <xm:sqref>C51:C52</xm:sqref>
        </x14:dataValidation>
        <x14:dataValidation type="list" allowBlank="1" showInputMessage="1" showErrorMessage="1" xr:uid="{00000000-0002-0000-0B00-000003000000}">
          <x14:formula1>
            <xm:f>Lookups2!$M$30:$M$31</xm:f>
          </x14:formula1>
          <xm:sqref>C45</xm:sqref>
        </x14:dataValidation>
        <x14:dataValidation type="list" allowBlank="1" showInputMessage="1" showErrorMessage="1" xr:uid="{00000000-0002-0000-0B00-000004000000}">
          <x14:formula1>
            <xm:f>Lookups2!$AE$2:$AE$3</xm:f>
          </x14:formula1>
          <xm:sqref>C10:E10</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002060"/>
  </sheetPr>
  <dimension ref="A1:H41"/>
  <sheetViews>
    <sheetView showGridLines="0" zoomScale="110" zoomScaleNormal="110" workbookViewId="0">
      <selection activeCell="A19" sqref="A19"/>
    </sheetView>
  </sheetViews>
  <sheetFormatPr defaultColWidth="8.85546875" defaultRowHeight="12.75" x14ac:dyDescent="0.2"/>
  <cols>
    <col min="1" max="1" width="21.140625" style="38" customWidth="1"/>
    <col min="2" max="2" width="36.42578125" style="38" customWidth="1"/>
    <col min="3" max="3" width="2.28515625" style="38" customWidth="1"/>
    <col min="4" max="4" width="15" style="38" customWidth="1"/>
    <col min="5" max="5" width="21.7109375" style="38" customWidth="1"/>
    <col min="6" max="6" width="42.42578125" style="38" bestFit="1" customWidth="1"/>
    <col min="7" max="7" width="41.42578125" style="38" bestFit="1" customWidth="1"/>
    <col min="8" max="8" width="2.85546875" style="38" customWidth="1"/>
    <col min="9" max="9" width="15" style="38" customWidth="1"/>
    <col min="10" max="12" width="21.7109375" style="38" customWidth="1"/>
    <col min="13" max="16" width="21.28515625" style="38" customWidth="1"/>
    <col min="17" max="16384" width="8.85546875" style="38"/>
  </cols>
  <sheetData>
    <row r="1" spans="1:8" s="34" customFormat="1" ht="26.45" customHeight="1" x14ac:dyDescent="0.2">
      <c r="A1" s="34" t="s">
        <v>3631</v>
      </c>
    </row>
    <row r="2" spans="1:8" s="15" customFormat="1" ht="11.45" customHeight="1" x14ac:dyDescent="0.2"/>
    <row r="3" spans="1:8" ht="15" customHeight="1" x14ac:dyDescent="0.2">
      <c r="A3" s="301" t="s">
        <v>3632</v>
      </c>
      <c r="B3" s="301"/>
      <c r="D3" s="331" t="s">
        <v>3633</v>
      </c>
      <c r="E3" s="331"/>
      <c r="F3" s="331"/>
      <c r="G3" s="331"/>
      <c r="H3" s="20"/>
    </row>
    <row r="4" spans="1:8" ht="15" customHeight="1" x14ac:dyDescent="0.2">
      <c r="A4" s="301"/>
      <c r="B4" s="301"/>
      <c r="D4" s="332"/>
      <c r="E4" s="332"/>
      <c r="F4" s="332"/>
      <c r="G4" s="332"/>
      <c r="H4" s="20"/>
    </row>
    <row r="5" spans="1:8" x14ac:dyDescent="0.2">
      <c r="A5" s="321" t="s">
        <v>3634</v>
      </c>
      <c r="B5" s="322"/>
      <c r="D5" s="335" t="s">
        <v>3635</v>
      </c>
      <c r="E5" s="333" t="s">
        <v>3611</v>
      </c>
      <c r="F5" s="337" t="s">
        <v>3636</v>
      </c>
      <c r="G5" s="337" t="s">
        <v>3613</v>
      </c>
      <c r="H5" s="39"/>
    </row>
    <row r="6" spans="1:8" x14ac:dyDescent="0.2">
      <c r="A6" s="186" t="s">
        <v>3637</v>
      </c>
      <c r="B6" s="85" t="s">
        <v>249</v>
      </c>
      <c r="D6" s="336"/>
      <c r="E6" s="334"/>
      <c r="F6" s="338"/>
      <c r="G6" s="338"/>
      <c r="H6" s="33"/>
    </row>
    <row r="7" spans="1:8" x14ac:dyDescent="0.2">
      <c r="A7" s="186" t="s">
        <v>3638</v>
      </c>
      <c r="B7" s="85" t="s">
        <v>3639</v>
      </c>
      <c r="D7" s="187" t="s">
        <v>3640</v>
      </c>
      <c r="E7" s="60"/>
      <c r="F7" s="116"/>
      <c r="G7" s="116" t="s">
        <v>3641</v>
      </c>
      <c r="H7" s="39"/>
    </row>
    <row r="8" spans="1:8" x14ac:dyDescent="0.2">
      <c r="A8" s="186" t="s">
        <v>3642</v>
      </c>
      <c r="B8" s="84" t="s">
        <v>3643</v>
      </c>
      <c r="D8" s="187" t="s">
        <v>3644</v>
      </c>
      <c r="E8" s="32"/>
      <c r="F8" s="116" t="s">
        <v>3645</v>
      </c>
      <c r="G8" s="116" t="s">
        <v>3645</v>
      </c>
      <c r="H8" s="39"/>
    </row>
    <row r="9" spans="1:8" x14ac:dyDescent="0.2">
      <c r="A9" s="186" t="s">
        <v>3646</v>
      </c>
      <c r="B9" s="84" t="s">
        <v>3647</v>
      </c>
      <c r="D9" s="186" t="s">
        <v>3648</v>
      </c>
      <c r="E9" s="58"/>
      <c r="F9" s="178" t="s">
        <v>3649</v>
      </c>
      <c r="G9" s="178" t="s">
        <v>3649</v>
      </c>
      <c r="H9" s="39"/>
    </row>
    <row r="10" spans="1:8" x14ac:dyDescent="0.2">
      <c r="A10" s="186" t="s">
        <v>3650</v>
      </c>
      <c r="B10" s="84">
        <v>1</v>
      </c>
      <c r="D10" s="188" t="s">
        <v>3651</v>
      </c>
      <c r="E10" s="84"/>
      <c r="F10" s="84" t="s">
        <v>499</v>
      </c>
      <c r="G10" s="84" t="s">
        <v>499</v>
      </c>
      <c r="H10" s="39"/>
    </row>
    <row r="11" spans="1:8" x14ac:dyDescent="0.2">
      <c r="A11" s="186" t="s">
        <v>3652</v>
      </c>
      <c r="B11" s="84" t="s">
        <v>3653</v>
      </c>
      <c r="D11" s="188" t="s">
        <v>232</v>
      </c>
      <c r="E11" s="84"/>
      <c r="F11" s="84"/>
      <c r="G11" s="84"/>
    </row>
    <row r="12" spans="1:8" x14ac:dyDescent="0.2">
      <c r="D12" s="345" t="s">
        <v>3654</v>
      </c>
      <c r="E12" s="345"/>
      <c r="F12" s="117"/>
      <c r="G12" s="117"/>
    </row>
    <row r="13" spans="1:8" ht="12.75" customHeight="1" x14ac:dyDescent="0.2">
      <c r="A13" s="261" t="s">
        <v>3655</v>
      </c>
      <c r="B13" s="262"/>
      <c r="D13" s="188" t="s">
        <v>3656</v>
      </c>
      <c r="E13" s="11"/>
      <c r="F13" s="85" t="s">
        <v>3657</v>
      </c>
      <c r="G13" s="85" t="s">
        <v>3657</v>
      </c>
    </row>
    <row r="14" spans="1:8" ht="12.75" customHeight="1" x14ac:dyDescent="0.2">
      <c r="A14" s="186" t="s">
        <v>3637</v>
      </c>
      <c r="B14" s="85" t="s">
        <v>249</v>
      </c>
      <c r="D14" s="188" t="s">
        <v>3658</v>
      </c>
      <c r="E14" s="11"/>
      <c r="F14" s="85" t="s">
        <v>3659</v>
      </c>
      <c r="G14" s="85" t="s">
        <v>3659</v>
      </c>
    </row>
    <row r="15" spans="1:8" x14ac:dyDescent="0.2">
      <c r="A15" s="186" t="s">
        <v>3638</v>
      </c>
      <c r="B15" s="85" t="s">
        <v>3660</v>
      </c>
      <c r="D15" s="345" t="s">
        <v>3661</v>
      </c>
      <c r="E15" s="345"/>
      <c r="F15" s="117"/>
      <c r="G15" s="117"/>
    </row>
    <row r="16" spans="1:8" x14ac:dyDescent="0.2">
      <c r="A16" s="186" t="s">
        <v>3642</v>
      </c>
      <c r="B16" s="84" t="s">
        <v>3643</v>
      </c>
      <c r="D16" s="188" t="s">
        <v>415</v>
      </c>
      <c r="E16" s="11"/>
      <c r="F16" s="84" t="s">
        <v>3662</v>
      </c>
      <c r="G16" s="84" t="s">
        <v>3662</v>
      </c>
    </row>
    <row r="17" spans="1:7" x14ac:dyDescent="0.2">
      <c r="A17" s="186" t="s">
        <v>3646</v>
      </c>
      <c r="B17" s="84" t="s">
        <v>3663</v>
      </c>
      <c r="D17" s="188" t="s">
        <v>3664</v>
      </c>
      <c r="E17" s="11"/>
      <c r="F17" s="84" t="s">
        <v>3662</v>
      </c>
      <c r="G17" s="84" t="s">
        <v>3662</v>
      </c>
    </row>
    <row r="18" spans="1:7" x14ac:dyDescent="0.2">
      <c r="A18" s="186" t="s">
        <v>3650</v>
      </c>
      <c r="B18" s="84">
        <v>1</v>
      </c>
      <c r="D18" s="188" t="s">
        <v>3665</v>
      </c>
      <c r="E18" s="11"/>
      <c r="F18" s="84" t="s">
        <v>3666</v>
      </c>
      <c r="G18" s="84" t="s">
        <v>3666</v>
      </c>
    </row>
    <row r="19" spans="1:7" x14ac:dyDescent="0.2">
      <c r="A19" s="186" t="s">
        <v>3652</v>
      </c>
      <c r="B19" s="84" t="s">
        <v>3653</v>
      </c>
    </row>
    <row r="21" spans="1:7" ht="15" x14ac:dyDescent="0.2">
      <c r="A21" s="260" t="s">
        <v>3667</v>
      </c>
      <c r="B21" s="260"/>
    </row>
    <row r="22" spans="1:7" x14ac:dyDescent="0.2">
      <c r="A22" s="305" t="s">
        <v>3668</v>
      </c>
      <c r="B22" s="305"/>
    </row>
    <row r="23" spans="1:7" x14ac:dyDescent="0.2">
      <c r="A23" s="146" t="s">
        <v>3669</v>
      </c>
      <c r="B23" s="91"/>
    </row>
    <row r="24" spans="1:7" x14ac:dyDescent="0.2">
      <c r="A24" s="146" t="s">
        <v>3670</v>
      </c>
      <c r="B24" s="91"/>
    </row>
    <row r="25" spans="1:7" x14ac:dyDescent="0.2">
      <c r="A25" s="189" t="s">
        <v>3671</v>
      </c>
      <c r="B25" s="12" t="str">
        <f>UPPER(CONCATENATE(A38,"__VIEWER"))</f>
        <v>MARKETDATA__VIEWER</v>
      </c>
    </row>
    <row r="26" spans="1:7" x14ac:dyDescent="0.2">
      <c r="A26" s="189" t="s">
        <v>3672</v>
      </c>
      <c r="B26" s="12" t="str">
        <f>UPPER(CONCATENATE(A38,"__EDITOR"))</f>
        <v>MARKETDATA__EDITOR</v>
      </c>
    </row>
    <row r="27" spans="1:7" x14ac:dyDescent="0.2">
      <c r="A27" s="305" t="s">
        <v>3673</v>
      </c>
      <c r="B27" s="305"/>
    </row>
    <row r="28" spans="1:7" x14ac:dyDescent="0.2">
      <c r="A28" s="339"/>
      <c r="B28" s="340"/>
    </row>
    <row r="29" spans="1:7" x14ac:dyDescent="0.2">
      <c r="A29" s="341"/>
      <c r="B29" s="342"/>
    </row>
    <row r="30" spans="1:7" x14ac:dyDescent="0.2">
      <c r="A30" s="341"/>
      <c r="B30" s="342"/>
    </row>
    <row r="31" spans="1:7" x14ac:dyDescent="0.2">
      <c r="A31" s="341"/>
      <c r="B31" s="342"/>
    </row>
    <row r="32" spans="1:7" x14ac:dyDescent="0.2">
      <c r="A32" s="341"/>
      <c r="B32" s="342"/>
    </row>
    <row r="33" spans="1:2" x14ac:dyDescent="0.2">
      <c r="A33" s="341"/>
      <c r="B33" s="342"/>
    </row>
    <row r="34" spans="1:2" x14ac:dyDescent="0.2">
      <c r="A34" s="341"/>
      <c r="B34" s="342"/>
    </row>
    <row r="35" spans="1:2" x14ac:dyDescent="0.2">
      <c r="A35" s="343"/>
      <c r="B35" s="344"/>
    </row>
    <row r="37" spans="1:2" ht="16.5" thickBot="1" x14ac:dyDescent="0.3">
      <c r="A37" s="110" t="s">
        <v>3674</v>
      </c>
    </row>
    <row r="38" spans="1:2" ht="16.5" thickBot="1" x14ac:dyDescent="0.3">
      <c r="A38" s="112" t="s">
        <v>3675</v>
      </c>
    </row>
    <row r="41" spans="1:2" x14ac:dyDescent="0.2">
      <c r="A41" s="111"/>
    </row>
  </sheetData>
  <sheetProtection algorithmName="SHA-512" hashValue="Hwbe69n9LQC3yxzKTpqKbdxiKBLgEuNFEYxkBTfZQ2AfolMRMiYb8xtNrYnOpLrr6O5Df3bfh8KFD5vlpmmFkw==" saltValue="qCHouwzk6lIWfy/AgbIhXQ==" spinCount="100000" sheet="1" objects="1" scenarios="1"/>
  <mergeCells count="12">
    <mergeCell ref="A22:B22"/>
    <mergeCell ref="A27:B27"/>
    <mergeCell ref="A28:B35"/>
    <mergeCell ref="D15:E15"/>
    <mergeCell ref="D12:E12"/>
    <mergeCell ref="A3:B4"/>
    <mergeCell ref="D3:G4"/>
    <mergeCell ref="A5:B5"/>
    <mergeCell ref="E5:E6"/>
    <mergeCell ref="D5:D6"/>
    <mergeCell ref="F5:F6"/>
    <mergeCell ref="G5:G6"/>
  </mergeCells>
  <conditionalFormatting sqref="B23:B25">
    <cfRule type="cellIs" dxfId="1182" priority="4" operator="equal">
      <formula>"&lt;unk.&gt;"</formula>
    </cfRule>
  </conditionalFormatting>
  <conditionalFormatting sqref="A28">
    <cfRule type="cellIs" dxfId="1181" priority="2" operator="equal">
      <formula>"&lt;unk.&gt;"</formula>
    </cfRule>
  </conditionalFormatting>
  <conditionalFormatting sqref="B26">
    <cfRule type="cellIs" dxfId="1180" priority="1" operator="equal">
      <formula>"&lt;unk.&gt;"</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C00-000000000000}">
          <x14:formula1>
            <xm:f>INDIRECT(Lookups2!$E$45)</xm:f>
          </x14:formula1>
          <xm:sqref>E10:G10</xm:sqref>
        </x14:dataValidation>
        <x14:dataValidation type="list" allowBlank="1" showInputMessage="1" showErrorMessage="1" xr:uid="{00000000-0002-0000-0C00-000001000000}">
          <x14:formula1>
            <xm:f>Lookups2!$Y$2:$Y$5</xm:f>
          </x14:formula1>
          <xm:sqref>E11:G11</xm:sqref>
        </x14:dataValidation>
        <x14:dataValidation type="list" allowBlank="1" showInputMessage="1" showErrorMessage="1" xr:uid="{00000000-0002-0000-0C00-000002000000}">
          <x14:formula1>
            <xm:f>Lookups2!$AA$2:$AA$7</xm:f>
          </x14:formula1>
          <xm:sqref>B6</xm:sqref>
        </x14:dataValidation>
        <x14:dataValidation type="list" allowBlank="1" showInputMessage="1" showErrorMessage="1" xr:uid="{00000000-0002-0000-0C00-000003000000}">
          <x14:formula1>
            <xm:f>Lookups2!$AA$2:$AA$3</xm:f>
          </x14:formula1>
          <xm:sqref>B14</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499984740745262"/>
  </sheetPr>
  <dimension ref="A1:AA110"/>
  <sheetViews>
    <sheetView showGridLines="0" zoomScaleNormal="100" workbookViewId="0">
      <pane xSplit="6" ySplit="9" topLeftCell="J10" activePane="bottomRight" state="frozen"/>
      <selection pane="topRight" activeCell="G1" sqref="G1"/>
      <selection pane="bottomLeft" activeCell="A11" sqref="A11"/>
      <selection pane="bottomRight" activeCell="B5" sqref="B5:F5"/>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3.4257812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fx_schredder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46" t="s">
        <v>3676</v>
      </c>
      <c r="C4" s="347"/>
      <c r="D4" s="347"/>
      <c r="E4" s="347"/>
      <c r="F4" s="348"/>
      <c r="G4" s="259"/>
      <c r="H4" s="259"/>
      <c r="K4" s="201" t="s">
        <v>239</v>
      </c>
      <c r="L4" s="202" t="s">
        <v>1481</v>
      </c>
      <c r="M4" s="23" t="s">
        <v>3425</v>
      </c>
    </row>
    <row r="5" spans="1:26" ht="71.25" customHeight="1" x14ac:dyDescent="0.2">
      <c r="A5" s="151" t="s">
        <v>3426</v>
      </c>
      <c r="B5" s="349" t="s">
        <v>3677</v>
      </c>
      <c r="C5" s="347"/>
      <c r="D5" s="347"/>
      <c r="E5" s="347"/>
      <c r="F5" s="350"/>
      <c r="G5" s="259"/>
      <c r="H5" s="259"/>
      <c r="L5" s="71" t="s">
        <v>3428</v>
      </c>
      <c r="M5" s="172" t="str">
        <f>VLOOKUP(L4,Lookups2!AM:AN,2,FALSE)</f>
        <v>International Organization for Standardization (ISO) currency code for each value/record such as Notional, Fee, Deal, Leg, Facility, PV,Position,Principle.</v>
      </c>
    </row>
    <row r="6" spans="1:26" x14ac:dyDescent="0.2">
      <c r="A6" s="71" t="s">
        <v>3429</v>
      </c>
      <c r="B6" s="346" t="s">
        <v>3678</v>
      </c>
      <c r="C6" s="347"/>
      <c r="D6" s="347"/>
      <c r="E6" s="347"/>
      <c r="F6" s="350"/>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09">
        <v>1</v>
      </c>
      <c r="E10" s="64" t="s">
        <v>3679</v>
      </c>
      <c r="F10" s="64"/>
      <c r="G10" s="64" t="s">
        <v>259</v>
      </c>
      <c r="H10" s="64"/>
      <c r="I10" s="64"/>
      <c r="J10" s="64"/>
      <c r="K10" s="64" t="s">
        <v>3680</v>
      </c>
      <c r="L10" s="23"/>
      <c r="M10" s="154" t="e">
        <f>VLOOKUP(Table25[[#This Row],[Data Element]],Lookups2!AM:AN,2,FALSE)</f>
        <v>#N/A</v>
      </c>
      <c r="N10" s="64" t="s">
        <v>653</v>
      </c>
      <c r="O10" s="64"/>
      <c r="P10" s="64"/>
      <c r="Q10" s="64"/>
      <c r="R10" s="64"/>
      <c r="S10" s="64" t="s">
        <v>387</v>
      </c>
      <c r="T10" s="64" t="s">
        <v>389</v>
      </c>
      <c r="U10" s="64"/>
      <c r="V10" s="64"/>
      <c r="W10" s="64"/>
      <c r="X10" s="64"/>
      <c r="Y10" s="72"/>
      <c r="Z10" s="26"/>
    </row>
    <row r="11" spans="1:26" x14ac:dyDescent="0.2">
      <c r="A11" s="148" t="s">
        <v>153</v>
      </c>
      <c r="B11" s="23" t="s">
        <v>3341</v>
      </c>
      <c r="D11" s="209">
        <v>2</v>
      </c>
      <c r="E11" s="64" t="s">
        <v>3681</v>
      </c>
      <c r="F11" s="64"/>
      <c r="G11" s="64" t="s">
        <v>259</v>
      </c>
      <c r="H11" s="64"/>
      <c r="I11" s="64"/>
      <c r="J11" s="64"/>
      <c r="K11" s="64" t="s">
        <v>3682</v>
      </c>
      <c r="L11" s="211"/>
      <c r="M11" s="154" t="e">
        <f>VLOOKUP(Table25[[#This Row],[Data Element]],Lookups2!AM:AN,2,FALSE)</f>
        <v>#N/A</v>
      </c>
      <c r="N11" s="64"/>
      <c r="O11" s="64"/>
      <c r="P11" s="64"/>
      <c r="Q11" s="64"/>
      <c r="R11" s="64"/>
      <c r="S11" s="64" t="s">
        <v>387</v>
      </c>
      <c r="T11" s="64" t="s">
        <v>389</v>
      </c>
      <c r="U11" s="64"/>
      <c r="V11" s="64"/>
      <c r="W11" s="64"/>
      <c r="X11" s="64"/>
      <c r="Y11" s="72"/>
      <c r="Z11" s="26"/>
    </row>
    <row r="12" spans="1:26" x14ac:dyDescent="0.2">
      <c r="A12" s="194" t="s">
        <v>3454</v>
      </c>
      <c r="B12" s="208" t="s">
        <v>3342</v>
      </c>
      <c r="D12" s="209">
        <v>3</v>
      </c>
      <c r="E12" s="64" t="s">
        <v>3683</v>
      </c>
      <c r="F12" s="64"/>
      <c r="G12" s="64" t="s">
        <v>10</v>
      </c>
      <c r="H12" s="64"/>
      <c r="I12" s="64" t="s">
        <v>3684</v>
      </c>
      <c r="J12" s="64"/>
      <c r="K12" s="64" t="s">
        <v>3685</v>
      </c>
      <c r="L12" s="211"/>
      <c r="M12" s="154" t="e">
        <f>VLOOKUP(Table25[[#This Row],[Data Element]],Lookups2!AM:AN,2,FALSE)</f>
        <v>#N/A</v>
      </c>
      <c r="N12" s="64" t="s">
        <v>653</v>
      </c>
      <c r="O12" s="64"/>
      <c r="P12" s="64"/>
      <c r="Q12" s="64"/>
      <c r="R12" s="64"/>
      <c r="S12" s="64" t="s">
        <v>387</v>
      </c>
      <c r="T12" s="64" t="s">
        <v>389</v>
      </c>
      <c r="U12" s="64"/>
      <c r="V12" s="64"/>
      <c r="W12" s="64"/>
      <c r="X12" s="64"/>
      <c r="Y12" s="72"/>
    </row>
    <row r="13" spans="1:26" x14ac:dyDescent="0.2">
      <c r="A13" s="195" t="s">
        <v>3455</v>
      </c>
      <c r="B13" s="62" t="s">
        <v>3686</v>
      </c>
    </row>
    <row r="14" spans="1:26" x14ac:dyDescent="0.2">
      <c r="A14" s="196" t="s">
        <v>234</v>
      </c>
      <c r="B14" s="116" t="s">
        <v>250</v>
      </c>
    </row>
    <row r="15" spans="1:26" x14ac:dyDescent="0.2">
      <c r="A15" s="149"/>
      <c r="B15" s="26"/>
    </row>
    <row r="16" spans="1:26" x14ac:dyDescent="0.2">
      <c r="A16" s="150" t="s">
        <v>3456</v>
      </c>
      <c r="B16" s="69"/>
    </row>
    <row r="17" spans="1:2" x14ac:dyDescent="0.2">
      <c r="A17" s="151" t="s">
        <v>3457</v>
      </c>
      <c r="B17" s="175" t="s">
        <v>303</v>
      </c>
    </row>
    <row r="18" spans="1:2" x14ac:dyDescent="0.2">
      <c r="A18" s="151" t="s">
        <v>3458</v>
      </c>
      <c r="B18" s="175" t="s">
        <v>513</v>
      </c>
    </row>
    <row r="19" spans="1:2" ht="78" customHeight="1" x14ac:dyDescent="0.2">
      <c r="A19" s="71" t="s">
        <v>238</v>
      </c>
      <c r="B19" s="182" t="str">
        <f>VLOOKUP(B18,Lookups2!AI:AJ,2,0)</f>
        <v>Conversion of one currency into another currency</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t="s">
        <v>3687</v>
      </c>
    </row>
    <row r="38" spans="1:2" x14ac:dyDescent="0.2">
      <c r="A38" s="136" t="s">
        <v>3470</v>
      </c>
      <c r="B38" s="68" t="s">
        <v>3687</v>
      </c>
    </row>
    <row r="40" spans="1:2" x14ac:dyDescent="0.2">
      <c r="A40" s="65" t="s">
        <v>3471</v>
      </c>
      <c r="B40" s="66"/>
    </row>
    <row r="41" spans="1:2" x14ac:dyDescent="0.2">
      <c r="A41" s="152" t="s">
        <v>3472</v>
      </c>
      <c r="B41" s="64" t="s">
        <v>3687</v>
      </c>
    </row>
    <row r="42" spans="1:2" x14ac:dyDescent="0.2">
      <c r="A42" s="152" t="s">
        <v>3473</v>
      </c>
      <c r="B42" s="64" t="s">
        <v>3687</v>
      </c>
    </row>
    <row r="44" spans="1:2" x14ac:dyDescent="0.2">
      <c r="A44" s="250" t="s">
        <v>3474</v>
      </c>
      <c r="B44" s="251"/>
    </row>
    <row r="45" spans="1:2" x14ac:dyDescent="0.2">
      <c r="A45" s="131" t="s">
        <v>3475</v>
      </c>
      <c r="B45" s="91" t="s">
        <v>255</v>
      </c>
    </row>
    <row r="46" spans="1:2" x14ac:dyDescent="0.2">
      <c r="A46" s="132" t="s">
        <v>3476</v>
      </c>
      <c r="B46" s="92" t="s">
        <v>411</v>
      </c>
    </row>
    <row r="47" spans="1:2" x14ac:dyDescent="0.2">
      <c r="A47" s="132" t="s">
        <v>3477</v>
      </c>
      <c r="B47" s="55" t="s">
        <v>3688</v>
      </c>
    </row>
    <row r="48" spans="1:2" x14ac:dyDescent="0.2">
      <c r="A48" s="133" t="s">
        <v>3478</v>
      </c>
      <c r="B48" s="94" t="s">
        <v>411</v>
      </c>
    </row>
    <row r="49" spans="1:2" x14ac:dyDescent="0.2">
      <c r="A49" s="133" t="s">
        <v>3479</v>
      </c>
      <c r="B49" s="55" t="s">
        <v>3688</v>
      </c>
    </row>
    <row r="50" spans="1:2" x14ac:dyDescent="0.2">
      <c r="A50" s="44" t="s">
        <v>3480</v>
      </c>
      <c r="B50" s="28" t="s">
        <v>3572</v>
      </c>
    </row>
    <row r="51" spans="1:2" ht="12.75" customHeight="1" x14ac:dyDescent="0.2">
      <c r="A51" s="192" t="s">
        <v>3481</v>
      </c>
      <c r="B51" s="282" t="s">
        <v>3689</v>
      </c>
    </row>
    <row r="52" spans="1:2" x14ac:dyDescent="0.2">
      <c r="A52" s="81"/>
      <c r="B52" s="283"/>
    </row>
    <row r="53" spans="1:2" x14ac:dyDescent="0.2">
      <c r="A53" s="81"/>
      <c r="B53" s="283"/>
    </row>
    <row r="54" spans="1:2" x14ac:dyDescent="0.2">
      <c r="A54" s="81"/>
      <c r="B54" s="283"/>
    </row>
    <row r="55" spans="1:2" x14ac:dyDescent="0.2">
      <c r="A55" s="81"/>
      <c r="B55" s="283"/>
    </row>
    <row r="56" spans="1:2" x14ac:dyDescent="0.2">
      <c r="A56" s="81"/>
      <c r="B56" s="283"/>
    </row>
    <row r="57" spans="1:2" x14ac:dyDescent="0.2">
      <c r="A57" s="81"/>
      <c r="B57" s="283"/>
    </row>
    <row r="58" spans="1:2" x14ac:dyDescent="0.2">
      <c r="A58" s="82"/>
      <c r="B58" s="284"/>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t="s">
        <v>255</v>
      </c>
    </row>
    <row r="65" spans="1:2" x14ac:dyDescent="0.2">
      <c r="A65" s="198" t="s">
        <v>3476</v>
      </c>
      <c r="B65" s="92" t="s">
        <v>411</v>
      </c>
    </row>
    <row r="66" spans="1:2" x14ac:dyDescent="0.2">
      <c r="A66" s="198" t="s">
        <v>3477</v>
      </c>
      <c r="B66" s="55" t="s">
        <v>3688</v>
      </c>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t="s">
        <v>3690</v>
      </c>
    </row>
    <row r="78" spans="1:2" x14ac:dyDescent="0.2">
      <c r="A78" s="143" t="s">
        <v>3338</v>
      </c>
      <c r="B78" s="77" t="s">
        <v>701</v>
      </c>
    </row>
    <row r="79" spans="1:2" x14ac:dyDescent="0.2">
      <c r="A79" s="143" t="s">
        <v>3486</v>
      </c>
      <c r="B79" s="78" t="s">
        <v>3690</v>
      </c>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1179" priority="25" operator="equal">
      <formula>"?"</formula>
    </cfRule>
  </conditionalFormatting>
  <conditionalFormatting sqref="B48">
    <cfRule type="cellIs" dxfId="1178" priority="24" operator="equal">
      <formula>"&lt;unk.&gt;"</formula>
    </cfRule>
  </conditionalFormatting>
  <conditionalFormatting sqref="B45">
    <cfRule type="cellIs" dxfId="1177" priority="23" operator="equal">
      <formula>"&lt;unk.&gt;"</formula>
    </cfRule>
  </conditionalFormatting>
  <conditionalFormatting sqref="B46">
    <cfRule type="cellIs" dxfId="1176" priority="22" operator="equal">
      <formula>"&lt;unk.&gt;"</formula>
    </cfRule>
  </conditionalFormatting>
  <conditionalFormatting sqref="B90">
    <cfRule type="cellIs" dxfId="1175" priority="15" operator="equal">
      <formula>"&lt;unk.&gt;"</formula>
    </cfRule>
  </conditionalFormatting>
  <conditionalFormatting sqref="B64">
    <cfRule type="cellIs" dxfId="1174" priority="18" operator="equal">
      <formula>"&lt;unk.&gt;"</formula>
    </cfRule>
  </conditionalFormatting>
  <conditionalFormatting sqref="B65">
    <cfRule type="cellIs" dxfId="1173" priority="17" operator="equal">
      <formula>"&lt;unk.&gt;"</formula>
    </cfRule>
  </conditionalFormatting>
  <conditionalFormatting sqref="B92:B93">
    <cfRule type="cellIs" dxfId="1172" priority="16" operator="equal">
      <formula>"&lt;unk.&gt;"</formula>
    </cfRule>
  </conditionalFormatting>
  <conditionalFormatting sqref="B91">
    <cfRule type="cellIs" dxfId="1171" priority="14" operator="equal">
      <formula>"&lt;unk.&gt;"</formula>
    </cfRule>
  </conditionalFormatting>
  <conditionalFormatting sqref="B94">
    <cfRule type="cellIs" dxfId="1170" priority="13" operator="equal">
      <formula>"&lt;unk.&gt;"</formula>
    </cfRule>
  </conditionalFormatting>
  <conditionalFormatting sqref="B95">
    <cfRule type="cellIs" dxfId="1169" priority="12" operator="equal">
      <formula>"&lt;unk.&gt;"</formula>
    </cfRule>
  </conditionalFormatting>
  <conditionalFormatting sqref="B84:B87">
    <cfRule type="cellIs" dxfId="1168" priority="11" operator="equal">
      <formula>"&lt;unk.&gt;"</formula>
    </cfRule>
  </conditionalFormatting>
  <conditionalFormatting sqref="B22:B26">
    <cfRule type="cellIs" dxfId="1167" priority="10" operator="equal">
      <formula>"&lt;unk.&gt;"</formula>
    </cfRule>
  </conditionalFormatting>
  <conditionalFormatting sqref="B27">
    <cfRule type="cellIs" dxfId="1166" priority="9" operator="equal">
      <formula>"&lt;unk.&gt;"</formula>
    </cfRule>
  </conditionalFormatting>
  <conditionalFormatting sqref="B30">
    <cfRule type="cellIs" dxfId="1165" priority="8" operator="equal">
      <formula>"&lt;unk.&gt;"</formula>
    </cfRule>
  </conditionalFormatting>
  <conditionalFormatting sqref="B47">
    <cfRule type="cellIs" dxfId="1164" priority="7" operator="equal">
      <formula>"&lt;unk.&gt;"</formula>
    </cfRule>
  </conditionalFormatting>
  <conditionalFormatting sqref="B49">
    <cfRule type="cellIs" dxfId="1163" priority="6" operator="equal">
      <formula>"&lt;unk.&gt;"</formula>
    </cfRule>
  </conditionalFormatting>
  <conditionalFormatting sqref="B50">
    <cfRule type="cellIs" dxfId="1162" priority="5" operator="equal">
      <formula>"&lt;unk.&gt;"</formula>
    </cfRule>
  </conditionalFormatting>
  <conditionalFormatting sqref="B66">
    <cfRule type="cellIs" dxfId="1161" priority="4" operator="equal">
      <formula>"&lt;unk.&gt;"</formula>
    </cfRule>
  </conditionalFormatting>
  <conditionalFormatting sqref="D10:D12">
    <cfRule type="expression" dxfId="1160" priority="3">
      <formula>MOD(ROW(),2)=0</formula>
    </cfRule>
  </conditionalFormatting>
  <conditionalFormatting sqref="E10:E12">
    <cfRule type="expression" dxfId="1159" priority="2">
      <formula>MOD(ROW(),2)=0</formula>
    </cfRule>
  </conditionalFormatting>
  <conditionalFormatting sqref="I12">
    <cfRule type="expression" dxfId="1158" priority="1">
      <formula>MOD(ROW(),2)=0</formula>
    </cfRule>
  </conditionalFormatting>
  <dataValidations count="5">
    <dataValidation type="list" allowBlank="1" showInputMessage="1" showErrorMessage="1" sqref="B18" xr:uid="{00000000-0002-0000-0D00-000000000000}">
      <formula1>INDIRECT(SUBSTITUTE(SUBSTITUTE(SUBSTITUTE(B17," ","_"),"&amp;",""),"/",""))</formula1>
    </dataValidation>
    <dataValidation type="list" allowBlank="1" showInputMessage="1" showErrorMessage="1" sqref="B22:B26" xr:uid="{00000000-0002-0000-0D00-000001000000}">
      <formula1>LYesNo</formula1>
    </dataValidation>
    <dataValidation type="list" allowBlank="1" showInputMessage="1" showErrorMessage="1" sqref="Y10:Y12" xr:uid="{00000000-0002-0000-0D00-000002000000}">
      <formula1>INDIRECT($X10)</formula1>
    </dataValidation>
    <dataValidation type="list" allowBlank="1" showInputMessage="1" showErrorMessage="1" sqref="B45 B64 B90" xr:uid="{00000000-0002-0000-0D00-000003000000}">
      <formula1>LPeriods</formula1>
    </dataValidation>
    <dataValidation type="list" allowBlank="1" showInputMessage="1" showErrorMessage="1" sqref="B46 B48 B65 B91 B93" xr:uid="{00000000-0002-0000-0D00-000004000000}">
      <formula1>LCals</formula1>
    </dataValidation>
  </dataValidations>
  <hyperlinks>
    <hyperlink ref="B12" r:id="rId2" xr:uid="{00000000-0004-0000-0D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D00-000005000000}">
          <x14:formula1>
            <xm:f>Lookups2!$K$28:$K$46</xm:f>
          </x14:formula1>
          <xm:sqref>U10:U12</xm:sqref>
        </x14:dataValidation>
        <x14:dataValidation type="list" showInputMessage="1" showErrorMessage="1" xr:uid="{00000000-0002-0000-0D00-000006000000}">
          <x14:formula1>
            <xm:f>Lookups2!$AG$2:$AG$28</xm:f>
          </x14:formula1>
          <xm:sqref>B17</xm:sqref>
        </x14:dataValidation>
        <x14:dataValidation type="list" allowBlank="1" showInputMessage="1" showErrorMessage="1" xr:uid="{00000000-0002-0000-0D00-000007000000}">
          <x14:formula1>
            <xm:f>Lookups2!$C$8:$C$11</xm:f>
          </x14:formula1>
          <xm:sqref>B30</xm:sqref>
        </x14:dataValidation>
        <x14:dataValidation type="list" allowBlank="1" showInputMessage="1" showErrorMessage="1" xr:uid="{00000000-0002-0000-0D00-000008000000}">
          <x14:formula1>
            <xm:f>Lookups2!$Q$15:$Q$20</xm:f>
          </x14:formula1>
          <xm:sqref>G10:G12</xm:sqref>
        </x14:dataValidation>
        <x14:dataValidation type="list" allowBlank="1" showInputMessage="1" showErrorMessage="1" xr:uid="{00000000-0002-0000-0D00-000009000000}">
          <x14:formula1>
            <xm:f>Lookups2!$M$35:$M$36</xm:f>
          </x14:formula1>
          <xm:sqref>V10:V12 H10:H12</xm:sqref>
        </x14:dataValidation>
        <x14:dataValidation type="list" allowBlank="1" showInputMessage="1" showErrorMessage="1" xr:uid="{00000000-0002-0000-0D00-00000A000000}">
          <x14:formula1>
            <xm:f>EDOAlgo!$A$1:$R$1</xm:f>
          </x14:formula1>
          <xm:sqref>X10:X12</xm:sqref>
        </x14:dataValidation>
        <x14:dataValidation type="list" allowBlank="1" showInputMessage="1" showErrorMessage="1" xr:uid="{00000000-0002-0000-0D00-00000B000000}">
          <x14:formula1>
            <xm:f>Lookups2!$M$41:$M$45</xm:f>
          </x14:formula1>
          <xm:sqref>S10:S12</xm:sqref>
        </x14:dataValidation>
        <x14:dataValidation type="list" allowBlank="1" showInputMessage="1" showErrorMessage="1" xr:uid="{00000000-0002-0000-0D00-00000C000000}">
          <x14:formula1>
            <xm:f>INDIRECT(Lookups2!$K$9)</xm:f>
          </x14:formula1>
          <xm:sqref>T10:T12</xm:sqref>
        </x14:dataValidation>
        <x14:dataValidation type="list" allowBlank="1" showInputMessage="1" showErrorMessage="1" xr:uid="{00000000-0002-0000-0D00-00000D000000}">
          <x14:formula1>
            <xm:f>Lookups2!$C$40:$C$45</xm:f>
          </x14:formula1>
          <xm:sqref>B78</xm:sqref>
        </x14:dataValidation>
        <x14:dataValidation type="list" allowBlank="1" showInputMessage="1" showErrorMessage="1" xr:uid="{00000000-0002-0000-0D00-00000E000000}">
          <x14:formula1>
            <xm:f>Lookups2!$AC$2:$AC$3</xm:f>
          </x14:formula1>
          <xm:sqref>B14:B15</xm:sqref>
        </x14:dataValidation>
        <x14:dataValidation type="list" allowBlank="1" showInputMessage="1" showErrorMessage="1" xr:uid="{00000000-0002-0000-0D00-00000F000000}">
          <x14:formula1>
            <xm:f>Lookups2!$Y$8:$Y$10</xm:f>
          </x14:formula1>
          <xm:sqref>B33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499984740745262"/>
  </sheetPr>
  <dimension ref="A1:AA110"/>
  <sheetViews>
    <sheetView showGridLines="0" zoomScaleNormal="100" workbookViewId="0">
      <pane xSplit="6" ySplit="9" topLeftCell="J10" activePane="bottomRight" state="frozen"/>
      <selection pane="topRight" activeCell="G1" sqref="G1"/>
      <selection pane="bottomLeft" activeCell="A11" sqref="A11"/>
      <selection pane="bottomRight" activeCell="B5" sqref="B5:F5"/>
    </sheetView>
  </sheetViews>
  <sheetFormatPr defaultColWidth="9.140625" defaultRowHeight="12.75" outlineLevelCol="1" x14ac:dyDescent="0.2"/>
  <cols>
    <col min="1" max="1" width="24" style="63" customWidth="1"/>
    <col min="2" max="2" width="47.28515625" style="63" customWidth="1"/>
    <col min="3" max="3" width="6.85546875" style="63" customWidth="1"/>
    <col min="4" max="4" width="8.5703125"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vix_prices</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46" t="s">
        <v>3691</v>
      </c>
      <c r="C4" s="347"/>
      <c r="D4" s="347"/>
      <c r="E4" s="347"/>
      <c r="F4" s="348"/>
      <c r="G4" s="259"/>
      <c r="H4" s="259"/>
      <c r="K4" s="201" t="s">
        <v>239</v>
      </c>
      <c r="L4" s="202" t="s">
        <v>3424</v>
      </c>
      <c r="M4" s="23" t="s">
        <v>3425</v>
      </c>
    </row>
    <row r="5" spans="1:26" ht="34.5" customHeight="1" x14ac:dyDescent="0.2">
      <c r="A5" s="151" t="s">
        <v>3426</v>
      </c>
      <c r="B5" s="349" t="s">
        <v>3692</v>
      </c>
      <c r="C5" s="347"/>
      <c r="D5" s="347"/>
      <c r="E5" s="347"/>
      <c r="F5" s="350"/>
      <c r="G5" s="259"/>
      <c r="H5" s="259"/>
      <c r="L5" s="71" t="s">
        <v>3428</v>
      </c>
      <c r="M5" s="172" t="e">
        <f>VLOOKUP(L4,Lookups2!AM:AN,2,FALSE)</f>
        <v>#N/A</v>
      </c>
    </row>
    <row r="6" spans="1:26" x14ac:dyDescent="0.2">
      <c r="A6" s="71" t="s">
        <v>3429</v>
      </c>
      <c r="B6" s="346" t="s">
        <v>3693</v>
      </c>
      <c r="C6" s="347"/>
      <c r="D6" s="347"/>
      <c r="E6" s="347"/>
      <c r="F6" s="350"/>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64">
        <v>1</v>
      </c>
      <c r="E10" s="64" t="s">
        <v>3683</v>
      </c>
      <c r="F10" s="64"/>
      <c r="G10" s="64" t="s">
        <v>10</v>
      </c>
      <c r="H10" s="64"/>
      <c r="I10" s="64" t="s">
        <v>3684</v>
      </c>
      <c r="J10" s="64"/>
      <c r="K10" s="64" t="s">
        <v>3685</v>
      </c>
      <c r="L10" s="23" t="s">
        <v>3178</v>
      </c>
      <c r="M10" s="154" t="str">
        <f>VLOOKUP(Table26[[#This Row],[Data Element]],Lookups2!AM:AN,2,FALSE)</f>
        <v>The date for which time series market data was applicable.</v>
      </c>
      <c r="N10" s="64"/>
      <c r="O10" s="64"/>
      <c r="P10" s="64"/>
      <c r="Q10" s="64"/>
      <c r="R10" s="64"/>
      <c r="S10" s="64" t="s">
        <v>387</v>
      </c>
      <c r="T10" s="64" t="s">
        <v>389</v>
      </c>
      <c r="U10" s="64"/>
      <c r="V10" s="64"/>
      <c r="W10" s="64"/>
      <c r="X10" s="64"/>
      <c r="Y10" s="72"/>
      <c r="Z10" s="26"/>
    </row>
    <row r="11" spans="1:26" x14ac:dyDescent="0.2">
      <c r="A11" s="148" t="s">
        <v>153</v>
      </c>
      <c r="B11" s="23" t="s">
        <v>3345</v>
      </c>
      <c r="D11" s="64">
        <v>2</v>
      </c>
      <c r="E11" s="64" t="s">
        <v>3694</v>
      </c>
      <c r="F11" s="64"/>
      <c r="G11" s="64" t="s">
        <v>487</v>
      </c>
      <c r="H11" s="64"/>
      <c r="I11" s="64"/>
      <c r="J11" s="64"/>
      <c r="K11" s="64" t="s">
        <v>3695</v>
      </c>
      <c r="L11" s="211"/>
      <c r="M11" s="154" t="e">
        <f>VLOOKUP(Table26[[#This Row],[Data Element]],Lookups2!AM:AN,2,FALSE)</f>
        <v>#N/A</v>
      </c>
      <c r="N11" s="64"/>
      <c r="O11" s="64"/>
      <c r="P11" s="64"/>
      <c r="Q11" s="64"/>
      <c r="R11" s="64"/>
      <c r="S11" s="64" t="s">
        <v>387</v>
      </c>
      <c r="T11" s="64" t="s">
        <v>389</v>
      </c>
      <c r="U11" s="64"/>
      <c r="V11" s="64"/>
      <c r="W11" s="64"/>
      <c r="X11" s="64"/>
      <c r="Y11" s="72"/>
      <c r="Z11" s="26"/>
    </row>
    <row r="12" spans="1:26" x14ac:dyDescent="0.2">
      <c r="A12" s="194" t="s">
        <v>3454</v>
      </c>
      <c r="B12" s="208" t="s">
        <v>3346</v>
      </c>
      <c r="D12" s="64">
        <v>3</v>
      </c>
      <c r="E12" s="64" t="s">
        <v>3696</v>
      </c>
      <c r="F12" s="64"/>
      <c r="G12" s="64" t="s">
        <v>487</v>
      </c>
      <c r="H12" s="64"/>
      <c r="I12" s="64"/>
      <c r="J12" s="64"/>
      <c r="K12" s="64" t="s">
        <v>3697</v>
      </c>
      <c r="L12" s="211"/>
      <c r="M12" s="154" t="e">
        <f>VLOOKUP(Table26[[#This Row],[Data Element]],Lookups2!AM:AN,2,FALSE)</f>
        <v>#N/A</v>
      </c>
      <c r="N12" s="64"/>
      <c r="O12" s="64"/>
      <c r="P12" s="64"/>
      <c r="Q12" s="64"/>
      <c r="R12" s="64"/>
      <c r="S12" s="64" t="s">
        <v>387</v>
      </c>
      <c r="T12" s="64" t="s">
        <v>389</v>
      </c>
      <c r="U12" s="64"/>
      <c r="V12" s="64"/>
      <c r="W12" s="64"/>
      <c r="X12" s="64"/>
      <c r="Y12" s="72"/>
    </row>
    <row r="13" spans="1:26" x14ac:dyDescent="0.2">
      <c r="A13" s="195" t="s">
        <v>3455</v>
      </c>
      <c r="B13" s="62" t="s">
        <v>3686</v>
      </c>
      <c r="D13" s="64">
        <v>4</v>
      </c>
      <c r="E13" s="64" t="s">
        <v>3698</v>
      </c>
      <c r="F13" s="64"/>
      <c r="G13" s="64" t="s">
        <v>487</v>
      </c>
      <c r="H13" s="64"/>
      <c r="I13" s="64"/>
      <c r="J13" s="64"/>
      <c r="K13" s="64" t="s">
        <v>3699</v>
      </c>
      <c r="L13" s="211"/>
      <c r="M13" s="154" t="e">
        <f>VLOOKUP(Table26[[#This Row],[Data Element]],Lookups2!AM:AN,2,FALSE)</f>
        <v>#N/A</v>
      </c>
      <c r="N13" s="64"/>
      <c r="O13" s="64"/>
      <c r="P13" s="64"/>
      <c r="Q13" s="64"/>
      <c r="R13" s="64"/>
      <c r="S13" s="64" t="s">
        <v>387</v>
      </c>
      <c r="T13" s="64" t="s">
        <v>389</v>
      </c>
      <c r="U13" s="64"/>
      <c r="V13" s="64"/>
      <c r="W13" s="64"/>
      <c r="X13" s="64"/>
      <c r="Y13" s="72"/>
    </row>
    <row r="14" spans="1:26" x14ac:dyDescent="0.2">
      <c r="A14" s="196" t="s">
        <v>234</v>
      </c>
      <c r="B14" s="116" t="s">
        <v>250</v>
      </c>
      <c r="D14" s="64">
        <v>5</v>
      </c>
      <c r="E14" s="64" t="s">
        <v>3700</v>
      </c>
      <c r="F14" s="64"/>
      <c r="G14" s="64" t="s">
        <v>487</v>
      </c>
      <c r="H14" s="64"/>
      <c r="I14" s="64"/>
      <c r="J14" s="64"/>
      <c r="K14" s="64" t="s">
        <v>3701</v>
      </c>
      <c r="L14" s="211"/>
      <c r="M14" s="154" t="e">
        <f>VLOOKUP(Table26[[#This Row],[Data Element]],Lookups2!AM:AN,2,FALSE)</f>
        <v>#N/A</v>
      </c>
      <c r="N14" s="64"/>
      <c r="O14" s="64"/>
      <c r="P14" s="64"/>
      <c r="Q14" s="64"/>
      <c r="R14" s="64"/>
      <c r="S14" s="64" t="s">
        <v>387</v>
      </c>
      <c r="T14" s="64" t="s">
        <v>389</v>
      </c>
      <c r="U14" s="64"/>
      <c r="V14" s="64"/>
      <c r="W14" s="64"/>
      <c r="X14" s="64"/>
      <c r="Y14" s="72"/>
    </row>
    <row r="15" spans="1:26" x14ac:dyDescent="0.2">
      <c r="A15" s="149"/>
      <c r="B15" s="26"/>
    </row>
    <row r="16" spans="1:26" x14ac:dyDescent="0.2">
      <c r="A16" s="150" t="s">
        <v>3456</v>
      </c>
      <c r="B16" s="69"/>
    </row>
    <row r="17" spans="1:2" x14ac:dyDescent="0.2">
      <c r="A17" s="151" t="s">
        <v>3457</v>
      </c>
      <c r="B17" s="175" t="s">
        <v>303</v>
      </c>
    </row>
    <row r="18" spans="1:2" x14ac:dyDescent="0.2">
      <c r="A18" s="151" t="s">
        <v>3458</v>
      </c>
      <c r="B18" s="175" t="s">
        <v>513</v>
      </c>
    </row>
    <row r="19" spans="1:2" ht="15.6" customHeight="1" x14ac:dyDescent="0.2">
      <c r="A19" s="71" t="s">
        <v>238</v>
      </c>
      <c r="B19" s="182" t="str">
        <f>VLOOKUP(B18,Lookups2!AI:AJ,2,0)</f>
        <v>Conversion of one currency into another currency</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363</v>
      </c>
    </row>
    <row r="34" spans="1:2" x14ac:dyDescent="0.2">
      <c r="A34" s="67" t="s">
        <v>3468</v>
      </c>
      <c r="B34" s="68" t="s">
        <v>3702</v>
      </c>
    </row>
    <row r="35" spans="1:2" ht="14.25" x14ac:dyDescent="0.25">
      <c r="A35" s="73"/>
      <c r="B35" s="73"/>
    </row>
    <row r="36" spans="1:2" x14ac:dyDescent="0.2">
      <c r="A36" s="65" t="s">
        <v>754</v>
      </c>
      <c r="B36" s="69"/>
    </row>
    <row r="37" spans="1:2" ht="14.25" x14ac:dyDescent="0.25">
      <c r="A37" s="135" t="s">
        <v>3469</v>
      </c>
      <c r="B37" s="70" t="s">
        <v>3687</v>
      </c>
    </row>
    <row r="38" spans="1:2" x14ac:dyDescent="0.2">
      <c r="A38" s="136" t="s">
        <v>3470</v>
      </c>
      <c r="B38" s="68" t="s">
        <v>3687</v>
      </c>
    </row>
    <row r="40" spans="1:2" x14ac:dyDescent="0.2">
      <c r="A40" s="65" t="s">
        <v>3471</v>
      </c>
      <c r="B40" s="66"/>
    </row>
    <row r="41" spans="1:2" ht="14.25" x14ac:dyDescent="0.25">
      <c r="A41" s="152" t="s">
        <v>3472</v>
      </c>
      <c r="B41" s="70" t="s">
        <v>3687</v>
      </c>
    </row>
    <row r="42" spans="1:2" x14ac:dyDescent="0.2">
      <c r="A42" s="152" t="s">
        <v>3473</v>
      </c>
      <c r="B42" s="68" t="s">
        <v>3687</v>
      </c>
    </row>
    <row r="44" spans="1:2" x14ac:dyDescent="0.2">
      <c r="A44" s="250" t="s">
        <v>3474</v>
      </c>
      <c r="B44" s="251"/>
    </row>
    <row r="45" spans="1:2" x14ac:dyDescent="0.2">
      <c r="A45" s="131" t="s">
        <v>3475</v>
      </c>
      <c r="B45" s="12" t="s">
        <v>255</v>
      </c>
    </row>
    <row r="46" spans="1:2" x14ac:dyDescent="0.2">
      <c r="A46" s="132" t="s">
        <v>3476</v>
      </c>
      <c r="B46" s="54" t="s">
        <v>411</v>
      </c>
    </row>
    <row r="47" spans="1:2" x14ac:dyDescent="0.2">
      <c r="A47" s="132" t="s">
        <v>3477</v>
      </c>
      <c r="B47" s="55" t="s">
        <v>3703</v>
      </c>
    </row>
    <row r="48" spans="1:2" x14ac:dyDescent="0.2">
      <c r="A48" s="133" t="s">
        <v>3478</v>
      </c>
      <c r="B48" s="50" t="s">
        <v>411</v>
      </c>
    </row>
    <row r="49" spans="1:2" x14ac:dyDescent="0.2">
      <c r="A49" s="133" t="s">
        <v>3479</v>
      </c>
      <c r="B49" s="55" t="s">
        <v>3703</v>
      </c>
    </row>
    <row r="50" spans="1:2" x14ac:dyDescent="0.2">
      <c r="A50" s="44" t="s">
        <v>3480</v>
      </c>
      <c r="B50" s="28">
        <f>'1.Data Source'!B55</f>
        <v>0</v>
      </c>
    </row>
    <row r="51" spans="1:2" ht="12.75" customHeight="1" x14ac:dyDescent="0.2">
      <c r="A51" s="192" t="s">
        <v>3481</v>
      </c>
      <c r="B51" s="282" t="s">
        <v>4183</v>
      </c>
    </row>
    <row r="52" spans="1:2" x14ac:dyDescent="0.2">
      <c r="A52" s="81"/>
      <c r="B52" s="283"/>
    </row>
    <row r="53" spans="1:2" x14ac:dyDescent="0.2">
      <c r="A53" s="81"/>
      <c r="B53" s="283"/>
    </row>
    <row r="54" spans="1:2" x14ac:dyDescent="0.2">
      <c r="A54" s="81"/>
      <c r="B54" s="283"/>
    </row>
    <row r="55" spans="1:2" x14ac:dyDescent="0.2">
      <c r="A55" s="81"/>
      <c r="B55" s="283"/>
    </row>
    <row r="56" spans="1:2" x14ac:dyDescent="0.2">
      <c r="A56" s="81"/>
      <c r="B56" s="283"/>
    </row>
    <row r="57" spans="1:2" x14ac:dyDescent="0.2">
      <c r="A57" s="81"/>
      <c r="B57" s="283"/>
    </row>
    <row r="58" spans="1:2" x14ac:dyDescent="0.2">
      <c r="A58" s="82"/>
      <c r="B58" s="284"/>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12" t="s">
        <v>255</v>
      </c>
    </row>
    <row r="65" spans="1:2" x14ac:dyDescent="0.2">
      <c r="A65" s="198" t="s">
        <v>3476</v>
      </c>
      <c r="B65" s="54" t="s">
        <v>411</v>
      </c>
    </row>
    <row r="66" spans="1:2" x14ac:dyDescent="0.2">
      <c r="A66" s="198" t="s">
        <v>3477</v>
      </c>
      <c r="B66" s="55" t="s">
        <v>3703</v>
      </c>
    </row>
    <row r="67" spans="1:2" x14ac:dyDescent="0.2">
      <c r="A67" s="107" t="s">
        <v>238</v>
      </c>
      <c r="B67" s="282" t="s">
        <v>4184</v>
      </c>
    </row>
    <row r="68" spans="1:2" x14ac:dyDescent="0.2">
      <c r="A68" s="81"/>
      <c r="B68" s="283"/>
    </row>
    <row r="69" spans="1:2" x14ac:dyDescent="0.2">
      <c r="A69" s="81"/>
      <c r="B69" s="283"/>
    </row>
    <row r="70" spans="1:2" x14ac:dyDescent="0.2">
      <c r="A70" s="81"/>
      <c r="B70" s="283"/>
    </row>
    <row r="71" spans="1:2" x14ac:dyDescent="0.2">
      <c r="A71" s="81"/>
      <c r="B71" s="283"/>
    </row>
    <row r="72" spans="1:2" x14ac:dyDescent="0.2">
      <c r="A72" s="81"/>
      <c r="B72" s="283"/>
    </row>
    <row r="73" spans="1:2" x14ac:dyDescent="0.2">
      <c r="A73" s="81"/>
      <c r="B73" s="283"/>
    </row>
    <row r="74" spans="1:2" x14ac:dyDescent="0.2">
      <c r="A74" s="82"/>
      <c r="B74" s="284"/>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1129" priority="28" operator="equal">
      <formula>"?"</formula>
    </cfRule>
  </conditionalFormatting>
  <conditionalFormatting sqref="B91">
    <cfRule type="cellIs" dxfId="1128" priority="17" operator="equal">
      <formula>"&lt;unk.&gt;"</formula>
    </cfRule>
  </conditionalFormatting>
  <conditionalFormatting sqref="B94">
    <cfRule type="cellIs" dxfId="1127" priority="16" operator="equal">
      <formula>"&lt;unk.&gt;"</formula>
    </cfRule>
  </conditionalFormatting>
  <conditionalFormatting sqref="B95">
    <cfRule type="cellIs" dxfId="1126" priority="15" operator="equal">
      <formula>"&lt;unk.&gt;"</formula>
    </cfRule>
  </conditionalFormatting>
  <conditionalFormatting sqref="B84:B87">
    <cfRule type="cellIs" dxfId="1125" priority="14" operator="equal">
      <formula>"&lt;unk.&gt;"</formula>
    </cfRule>
  </conditionalFormatting>
  <conditionalFormatting sqref="B22:B26">
    <cfRule type="cellIs" dxfId="1124" priority="13" operator="equal">
      <formula>"&lt;unk.&gt;"</formula>
    </cfRule>
  </conditionalFormatting>
  <conditionalFormatting sqref="B92:B93">
    <cfRule type="cellIs" dxfId="1123" priority="19" operator="equal">
      <formula>"&lt;unk.&gt;"</formula>
    </cfRule>
  </conditionalFormatting>
  <conditionalFormatting sqref="B90">
    <cfRule type="cellIs" dxfId="1122" priority="18" operator="equal">
      <formula>"&lt;unk.&gt;"</formula>
    </cfRule>
  </conditionalFormatting>
  <conditionalFormatting sqref="B27">
    <cfRule type="cellIs" dxfId="1121" priority="12" operator="equal">
      <formula>"&lt;unk.&gt;"</formula>
    </cfRule>
  </conditionalFormatting>
  <conditionalFormatting sqref="B30">
    <cfRule type="cellIs" dxfId="1120" priority="11" operator="equal">
      <formula>"&lt;unk.&gt;"</formula>
    </cfRule>
  </conditionalFormatting>
  <conditionalFormatting sqref="B47:B48">
    <cfRule type="cellIs" dxfId="1119" priority="10" operator="equal">
      <formula>"&lt;unk.&gt;"</formula>
    </cfRule>
  </conditionalFormatting>
  <conditionalFormatting sqref="B45">
    <cfRule type="cellIs" dxfId="1118" priority="9" operator="equal">
      <formula>"&lt;unk.&gt;"</formula>
    </cfRule>
  </conditionalFormatting>
  <conditionalFormatting sqref="B46">
    <cfRule type="cellIs" dxfId="1117" priority="8" operator="equal">
      <formula>"&lt;unk.&gt;"</formula>
    </cfRule>
  </conditionalFormatting>
  <conditionalFormatting sqref="B50">
    <cfRule type="cellIs" dxfId="1116" priority="7" operator="equal">
      <formula>"&lt;unk.&gt;"</formula>
    </cfRule>
  </conditionalFormatting>
  <conditionalFormatting sqref="B49">
    <cfRule type="cellIs" dxfId="1115" priority="6" operator="equal">
      <formula>"&lt;unk.&gt;"</formula>
    </cfRule>
  </conditionalFormatting>
  <conditionalFormatting sqref="B66">
    <cfRule type="cellIs" dxfId="1114" priority="5" operator="equal">
      <formula>"&lt;unk.&gt;"</formula>
    </cfRule>
  </conditionalFormatting>
  <conditionalFormatting sqref="B64">
    <cfRule type="cellIs" dxfId="1113" priority="4" operator="equal">
      <formula>"&lt;unk.&gt;"</formula>
    </cfRule>
  </conditionalFormatting>
  <conditionalFormatting sqref="B65">
    <cfRule type="cellIs" dxfId="1112" priority="3" operator="equal">
      <formula>"&lt;unk.&gt;"</formula>
    </cfRule>
  </conditionalFormatting>
  <conditionalFormatting sqref="I10">
    <cfRule type="expression" dxfId="1111" priority="1">
      <formula>MOD(ROW(),2)=0</formula>
    </cfRule>
  </conditionalFormatting>
  <dataValidations count="5">
    <dataValidation type="list" allowBlank="1" showInputMessage="1" showErrorMessage="1" sqref="B18" xr:uid="{00000000-0002-0000-0E00-000000000000}">
      <formula1>INDIRECT(SUBSTITUTE(SUBSTITUTE(SUBSTITUTE(B17," ","_"),"&amp;",""),"/",""))</formula1>
    </dataValidation>
    <dataValidation type="list" allowBlank="1" showInputMessage="1" showErrorMessage="1" sqref="B22:B26" xr:uid="{00000000-0002-0000-0E00-000001000000}">
      <formula1>LYesNo</formula1>
    </dataValidation>
    <dataValidation type="list" allowBlank="1" showInputMessage="1" showErrorMessage="1" sqref="Y10:Y14" xr:uid="{00000000-0002-0000-0E00-000002000000}">
      <formula1>INDIRECT($X10)</formula1>
    </dataValidation>
    <dataValidation type="list" allowBlank="1" showInputMessage="1" showErrorMessage="1" sqref="B90 B45 B64" xr:uid="{00000000-0002-0000-0E00-000003000000}">
      <formula1>LPeriods</formula1>
    </dataValidation>
    <dataValidation type="list" allowBlank="1" showInputMessage="1" showErrorMessage="1" sqref="B91 B93 B48 B46 B65" xr:uid="{00000000-0002-0000-0E00-000004000000}">
      <formula1>LCals</formula1>
    </dataValidation>
  </dataValidations>
  <hyperlinks>
    <hyperlink ref="B12" r:id="rId2" xr:uid="{00000000-0004-0000-0E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E00-000005000000}">
          <x14:formula1>
            <xm:f>Lookups2!$K$28:$K$46</xm:f>
          </x14:formula1>
          <xm:sqref>U10:U14</xm:sqref>
        </x14:dataValidation>
        <x14:dataValidation type="list" showInputMessage="1" showErrorMessage="1" xr:uid="{00000000-0002-0000-0E00-000006000000}">
          <x14:formula1>
            <xm:f>Lookups2!$AG$2:$AG$28</xm:f>
          </x14:formula1>
          <xm:sqref>B17</xm:sqref>
        </x14:dataValidation>
        <x14:dataValidation type="list" allowBlank="1" showInputMessage="1" showErrorMessage="1" xr:uid="{00000000-0002-0000-0E00-000007000000}">
          <x14:formula1>
            <xm:f>Lookups2!$C$8:$C$11</xm:f>
          </x14:formula1>
          <xm:sqref>B30</xm:sqref>
        </x14:dataValidation>
        <x14:dataValidation type="list" allowBlank="1" showInputMessage="1" showErrorMessage="1" xr:uid="{00000000-0002-0000-0E00-000008000000}">
          <x14:formula1>
            <xm:f>Lookups2!$Q$15:$Q$20</xm:f>
          </x14:formula1>
          <xm:sqref>G10:G14</xm:sqref>
        </x14:dataValidation>
        <x14:dataValidation type="list" allowBlank="1" showInputMessage="1" showErrorMessage="1" xr:uid="{00000000-0002-0000-0E00-000009000000}">
          <x14:formula1>
            <xm:f>Lookups2!$M$35:$M$36</xm:f>
          </x14:formula1>
          <xm:sqref>V10:V14 H10:H14</xm:sqref>
        </x14:dataValidation>
        <x14:dataValidation type="list" allowBlank="1" showInputMessage="1" showErrorMessage="1" xr:uid="{00000000-0002-0000-0E00-00000A000000}">
          <x14:formula1>
            <xm:f>EDOAlgo!$A$1:$R$1</xm:f>
          </x14:formula1>
          <xm:sqref>X10:X14</xm:sqref>
        </x14:dataValidation>
        <x14:dataValidation type="list" allowBlank="1" showInputMessage="1" showErrorMessage="1" xr:uid="{00000000-0002-0000-0E00-00000B000000}">
          <x14:formula1>
            <xm:f>Lookups2!$M$41:$M$45</xm:f>
          </x14:formula1>
          <xm:sqref>S10:S14</xm:sqref>
        </x14:dataValidation>
        <x14:dataValidation type="list" allowBlank="1" showInputMessage="1" showErrorMessage="1" xr:uid="{00000000-0002-0000-0E00-00000C000000}">
          <x14:formula1>
            <xm:f>INDIRECT(Lookups2!$K$9)</xm:f>
          </x14:formula1>
          <xm:sqref>T10:T14</xm:sqref>
        </x14:dataValidation>
        <x14:dataValidation type="list" allowBlank="1" showInputMessage="1" showErrorMessage="1" xr:uid="{00000000-0002-0000-0E00-00000D000000}">
          <x14:formula1>
            <xm:f>Lookups2!$C$40:$C$45</xm:f>
          </x14:formula1>
          <xm:sqref>B78</xm:sqref>
        </x14:dataValidation>
        <x14:dataValidation type="list" allowBlank="1" showInputMessage="1" showErrorMessage="1" xr:uid="{00000000-0002-0000-0E00-00000E000000}">
          <x14:formula1>
            <xm:f>Lookups2!$AC$2:$AC$3</xm:f>
          </x14:formula1>
          <xm:sqref>B14:B15</xm:sqref>
        </x14:dataValidation>
        <x14:dataValidation type="list" allowBlank="1" showInputMessage="1" showErrorMessage="1" xr:uid="{00000000-0002-0000-0E00-00000F000000}">
          <x14:formula1>
            <xm:f>Lookups2!$Y$8:$Y$10</xm:f>
          </x14:formula1>
          <xm:sqref>B33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499984740745262"/>
  </sheetPr>
  <dimension ref="A1:AA110"/>
  <sheetViews>
    <sheetView showGridLines="0" zoomScaleNormal="100" workbookViewId="0">
      <pane xSplit="6" ySplit="9" topLeftCell="J10" activePane="bottomRight" state="frozen"/>
      <selection pane="topRight" activeCell="G1" sqref="G1"/>
      <selection pane="bottomLeft" activeCell="A11" sqref="A11"/>
      <selection pane="bottomRight" activeCell="B11" sqref="B11"/>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3.2851562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fx_rates</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t="s">
        <v>3705</v>
      </c>
      <c r="C4" s="293"/>
      <c r="D4" s="293"/>
      <c r="E4" s="293"/>
      <c r="F4" s="293"/>
      <c r="G4" s="259"/>
      <c r="H4" s="259"/>
      <c r="K4" s="201" t="s">
        <v>239</v>
      </c>
      <c r="L4" s="202" t="s">
        <v>844</v>
      </c>
      <c r="M4" s="23" t="s">
        <v>3425</v>
      </c>
    </row>
    <row r="5" spans="1:26" ht="71.25" customHeight="1" x14ac:dyDescent="0.2">
      <c r="A5" s="151" t="s">
        <v>3426</v>
      </c>
      <c r="B5" s="293" t="s">
        <v>4116</v>
      </c>
      <c r="C5" s="293"/>
      <c r="D5" s="293"/>
      <c r="E5" s="293"/>
      <c r="F5" s="293"/>
      <c r="G5" s="259"/>
      <c r="H5" s="259"/>
      <c r="L5" s="71" t="s">
        <v>3428</v>
      </c>
      <c r="M5" s="172" t="str">
        <f>VLOOKUP(L4,Lookups2!AM:AN,2,FALSE)</f>
        <v>The risk free currency from a market risk point of view.</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64">
        <v>1</v>
      </c>
      <c r="E10" s="64" t="s">
        <v>3683</v>
      </c>
      <c r="F10" s="64">
        <v>1</v>
      </c>
      <c r="G10" s="64" t="s">
        <v>10</v>
      </c>
      <c r="H10" s="64"/>
      <c r="I10" s="64" t="s">
        <v>3684</v>
      </c>
      <c r="J10" s="64" t="s">
        <v>3683</v>
      </c>
      <c r="K10" s="64" t="s">
        <v>3706</v>
      </c>
      <c r="L10" s="23"/>
      <c r="M10" s="154" t="e">
        <f>VLOOKUP(Table27[[#This Row],[Data Element]],Lookups2!AM:AN,2,FALSE)</f>
        <v>#N/A</v>
      </c>
      <c r="N10" s="64" t="s">
        <v>653</v>
      </c>
      <c r="O10" s="64" t="s">
        <v>3708</v>
      </c>
      <c r="P10" s="64"/>
      <c r="Q10" s="64"/>
      <c r="R10" s="64"/>
      <c r="S10" s="64" t="s">
        <v>387</v>
      </c>
      <c r="T10" s="64"/>
      <c r="U10" s="64"/>
      <c r="V10" s="64"/>
      <c r="W10" s="64"/>
      <c r="X10" s="64"/>
      <c r="Y10" s="72"/>
      <c r="Z10" s="26"/>
    </row>
    <row r="11" spans="1:26" ht="25.5" x14ac:dyDescent="0.2">
      <c r="A11" s="148" t="s">
        <v>153</v>
      </c>
      <c r="B11" s="23" t="s">
        <v>3349</v>
      </c>
      <c r="D11" s="64">
        <v>2</v>
      </c>
      <c r="E11" s="64" t="s">
        <v>3679</v>
      </c>
      <c r="F11" s="64">
        <v>1</v>
      </c>
      <c r="G11" s="64" t="s">
        <v>259</v>
      </c>
      <c r="H11" s="64"/>
      <c r="I11" s="64"/>
      <c r="J11" s="64" t="s">
        <v>3679</v>
      </c>
      <c r="K11" s="212" t="s">
        <v>3709</v>
      </c>
      <c r="L11" s="202" t="s">
        <v>844</v>
      </c>
      <c r="M11" s="154" t="s">
        <v>845</v>
      </c>
      <c r="N11" s="64"/>
      <c r="O11" s="64" t="s">
        <v>3708</v>
      </c>
      <c r="P11" s="64"/>
      <c r="Q11" s="64"/>
      <c r="R11" s="64"/>
      <c r="S11" s="64" t="s">
        <v>387</v>
      </c>
      <c r="T11" s="64"/>
      <c r="U11" s="64"/>
      <c r="V11" s="64"/>
      <c r="W11" s="64"/>
      <c r="X11" s="64"/>
      <c r="Y11" s="72"/>
      <c r="Z11" s="26"/>
    </row>
    <row r="12" spans="1:26" x14ac:dyDescent="0.2">
      <c r="A12" s="194" t="s">
        <v>3454</v>
      </c>
      <c r="B12" s="62" t="s">
        <v>3350</v>
      </c>
      <c r="D12" s="64">
        <v>3</v>
      </c>
      <c r="E12" s="64" t="s">
        <v>3681</v>
      </c>
      <c r="F12" s="64">
        <v>1</v>
      </c>
      <c r="G12" s="64" t="s">
        <v>259</v>
      </c>
      <c r="H12" s="64"/>
      <c r="I12" s="64"/>
      <c r="J12" s="64" t="s">
        <v>3681</v>
      </c>
      <c r="K12" s="64" t="s">
        <v>3710</v>
      </c>
      <c r="L12" s="211"/>
      <c r="M12" s="154" t="e">
        <f>VLOOKUP(Table27[[#This Row],[Data Element]],Lookups2!AM:AN,2,FALSE)</f>
        <v>#N/A</v>
      </c>
      <c r="N12" s="64" t="s">
        <v>653</v>
      </c>
      <c r="O12" s="64" t="s">
        <v>3708</v>
      </c>
      <c r="P12" s="64"/>
      <c r="Q12" s="64"/>
      <c r="R12" s="64"/>
      <c r="S12" s="64" t="s">
        <v>387</v>
      </c>
      <c r="T12" s="64"/>
      <c r="U12" s="64"/>
      <c r="V12" s="64"/>
      <c r="W12" s="64"/>
      <c r="X12" s="64"/>
      <c r="Y12" s="72"/>
    </row>
    <row r="13" spans="1:26" x14ac:dyDescent="0.2">
      <c r="A13" s="195" t="s">
        <v>3455</v>
      </c>
      <c r="B13" s="62" t="s">
        <v>3711</v>
      </c>
    </row>
    <row r="14" spans="1:26" x14ac:dyDescent="0.2">
      <c r="A14" s="196" t="s">
        <v>234</v>
      </c>
      <c r="B14" s="116" t="s">
        <v>264</v>
      </c>
    </row>
    <row r="15" spans="1:26" x14ac:dyDescent="0.2">
      <c r="A15" s="149"/>
      <c r="B15" s="26"/>
    </row>
    <row r="16" spans="1:26" x14ac:dyDescent="0.2">
      <c r="A16" s="150" t="s">
        <v>3456</v>
      </c>
      <c r="B16" s="69"/>
    </row>
    <row r="17" spans="1:2" x14ac:dyDescent="0.2">
      <c r="A17" s="151" t="s">
        <v>3457</v>
      </c>
      <c r="B17" s="175" t="s">
        <v>303</v>
      </c>
    </row>
    <row r="18" spans="1:2" x14ac:dyDescent="0.2">
      <c r="A18" s="151" t="s">
        <v>3458</v>
      </c>
      <c r="B18" s="175" t="s">
        <v>513</v>
      </c>
    </row>
    <row r="19" spans="1:2" ht="78" customHeight="1" x14ac:dyDescent="0.2">
      <c r="A19" s="71" t="s">
        <v>238</v>
      </c>
      <c r="B19" s="182" t="str">
        <f>VLOOKUP(B18,Lookups2!AI:AJ,2,0)</f>
        <v>Conversion of one currency into another currency</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t="s">
        <v>3712</v>
      </c>
    </row>
    <row r="35" spans="1:2" ht="14.25" x14ac:dyDescent="0.25">
      <c r="A35" s="73"/>
      <c r="B35" s="73"/>
    </row>
    <row r="36" spans="1:2" x14ac:dyDescent="0.2">
      <c r="A36" s="65" t="s">
        <v>754</v>
      </c>
      <c r="B36" s="69"/>
    </row>
    <row r="37" spans="1:2" ht="14.25" x14ac:dyDescent="0.25">
      <c r="A37" s="135" t="s">
        <v>3469</v>
      </c>
      <c r="B37" s="70"/>
    </row>
    <row r="38" spans="1:2" x14ac:dyDescent="0.2">
      <c r="A38" s="136" t="s">
        <v>3470</v>
      </c>
      <c r="B38" s="68"/>
    </row>
    <row r="40" spans="1:2" x14ac:dyDescent="0.2">
      <c r="A40" s="65" t="s">
        <v>3471</v>
      </c>
      <c r="B40" s="66"/>
    </row>
    <row r="41" spans="1:2" x14ac:dyDescent="0.2">
      <c r="A41" s="152" t="s">
        <v>3472</v>
      </c>
      <c r="B41" s="64"/>
    </row>
    <row r="42" spans="1:2" x14ac:dyDescent="0.2">
      <c r="A42" s="152" t="s">
        <v>3473</v>
      </c>
      <c r="B42" s="64"/>
    </row>
    <row r="44" spans="1:2" x14ac:dyDescent="0.2">
      <c r="A44" s="250" t="s">
        <v>3474</v>
      </c>
      <c r="B44" s="251"/>
    </row>
    <row r="45" spans="1:2" x14ac:dyDescent="0.2">
      <c r="A45" s="131" t="s">
        <v>3475</v>
      </c>
      <c r="B45" s="12" t="s">
        <v>255</v>
      </c>
    </row>
    <row r="46" spans="1:2" x14ac:dyDescent="0.2">
      <c r="A46" s="132" t="s">
        <v>3476</v>
      </c>
      <c r="B46" s="54" t="s">
        <v>440</v>
      </c>
    </row>
    <row r="47" spans="1:2" x14ac:dyDescent="0.2">
      <c r="A47" s="132" t="s">
        <v>3477</v>
      </c>
      <c r="B47" s="55" t="s">
        <v>3570</v>
      </c>
    </row>
    <row r="48" spans="1:2" x14ac:dyDescent="0.2">
      <c r="A48" s="133" t="s">
        <v>3478</v>
      </c>
      <c r="B48" s="50" t="s">
        <v>440</v>
      </c>
    </row>
    <row r="49" spans="1:2" x14ac:dyDescent="0.2">
      <c r="A49" s="133" t="s">
        <v>3479</v>
      </c>
      <c r="B49" s="49" t="s">
        <v>3571</v>
      </c>
    </row>
    <row r="50" spans="1:2" x14ac:dyDescent="0.2">
      <c r="A50" s="44" t="s">
        <v>3480</v>
      </c>
      <c r="B50" s="28" t="s">
        <v>3572</v>
      </c>
    </row>
    <row r="51" spans="1:2" x14ac:dyDescent="0.2">
      <c r="A51" s="192" t="s">
        <v>3481</v>
      </c>
      <c r="B51" s="282"/>
    </row>
    <row r="52" spans="1:2" x14ac:dyDescent="0.2">
      <c r="A52" s="81"/>
      <c r="B52" s="283"/>
    </row>
    <row r="53" spans="1:2" x14ac:dyDescent="0.2">
      <c r="A53" s="81"/>
      <c r="B53" s="283"/>
    </row>
    <row r="54" spans="1:2" x14ac:dyDescent="0.2">
      <c r="A54" s="81"/>
      <c r="B54" s="283"/>
    </row>
    <row r="55" spans="1:2" x14ac:dyDescent="0.2">
      <c r="A55" s="81"/>
      <c r="B55" s="283"/>
    </row>
    <row r="56" spans="1:2" x14ac:dyDescent="0.2">
      <c r="A56" s="81"/>
      <c r="B56" s="283"/>
    </row>
    <row r="57" spans="1:2" x14ac:dyDescent="0.2">
      <c r="A57" s="81"/>
      <c r="B57" s="283"/>
    </row>
    <row r="58" spans="1:2" x14ac:dyDescent="0.2">
      <c r="A58" s="82"/>
      <c r="B58" s="284"/>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1082" priority="29" operator="equal">
      <formula>"?"</formula>
    </cfRule>
  </conditionalFormatting>
  <conditionalFormatting sqref="B94">
    <cfRule type="cellIs" dxfId="1081" priority="17" operator="equal">
      <formula>"&lt;unk.&gt;"</formula>
    </cfRule>
  </conditionalFormatting>
  <conditionalFormatting sqref="B95">
    <cfRule type="cellIs" dxfId="1080" priority="16" operator="equal">
      <formula>"&lt;unk.&gt;"</formula>
    </cfRule>
  </conditionalFormatting>
  <conditionalFormatting sqref="B84:B87">
    <cfRule type="cellIs" dxfId="1079" priority="15" operator="equal">
      <formula>"&lt;unk.&gt;"</formula>
    </cfRule>
  </conditionalFormatting>
  <conditionalFormatting sqref="B27">
    <cfRule type="cellIs" dxfId="1078" priority="13" operator="equal">
      <formula>"&lt;unk.&gt;"</formula>
    </cfRule>
  </conditionalFormatting>
  <conditionalFormatting sqref="B66">
    <cfRule type="cellIs" dxfId="1077" priority="23" operator="equal">
      <formula>"&lt;unk.&gt;"</formula>
    </cfRule>
  </conditionalFormatting>
  <conditionalFormatting sqref="B64">
    <cfRule type="cellIs" dxfId="1076" priority="22" operator="equal">
      <formula>"&lt;unk.&gt;"</formula>
    </cfRule>
  </conditionalFormatting>
  <conditionalFormatting sqref="B65">
    <cfRule type="cellIs" dxfId="1075" priority="21" operator="equal">
      <formula>"&lt;unk.&gt;"</formula>
    </cfRule>
  </conditionalFormatting>
  <conditionalFormatting sqref="B92:B93">
    <cfRule type="cellIs" dxfId="1074" priority="20" operator="equal">
      <formula>"&lt;unk.&gt;"</formula>
    </cfRule>
  </conditionalFormatting>
  <conditionalFormatting sqref="B90">
    <cfRule type="cellIs" dxfId="1073" priority="19" operator="equal">
      <formula>"&lt;unk.&gt;"</formula>
    </cfRule>
  </conditionalFormatting>
  <conditionalFormatting sqref="B91">
    <cfRule type="cellIs" dxfId="1072" priority="18" operator="equal">
      <formula>"&lt;unk.&gt;"</formula>
    </cfRule>
  </conditionalFormatting>
  <conditionalFormatting sqref="B30">
    <cfRule type="cellIs" dxfId="1071" priority="12" operator="equal">
      <formula>"&lt;unk.&gt;"</formula>
    </cfRule>
  </conditionalFormatting>
  <conditionalFormatting sqref="B47:B48">
    <cfRule type="cellIs" dxfId="1070" priority="11" operator="equal">
      <formula>"&lt;unk.&gt;"</formula>
    </cfRule>
  </conditionalFormatting>
  <conditionalFormatting sqref="B45">
    <cfRule type="cellIs" dxfId="1069" priority="10" operator="equal">
      <formula>"&lt;unk.&gt;"</formula>
    </cfRule>
  </conditionalFormatting>
  <conditionalFormatting sqref="B46">
    <cfRule type="cellIs" dxfId="1068" priority="9" operator="equal">
      <formula>"&lt;unk.&gt;"</formula>
    </cfRule>
  </conditionalFormatting>
  <conditionalFormatting sqref="B49">
    <cfRule type="cellIs" dxfId="1067" priority="8" operator="equal">
      <formula>"&lt;unk.&gt;"</formula>
    </cfRule>
  </conditionalFormatting>
  <conditionalFormatting sqref="B50">
    <cfRule type="cellIs" dxfId="1066" priority="7" operator="equal">
      <formula>"&lt;unk.&gt;"</formula>
    </cfRule>
  </conditionalFormatting>
  <conditionalFormatting sqref="D10:E12">
    <cfRule type="expression" dxfId="1065" priority="6">
      <formula>MOD(ROW(),2)=0</formula>
    </cfRule>
  </conditionalFormatting>
  <conditionalFormatting sqref="I10">
    <cfRule type="expression" dxfId="1064" priority="5">
      <formula>MOD(ROW(),2)=0</formula>
    </cfRule>
  </conditionalFormatting>
  <conditionalFormatting sqref="K10:K12">
    <cfRule type="expression" dxfId="1063" priority="4">
      <formula>MOD(ROW(),2)=0</formula>
    </cfRule>
  </conditionalFormatting>
  <conditionalFormatting sqref="K10:K12">
    <cfRule type="expression" dxfId="1062" priority="3">
      <formula>MOD(ROW(),2)=0</formula>
    </cfRule>
  </conditionalFormatting>
  <conditionalFormatting sqref="J10:J12">
    <cfRule type="expression" dxfId="1061" priority="2">
      <formula>MOD(ROW(),2)=0</formula>
    </cfRule>
  </conditionalFormatting>
  <conditionalFormatting sqref="J10:J12">
    <cfRule type="expression" dxfId="1060" priority="1">
      <formula>MOD(ROW(),2)=0</formula>
    </cfRule>
  </conditionalFormatting>
  <dataValidations count="5">
    <dataValidation type="list" allowBlank="1" showInputMessage="1" showErrorMessage="1" sqref="B18" xr:uid="{00000000-0002-0000-0F00-000000000000}">
      <formula1>INDIRECT(SUBSTITUTE(SUBSTITUTE(SUBSTITUTE(B17," ","_"),"&amp;",""),"/",""))</formula1>
    </dataValidation>
    <dataValidation type="list" allowBlank="1" showInputMessage="1" showErrorMessage="1" sqref="B22:B26" xr:uid="{00000000-0002-0000-0F00-000001000000}">
      <formula1>LYesNo</formula1>
    </dataValidation>
    <dataValidation type="list" allowBlank="1" showInputMessage="1" showErrorMessage="1" sqref="Y10:Y12" xr:uid="{00000000-0002-0000-0F00-000002000000}">
      <formula1>INDIRECT($X10)</formula1>
    </dataValidation>
    <dataValidation type="list" allowBlank="1" showInputMessage="1" showErrorMessage="1" sqref="B90 B64 B45" xr:uid="{00000000-0002-0000-0F00-000003000000}">
      <formula1>LPeriods</formula1>
    </dataValidation>
    <dataValidation type="list" allowBlank="1" showInputMessage="1" showErrorMessage="1" sqref="B91 B93 B65 B46 B48" xr:uid="{00000000-0002-0000-0F00-000004000000}">
      <formula1>LCals</formula1>
    </dataValidation>
  </dataValidations>
  <pageMargins left="0.7" right="0.7" top="0.75" bottom="0.75" header="0.3" footer="0.3"/>
  <pageSetup paperSize="9" orientation="portrait" r:id="rId2"/>
  <legacyDrawing r:id="rId3"/>
  <tableParts count="1">
    <tablePart r:id="rId4"/>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0F00-000005000000}">
          <x14:formula1>
            <xm:f>Lookups2!$K$28:$K$46</xm:f>
          </x14:formula1>
          <xm:sqref>U10:U12</xm:sqref>
        </x14:dataValidation>
        <x14:dataValidation type="list" showInputMessage="1" showErrorMessage="1" xr:uid="{00000000-0002-0000-0F00-000006000000}">
          <x14:formula1>
            <xm:f>Lookups2!$AG$2:$AG$28</xm:f>
          </x14:formula1>
          <xm:sqref>B17</xm:sqref>
        </x14:dataValidation>
        <x14:dataValidation type="list" allowBlank="1" showInputMessage="1" showErrorMessage="1" xr:uid="{00000000-0002-0000-0F00-000007000000}">
          <x14:formula1>
            <xm:f>Lookups2!$C$8:$C$11</xm:f>
          </x14:formula1>
          <xm:sqref>B30</xm:sqref>
        </x14:dataValidation>
        <x14:dataValidation type="list" allowBlank="1" showInputMessage="1" showErrorMessage="1" xr:uid="{00000000-0002-0000-0F00-000008000000}">
          <x14:formula1>
            <xm:f>Lookups2!$Q$15:$Q$20</xm:f>
          </x14:formula1>
          <xm:sqref>G10:G12</xm:sqref>
        </x14:dataValidation>
        <x14:dataValidation type="list" allowBlank="1" showInputMessage="1" showErrorMessage="1" xr:uid="{00000000-0002-0000-0F00-000009000000}">
          <x14:formula1>
            <xm:f>Lookups2!$M$35:$M$36</xm:f>
          </x14:formula1>
          <xm:sqref>V10:V12 H10:H12</xm:sqref>
        </x14:dataValidation>
        <x14:dataValidation type="list" allowBlank="1" showInputMessage="1" showErrorMessage="1" xr:uid="{00000000-0002-0000-0F00-00000A000000}">
          <x14:formula1>
            <xm:f>EDOAlgo!$A$1:$R$1</xm:f>
          </x14:formula1>
          <xm:sqref>X10:X12</xm:sqref>
        </x14:dataValidation>
        <x14:dataValidation type="list" allowBlank="1" showInputMessage="1" showErrorMessage="1" xr:uid="{00000000-0002-0000-0F00-00000B000000}">
          <x14:formula1>
            <xm:f>Lookups2!$M$41:$M$45</xm:f>
          </x14:formula1>
          <xm:sqref>S10:S12</xm:sqref>
        </x14:dataValidation>
        <x14:dataValidation type="list" allowBlank="1" showInputMessage="1" showErrorMessage="1" xr:uid="{00000000-0002-0000-0F00-00000C000000}">
          <x14:formula1>
            <xm:f>INDIRECT(Lookups2!$K$9)</xm:f>
          </x14:formula1>
          <xm:sqref>T10:T12</xm:sqref>
        </x14:dataValidation>
        <x14:dataValidation type="list" allowBlank="1" showInputMessage="1" showErrorMessage="1" xr:uid="{00000000-0002-0000-0F00-00000D000000}">
          <x14:formula1>
            <xm:f>Lookups2!$C$40:$C$45</xm:f>
          </x14:formula1>
          <xm:sqref>B78</xm:sqref>
        </x14:dataValidation>
        <x14:dataValidation type="list" allowBlank="1" showInputMessage="1" showErrorMessage="1" xr:uid="{00000000-0002-0000-0F00-00000E000000}">
          <x14:formula1>
            <xm:f>Lookups2!$AC$2:$AC$3</xm:f>
          </x14:formula1>
          <xm:sqref>B14:B15</xm:sqref>
        </x14:dataValidation>
        <x14:dataValidation type="list" allowBlank="1" showInputMessage="1" showErrorMessage="1" xr:uid="{00000000-0002-0000-0F00-00000F000000}">
          <x14:formula1>
            <xm:f>Lookups2!$Y$8:$Y$10</xm:f>
          </x14:formula1>
          <xm:sqref>B33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499984740745262"/>
  </sheetPr>
  <dimension ref="A1:AA110"/>
  <sheetViews>
    <sheetView showGridLines="0" zoomScaleNormal="100" workbookViewId="0">
      <pane xSplit="6" ySplit="9" topLeftCell="J10" activePane="bottomRight" state="frozen"/>
      <selection pane="topRight" activeCell="G1" sqref="G1"/>
      <selection pane="bottomLeft" activeCell="A11" sqref="A11"/>
      <selection pane="bottomRight" activeCell="B14" sqref="B14"/>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vix_prices_archive</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46" t="s">
        <v>3713</v>
      </c>
      <c r="C4" s="347"/>
      <c r="D4" s="347"/>
      <c r="E4" s="347"/>
      <c r="F4" s="348"/>
      <c r="G4" s="259"/>
      <c r="H4" s="259"/>
      <c r="K4" s="201" t="s">
        <v>239</v>
      </c>
      <c r="L4" s="202" t="s">
        <v>3424</v>
      </c>
      <c r="M4" s="23" t="s">
        <v>3425</v>
      </c>
    </row>
    <row r="5" spans="1:26" ht="71.25" customHeight="1" x14ac:dyDescent="0.2">
      <c r="A5" s="151" t="s">
        <v>3426</v>
      </c>
      <c r="B5" s="346" t="s">
        <v>3714</v>
      </c>
      <c r="C5" s="347"/>
      <c r="D5" s="347"/>
      <c r="E5" s="347"/>
      <c r="F5" s="350"/>
      <c r="G5" s="259"/>
      <c r="H5" s="259"/>
      <c r="L5" s="71" t="s">
        <v>3428</v>
      </c>
      <c r="M5" s="172" t="e">
        <f>VLOOKUP(L4,Lookups2!AM:AN,2,FALSE)</f>
        <v>#N/A</v>
      </c>
    </row>
    <row r="6" spans="1:26" x14ac:dyDescent="0.2">
      <c r="A6" s="71" t="s">
        <v>3429</v>
      </c>
      <c r="B6" s="346" t="s">
        <v>3693</v>
      </c>
      <c r="C6" s="347"/>
      <c r="D6" s="347"/>
      <c r="E6" s="347"/>
      <c r="F6" s="350"/>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09">
        <v>1</v>
      </c>
      <c r="E10" s="64" t="s">
        <v>3683</v>
      </c>
      <c r="F10" s="64"/>
      <c r="G10" s="64" t="s">
        <v>10</v>
      </c>
      <c r="H10" s="64"/>
      <c r="I10" s="64" t="s">
        <v>3684</v>
      </c>
      <c r="J10" s="64" t="s">
        <v>3715</v>
      </c>
      <c r="K10" s="64" t="s">
        <v>3685</v>
      </c>
      <c r="L10" s="23"/>
      <c r="M10" s="154" t="e">
        <f>VLOOKUP(Table28[[#This Row],[Data Element]],Lookups2!AM:AN,2,FALSE)</f>
        <v>#N/A</v>
      </c>
      <c r="N10" s="64"/>
      <c r="O10" s="64"/>
      <c r="P10" s="64"/>
      <c r="Q10" s="64"/>
      <c r="R10" s="64"/>
      <c r="S10" s="64" t="s">
        <v>387</v>
      </c>
      <c r="T10" s="64" t="s">
        <v>389</v>
      </c>
      <c r="U10" s="64"/>
      <c r="V10" s="64"/>
      <c r="W10" s="64"/>
      <c r="X10" s="64"/>
      <c r="Y10" s="72"/>
      <c r="Z10" s="26"/>
    </row>
    <row r="11" spans="1:26" x14ac:dyDescent="0.2">
      <c r="A11" s="148" t="s">
        <v>153</v>
      </c>
      <c r="B11" s="23" t="s">
        <v>3353</v>
      </c>
      <c r="D11" s="209">
        <v>2</v>
      </c>
      <c r="E11" s="64" t="s">
        <v>3694</v>
      </c>
      <c r="F11" s="64"/>
      <c r="G11" s="64" t="s">
        <v>487</v>
      </c>
      <c r="H11" s="64"/>
      <c r="I11" s="64"/>
      <c r="J11" s="64" t="s">
        <v>3716</v>
      </c>
      <c r="K11" s="64" t="s">
        <v>3695</v>
      </c>
      <c r="L11" s="211"/>
      <c r="M11" s="154" t="e">
        <f>VLOOKUP(Table28[[#This Row],[Data Element]],Lookups2!AM:AN,2,FALSE)</f>
        <v>#N/A</v>
      </c>
      <c r="N11" s="64"/>
      <c r="O11" s="64"/>
      <c r="P11" s="64"/>
      <c r="Q11" s="64"/>
      <c r="R11" s="64"/>
      <c r="S11" s="64" t="s">
        <v>387</v>
      </c>
      <c r="T11" s="64" t="s">
        <v>389</v>
      </c>
      <c r="U11" s="64"/>
      <c r="V11" s="64"/>
      <c r="W11" s="64"/>
      <c r="X11" s="64"/>
      <c r="Y11" s="72"/>
      <c r="Z11" s="26"/>
    </row>
    <row r="12" spans="1:26" x14ac:dyDescent="0.2">
      <c r="A12" s="194" t="s">
        <v>3454</v>
      </c>
      <c r="B12" s="208" t="s">
        <v>3354</v>
      </c>
      <c r="D12" s="209">
        <v>3</v>
      </c>
      <c r="E12" s="64" t="s">
        <v>3696</v>
      </c>
      <c r="F12" s="64"/>
      <c r="G12" s="64" t="s">
        <v>487</v>
      </c>
      <c r="H12" s="64"/>
      <c r="I12" s="64"/>
      <c r="J12" s="64" t="s">
        <v>3717</v>
      </c>
      <c r="K12" s="64" t="s">
        <v>3697</v>
      </c>
      <c r="L12" s="211"/>
      <c r="M12" s="154" t="e">
        <f>VLOOKUP(Table28[[#This Row],[Data Element]],Lookups2!AM:AN,2,FALSE)</f>
        <v>#N/A</v>
      </c>
      <c r="N12" s="64"/>
      <c r="O12" s="64"/>
      <c r="P12" s="64"/>
      <c r="Q12" s="64"/>
      <c r="R12" s="64"/>
      <c r="S12" s="64" t="s">
        <v>387</v>
      </c>
      <c r="T12" s="64" t="s">
        <v>389</v>
      </c>
      <c r="U12" s="64"/>
      <c r="V12" s="64"/>
      <c r="W12" s="64"/>
      <c r="X12" s="64"/>
      <c r="Y12" s="72"/>
    </row>
    <row r="13" spans="1:26" x14ac:dyDescent="0.2">
      <c r="A13" s="195" t="s">
        <v>3455</v>
      </c>
      <c r="B13" s="62" t="s">
        <v>3686</v>
      </c>
      <c r="D13" s="209">
        <v>4</v>
      </c>
      <c r="E13" s="64" t="s">
        <v>3698</v>
      </c>
      <c r="F13" s="64"/>
      <c r="G13" s="64" t="s">
        <v>487</v>
      </c>
      <c r="H13" s="64"/>
      <c r="I13" s="64"/>
      <c r="J13" s="64" t="s">
        <v>3718</v>
      </c>
      <c r="K13" s="64" t="s">
        <v>3699</v>
      </c>
      <c r="L13" s="211"/>
      <c r="M13" s="154" t="e">
        <f>VLOOKUP(Table28[[#This Row],[Data Element]],Lookups2!AM:AN,2,FALSE)</f>
        <v>#N/A</v>
      </c>
      <c r="N13" s="64"/>
      <c r="O13" s="64"/>
      <c r="P13" s="64"/>
      <c r="Q13" s="64"/>
      <c r="R13" s="64"/>
      <c r="S13" s="64" t="s">
        <v>387</v>
      </c>
      <c r="T13" s="64" t="s">
        <v>389</v>
      </c>
      <c r="U13" s="64"/>
      <c r="V13" s="64"/>
      <c r="W13" s="64"/>
      <c r="X13" s="64"/>
      <c r="Y13" s="72"/>
    </row>
    <row r="14" spans="1:26" x14ac:dyDescent="0.2">
      <c r="A14" s="196" t="s">
        <v>234</v>
      </c>
      <c r="B14" s="116" t="s">
        <v>264</v>
      </c>
      <c r="D14" s="209">
        <v>5</v>
      </c>
      <c r="E14" s="64" t="s">
        <v>3700</v>
      </c>
      <c r="F14" s="64"/>
      <c r="G14" s="64" t="s">
        <v>487</v>
      </c>
      <c r="H14" s="64"/>
      <c r="I14" s="64"/>
      <c r="J14" s="64" t="s">
        <v>3719</v>
      </c>
      <c r="K14" s="64" t="s">
        <v>3701</v>
      </c>
      <c r="L14" s="211"/>
      <c r="M14" s="154" t="e">
        <f>VLOOKUP(Table28[[#This Row],[Data Element]],Lookups2!AM:AN,2,FALSE)</f>
        <v>#N/A</v>
      </c>
      <c r="N14" s="64"/>
      <c r="O14" s="64"/>
      <c r="P14" s="64"/>
      <c r="Q14" s="64"/>
      <c r="R14" s="64"/>
      <c r="S14" s="64" t="s">
        <v>387</v>
      </c>
      <c r="T14" s="64" t="s">
        <v>389</v>
      </c>
      <c r="U14" s="64"/>
      <c r="V14" s="64"/>
      <c r="W14" s="64"/>
      <c r="X14" s="64"/>
      <c r="Y14" s="72"/>
    </row>
    <row r="15" spans="1:26" x14ac:dyDescent="0.2">
      <c r="A15" s="149"/>
      <c r="B15" s="26"/>
    </row>
    <row r="16" spans="1:26" x14ac:dyDescent="0.2">
      <c r="A16" s="150" t="s">
        <v>3456</v>
      </c>
      <c r="B16" s="69"/>
    </row>
    <row r="17" spans="1:2" x14ac:dyDescent="0.2">
      <c r="A17" s="151" t="s">
        <v>3457</v>
      </c>
      <c r="B17" s="175" t="s">
        <v>303</v>
      </c>
    </row>
    <row r="18" spans="1:2" x14ac:dyDescent="0.2">
      <c r="A18" s="151" t="s">
        <v>3458</v>
      </c>
      <c r="B18" s="175" t="s">
        <v>513</v>
      </c>
    </row>
    <row r="19" spans="1:2" ht="78" customHeight="1" x14ac:dyDescent="0.2">
      <c r="A19" s="71" t="s">
        <v>238</v>
      </c>
      <c r="B19" s="182" t="str">
        <f>VLOOKUP(B18,Lookups2!AI:AJ,2,0)</f>
        <v>Conversion of one currency into another currency</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363</v>
      </c>
    </row>
    <row r="34" spans="1:2" x14ac:dyDescent="0.2">
      <c r="A34" s="67" t="s">
        <v>3468</v>
      </c>
      <c r="B34" s="68" t="s">
        <v>3702</v>
      </c>
    </row>
    <row r="35" spans="1:2" ht="14.25" x14ac:dyDescent="0.25">
      <c r="A35" s="73"/>
      <c r="B35" s="73"/>
    </row>
    <row r="36" spans="1:2" x14ac:dyDescent="0.2">
      <c r="A36" s="65" t="s">
        <v>754</v>
      </c>
      <c r="B36" s="69"/>
    </row>
    <row r="37" spans="1:2" ht="14.25" x14ac:dyDescent="0.25">
      <c r="A37" s="135" t="s">
        <v>3469</v>
      </c>
      <c r="B37" s="70" t="s">
        <v>3687</v>
      </c>
    </row>
    <row r="38" spans="1:2" x14ac:dyDescent="0.2">
      <c r="A38" s="136" t="s">
        <v>3470</v>
      </c>
      <c r="B38" s="68" t="s">
        <v>3687</v>
      </c>
    </row>
    <row r="40" spans="1:2" x14ac:dyDescent="0.2">
      <c r="A40" s="65" t="s">
        <v>3471</v>
      </c>
      <c r="B40" s="66"/>
    </row>
    <row r="41" spans="1:2" ht="14.25" x14ac:dyDescent="0.25">
      <c r="A41" s="152" t="s">
        <v>3472</v>
      </c>
      <c r="B41" s="70" t="s">
        <v>3687</v>
      </c>
    </row>
    <row r="42" spans="1:2" x14ac:dyDescent="0.2">
      <c r="A42" s="152" t="s">
        <v>3473</v>
      </c>
      <c r="B42" s="68" t="s">
        <v>3687</v>
      </c>
    </row>
    <row r="44" spans="1:2" x14ac:dyDescent="0.2">
      <c r="A44" s="250" t="s">
        <v>3474</v>
      </c>
      <c r="B44" s="251"/>
    </row>
    <row r="45" spans="1:2" x14ac:dyDescent="0.2">
      <c r="A45" s="131" t="s">
        <v>3475</v>
      </c>
      <c r="B45" s="12" t="s">
        <v>255</v>
      </c>
    </row>
    <row r="46" spans="1:2" x14ac:dyDescent="0.2">
      <c r="A46" s="132" t="s">
        <v>3476</v>
      </c>
      <c r="B46" s="54" t="s">
        <v>411</v>
      </c>
    </row>
    <row r="47" spans="1:2" x14ac:dyDescent="0.2">
      <c r="A47" s="132" t="s">
        <v>3477</v>
      </c>
      <c r="B47" s="55" t="s">
        <v>3703</v>
      </c>
    </row>
    <row r="48" spans="1:2" x14ac:dyDescent="0.2">
      <c r="A48" s="133" t="s">
        <v>3478</v>
      </c>
      <c r="B48" s="50" t="s">
        <v>411</v>
      </c>
    </row>
    <row r="49" spans="1:2" x14ac:dyDescent="0.2">
      <c r="A49" s="133" t="s">
        <v>3479</v>
      </c>
      <c r="B49" s="55" t="s">
        <v>3703</v>
      </c>
    </row>
    <row r="50" spans="1:2" x14ac:dyDescent="0.2">
      <c r="A50" s="44" t="s">
        <v>3480</v>
      </c>
      <c r="B50" s="28" t="s">
        <v>3572</v>
      </c>
    </row>
    <row r="51" spans="1:2" x14ac:dyDescent="0.2">
      <c r="A51" s="192" t="s">
        <v>3481</v>
      </c>
      <c r="B51" s="282" t="s">
        <v>3704</v>
      </c>
    </row>
    <row r="52" spans="1:2" x14ac:dyDescent="0.2">
      <c r="A52" s="81"/>
      <c r="B52" s="283"/>
    </row>
    <row r="53" spans="1:2" x14ac:dyDescent="0.2">
      <c r="A53" s="81"/>
      <c r="B53" s="283"/>
    </row>
    <row r="54" spans="1:2" x14ac:dyDescent="0.2">
      <c r="A54" s="81"/>
      <c r="B54" s="283"/>
    </row>
    <row r="55" spans="1:2" x14ac:dyDescent="0.2">
      <c r="A55" s="81"/>
      <c r="B55" s="283"/>
    </row>
    <row r="56" spans="1:2" x14ac:dyDescent="0.2">
      <c r="A56" s="81"/>
      <c r="B56" s="283"/>
    </row>
    <row r="57" spans="1:2" x14ac:dyDescent="0.2">
      <c r="A57" s="81"/>
      <c r="B57" s="283"/>
    </row>
    <row r="58" spans="1:2" x14ac:dyDescent="0.2">
      <c r="A58" s="82"/>
      <c r="B58" s="284"/>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1031" priority="26" operator="equal">
      <formula>"?"</formula>
    </cfRule>
  </conditionalFormatting>
  <conditionalFormatting sqref="B92:B93">
    <cfRule type="cellIs" dxfId="1030" priority="17" operator="equal">
      <formula>"&lt;unk.&gt;"</formula>
    </cfRule>
  </conditionalFormatting>
  <conditionalFormatting sqref="B90">
    <cfRule type="cellIs" dxfId="1029" priority="16" operator="equal">
      <formula>"&lt;unk.&gt;"</formula>
    </cfRule>
  </conditionalFormatting>
  <conditionalFormatting sqref="B91">
    <cfRule type="cellIs" dxfId="1028" priority="15" operator="equal">
      <formula>"&lt;unk.&gt;"</formula>
    </cfRule>
  </conditionalFormatting>
  <conditionalFormatting sqref="B94">
    <cfRule type="cellIs" dxfId="1027" priority="14" operator="equal">
      <formula>"&lt;unk.&gt;"</formula>
    </cfRule>
  </conditionalFormatting>
  <conditionalFormatting sqref="B95">
    <cfRule type="cellIs" dxfId="1026" priority="13" operator="equal">
      <formula>"&lt;unk.&gt;"</formula>
    </cfRule>
  </conditionalFormatting>
  <conditionalFormatting sqref="B66">
    <cfRule type="cellIs" dxfId="1025" priority="20" operator="equal">
      <formula>"&lt;unk.&gt;"</formula>
    </cfRule>
  </conditionalFormatting>
  <conditionalFormatting sqref="B64">
    <cfRule type="cellIs" dxfId="1024" priority="19" operator="equal">
      <formula>"&lt;unk.&gt;"</formula>
    </cfRule>
  </conditionalFormatting>
  <conditionalFormatting sqref="B65">
    <cfRule type="cellIs" dxfId="1023" priority="18" operator="equal">
      <formula>"&lt;unk.&gt;"</formula>
    </cfRule>
  </conditionalFormatting>
  <conditionalFormatting sqref="B84:B87">
    <cfRule type="cellIs" dxfId="1022" priority="12" operator="equal">
      <formula>"&lt;unk.&gt;"</formula>
    </cfRule>
  </conditionalFormatting>
  <conditionalFormatting sqref="B22:B26">
    <cfRule type="cellIs" dxfId="1021" priority="11" operator="equal">
      <formula>"&lt;unk.&gt;"</formula>
    </cfRule>
  </conditionalFormatting>
  <conditionalFormatting sqref="B27">
    <cfRule type="cellIs" dxfId="1020" priority="10" operator="equal">
      <formula>"&lt;unk.&gt;"</formula>
    </cfRule>
  </conditionalFormatting>
  <conditionalFormatting sqref="B30">
    <cfRule type="cellIs" dxfId="1019" priority="9" operator="equal">
      <formula>"&lt;unk.&gt;"</formula>
    </cfRule>
  </conditionalFormatting>
  <conditionalFormatting sqref="B47:B48">
    <cfRule type="cellIs" dxfId="1018" priority="8" operator="equal">
      <formula>"&lt;unk.&gt;"</formula>
    </cfRule>
  </conditionalFormatting>
  <conditionalFormatting sqref="B45">
    <cfRule type="cellIs" dxfId="1017" priority="7" operator="equal">
      <formula>"&lt;unk.&gt;"</formula>
    </cfRule>
  </conditionalFormatting>
  <conditionalFormatting sqref="B46">
    <cfRule type="cellIs" dxfId="1016" priority="6" operator="equal">
      <formula>"&lt;unk.&gt;"</formula>
    </cfRule>
  </conditionalFormatting>
  <conditionalFormatting sqref="B50">
    <cfRule type="cellIs" dxfId="1015" priority="5" operator="equal">
      <formula>"&lt;unk.&gt;"</formula>
    </cfRule>
  </conditionalFormatting>
  <conditionalFormatting sqref="B49">
    <cfRule type="cellIs" dxfId="1014" priority="4" operator="equal">
      <formula>"&lt;unk.&gt;"</formula>
    </cfRule>
  </conditionalFormatting>
  <conditionalFormatting sqref="D10:E14">
    <cfRule type="expression" dxfId="1013" priority="3">
      <formula>MOD(ROW(),2)=0</formula>
    </cfRule>
  </conditionalFormatting>
  <conditionalFormatting sqref="I10">
    <cfRule type="expression" dxfId="1012" priority="2">
      <formula>MOD(ROW(),2)=0</formula>
    </cfRule>
  </conditionalFormatting>
  <conditionalFormatting sqref="J10:J14">
    <cfRule type="expression" dxfId="1011" priority="1">
      <formula>MOD(ROW(),2)=0</formula>
    </cfRule>
  </conditionalFormatting>
  <dataValidations count="5">
    <dataValidation type="list" allowBlank="1" showInputMessage="1" showErrorMessage="1" sqref="B18" xr:uid="{00000000-0002-0000-1000-000000000000}">
      <formula1>INDIRECT(SUBSTITUTE(SUBSTITUTE(SUBSTITUTE(B17," ","_"),"&amp;",""),"/",""))</formula1>
    </dataValidation>
    <dataValidation type="list" allowBlank="1" showInputMessage="1" showErrorMessage="1" sqref="B22:B26" xr:uid="{00000000-0002-0000-1000-000001000000}">
      <formula1>LYesNo</formula1>
    </dataValidation>
    <dataValidation type="list" allowBlank="1" showInputMessage="1" showErrorMessage="1" sqref="Y10:Y14" xr:uid="{00000000-0002-0000-1000-000002000000}">
      <formula1>INDIRECT($X10)</formula1>
    </dataValidation>
    <dataValidation type="list" allowBlank="1" showInputMessage="1" showErrorMessage="1" sqref="B90 B64 B45" xr:uid="{00000000-0002-0000-1000-000003000000}">
      <formula1>LPeriods</formula1>
    </dataValidation>
    <dataValidation type="list" allowBlank="1" showInputMessage="1" showErrorMessage="1" sqref="B91 B93 B65 B46 B48" xr:uid="{00000000-0002-0000-1000-000004000000}">
      <formula1>LCals</formula1>
    </dataValidation>
  </dataValidations>
  <hyperlinks>
    <hyperlink ref="B12" r:id="rId2" xr:uid="{00000000-0004-0000-10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000-000005000000}">
          <x14:formula1>
            <xm:f>Lookups2!$K$28:$K$46</xm:f>
          </x14:formula1>
          <xm:sqref>U10:U14</xm:sqref>
        </x14:dataValidation>
        <x14:dataValidation type="list" showInputMessage="1" showErrorMessage="1" xr:uid="{00000000-0002-0000-1000-000006000000}">
          <x14:formula1>
            <xm:f>Lookups2!$AG$2:$AG$28</xm:f>
          </x14:formula1>
          <xm:sqref>B17</xm:sqref>
        </x14:dataValidation>
        <x14:dataValidation type="list" allowBlank="1" showInputMessage="1" showErrorMessage="1" xr:uid="{00000000-0002-0000-1000-000007000000}">
          <x14:formula1>
            <xm:f>Lookups2!$C$8:$C$11</xm:f>
          </x14:formula1>
          <xm:sqref>B30</xm:sqref>
        </x14:dataValidation>
        <x14:dataValidation type="list" allowBlank="1" showInputMessage="1" showErrorMessage="1" xr:uid="{00000000-0002-0000-1000-000008000000}">
          <x14:formula1>
            <xm:f>Lookups2!$Q$15:$Q$20</xm:f>
          </x14:formula1>
          <xm:sqref>G10:G14</xm:sqref>
        </x14:dataValidation>
        <x14:dataValidation type="list" allowBlank="1" showInputMessage="1" showErrorMessage="1" xr:uid="{00000000-0002-0000-1000-000009000000}">
          <x14:formula1>
            <xm:f>Lookups2!$M$35:$M$36</xm:f>
          </x14:formula1>
          <xm:sqref>V10:V14 H10:H14</xm:sqref>
        </x14:dataValidation>
        <x14:dataValidation type="list" allowBlank="1" showInputMessage="1" showErrorMessage="1" xr:uid="{00000000-0002-0000-1000-00000A000000}">
          <x14:formula1>
            <xm:f>EDOAlgo!$A$1:$R$1</xm:f>
          </x14:formula1>
          <xm:sqref>X10:X14</xm:sqref>
        </x14:dataValidation>
        <x14:dataValidation type="list" allowBlank="1" showInputMessage="1" showErrorMessage="1" xr:uid="{00000000-0002-0000-1000-00000B000000}">
          <x14:formula1>
            <xm:f>Lookups2!$M$41:$M$45</xm:f>
          </x14:formula1>
          <xm:sqref>S10:S14</xm:sqref>
        </x14:dataValidation>
        <x14:dataValidation type="list" allowBlank="1" showInputMessage="1" showErrorMessage="1" xr:uid="{00000000-0002-0000-1000-00000C000000}">
          <x14:formula1>
            <xm:f>INDIRECT(Lookups2!$K$9)</xm:f>
          </x14:formula1>
          <xm:sqref>T10:T14</xm:sqref>
        </x14:dataValidation>
        <x14:dataValidation type="list" allowBlank="1" showInputMessage="1" showErrorMessage="1" xr:uid="{00000000-0002-0000-1000-00000D000000}">
          <x14:formula1>
            <xm:f>Lookups2!$C$40:$C$45</xm:f>
          </x14:formula1>
          <xm:sqref>B78</xm:sqref>
        </x14:dataValidation>
        <x14:dataValidation type="list" allowBlank="1" showInputMessage="1" showErrorMessage="1" xr:uid="{00000000-0002-0000-1000-00000E000000}">
          <x14:formula1>
            <xm:f>Lookups2!$AC$2:$AC$3</xm:f>
          </x14:formula1>
          <xm:sqref>B14:B15</xm:sqref>
        </x14:dataValidation>
        <x14:dataValidation type="list" allowBlank="1" showInputMessage="1" showErrorMessage="1" xr:uid="{00000000-0002-0000-1000-00000F000000}">
          <x14:formula1>
            <xm:f>Lookups2!$Y$8:$Y$10</xm:f>
          </x14:formula1>
          <xm:sqref>B33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499984740745262"/>
  </sheetPr>
  <dimension ref="A1:AA110"/>
  <sheetViews>
    <sheetView showGridLines="0" zoomScaleNormal="100" workbookViewId="0">
      <pane xSplit="6" ySplit="9" topLeftCell="K10" activePane="bottomRight" state="frozen"/>
      <selection pane="topRight" activeCell="G1" sqref="G1"/>
      <selection pane="bottomLeft" activeCell="A11" sqref="A11"/>
      <selection pane="bottomRight" activeCell="N14" sqref="N14"/>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traded_loan_price</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51" t="s">
        <v>3720</v>
      </c>
      <c r="C4" s="352"/>
      <c r="D4" s="352"/>
      <c r="E4" s="352"/>
      <c r="F4" s="353"/>
      <c r="G4" s="259"/>
      <c r="H4" s="259"/>
      <c r="K4" s="201" t="s">
        <v>239</v>
      </c>
      <c r="L4" s="202" t="s">
        <v>3424</v>
      </c>
      <c r="M4" s="23" t="s">
        <v>3425</v>
      </c>
    </row>
    <row r="5" spans="1:26" ht="71.25" customHeight="1" x14ac:dyDescent="0.2">
      <c r="A5" s="151" t="s">
        <v>3426</v>
      </c>
      <c r="B5" s="354" t="s">
        <v>3721</v>
      </c>
      <c r="C5" s="352"/>
      <c r="D5" s="352"/>
      <c r="E5" s="352"/>
      <c r="F5" s="355"/>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14">
        <v>1</v>
      </c>
      <c r="E10" s="215" t="s">
        <v>3722</v>
      </c>
      <c r="F10" s="214">
        <v>1</v>
      </c>
      <c r="G10" s="64" t="s">
        <v>259</v>
      </c>
      <c r="H10" s="64"/>
      <c r="I10" s="64"/>
      <c r="J10" s="64"/>
      <c r="K10" s="216" t="s">
        <v>3723</v>
      </c>
      <c r="L10" s="23"/>
      <c r="M10" s="154" t="e">
        <f>VLOOKUP(Table29[[#This Row],[Data Element]],Lookups2!AM:AN,2,FALSE)</f>
        <v>#N/A</v>
      </c>
      <c r="N10" s="64" t="s">
        <v>653</v>
      </c>
      <c r="O10" s="64"/>
      <c r="P10" s="64"/>
      <c r="Q10" s="64"/>
      <c r="R10" s="64"/>
      <c r="S10" s="64" t="s">
        <v>387</v>
      </c>
      <c r="T10" s="64"/>
      <c r="U10" s="64"/>
      <c r="V10" s="64"/>
      <c r="W10" s="64"/>
      <c r="X10" s="64"/>
      <c r="Y10" s="72"/>
      <c r="Z10" s="26"/>
    </row>
    <row r="11" spans="1:26" ht="12.75" customHeight="1" x14ac:dyDescent="0.2">
      <c r="A11" s="148" t="s">
        <v>153</v>
      </c>
      <c r="B11" s="23" t="s">
        <v>3356</v>
      </c>
      <c r="D11" s="214">
        <v>2</v>
      </c>
      <c r="E11" s="215" t="s">
        <v>3724</v>
      </c>
      <c r="F11" s="214">
        <v>1</v>
      </c>
      <c r="G11" s="64" t="s">
        <v>487</v>
      </c>
      <c r="H11" s="64"/>
      <c r="I11" s="64"/>
      <c r="J11" s="64"/>
      <c r="K11" s="214" t="s">
        <v>3725</v>
      </c>
      <c r="L11" s="211"/>
      <c r="M11" s="154" t="e">
        <f>VLOOKUP(Table29[[#This Row],[Data Element]],Lookups2!AM:AN,2,FALSE)</f>
        <v>#N/A</v>
      </c>
      <c r="N11" s="64"/>
      <c r="O11" s="64"/>
      <c r="P11" s="64"/>
      <c r="Q11" s="64"/>
      <c r="R11" s="64"/>
      <c r="S11" s="64" t="s">
        <v>387</v>
      </c>
      <c r="T11" s="64"/>
      <c r="U11" s="64"/>
      <c r="V11" s="64"/>
      <c r="W11" s="64"/>
      <c r="X11" s="64"/>
      <c r="Y11" s="72"/>
      <c r="Z11" s="26"/>
    </row>
    <row r="12" spans="1:26" x14ac:dyDescent="0.2">
      <c r="A12" s="194" t="s">
        <v>3454</v>
      </c>
      <c r="B12" s="213" t="s">
        <v>3357</v>
      </c>
      <c r="D12" s="214">
        <v>3</v>
      </c>
      <c r="E12" s="215" t="s">
        <v>3726</v>
      </c>
      <c r="F12" s="214">
        <v>1</v>
      </c>
      <c r="G12" s="64" t="s">
        <v>487</v>
      </c>
      <c r="H12" s="64"/>
      <c r="I12" s="64"/>
      <c r="J12" s="64"/>
      <c r="K12" s="214" t="s">
        <v>3727</v>
      </c>
      <c r="L12" s="211"/>
      <c r="M12" s="154" t="e">
        <f>VLOOKUP(Table29[[#This Row],[Data Element]],Lookups2!AM:AN,2,FALSE)</f>
        <v>#N/A</v>
      </c>
      <c r="N12" s="64"/>
      <c r="O12" s="64"/>
      <c r="P12" s="64"/>
      <c r="Q12" s="64"/>
      <c r="R12" s="64"/>
      <c r="S12" s="64" t="s">
        <v>387</v>
      </c>
      <c r="T12" s="64"/>
      <c r="U12" s="64"/>
      <c r="V12" s="64"/>
      <c r="W12" s="64"/>
      <c r="X12" s="64"/>
      <c r="Y12" s="72"/>
    </row>
    <row r="13" spans="1:26" x14ac:dyDescent="0.2">
      <c r="A13" s="195" t="s">
        <v>3455</v>
      </c>
      <c r="B13" s="62" t="s">
        <v>3686</v>
      </c>
      <c r="D13" s="214">
        <v>4</v>
      </c>
      <c r="E13" s="215" t="s">
        <v>3715</v>
      </c>
      <c r="F13" s="214">
        <v>1</v>
      </c>
      <c r="G13" s="64" t="s">
        <v>10</v>
      </c>
      <c r="H13" s="64"/>
      <c r="I13" s="64" t="s">
        <v>3684</v>
      </c>
      <c r="J13" s="64"/>
      <c r="K13" s="64" t="s">
        <v>3685</v>
      </c>
      <c r="L13" s="211"/>
      <c r="M13" s="154" t="e">
        <f>VLOOKUP(Table29[[#This Row],[Data Element]],Lookups2!AM:AN,2,FALSE)</f>
        <v>#N/A</v>
      </c>
      <c r="N13" s="64" t="s">
        <v>653</v>
      </c>
      <c r="O13" s="64"/>
      <c r="P13" s="64"/>
      <c r="Q13" s="64"/>
      <c r="R13" s="64"/>
      <c r="S13" s="64" t="s">
        <v>387</v>
      </c>
      <c r="T13" s="64"/>
      <c r="U13" s="64"/>
      <c r="V13" s="64"/>
      <c r="W13" s="64"/>
      <c r="X13" s="64"/>
      <c r="Y13" s="72"/>
    </row>
    <row r="14" spans="1:26" x14ac:dyDescent="0.2">
      <c r="A14" s="196" t="s">
        <v>234</v>
      </c>
      <c r="B14" s="116" t="s">
        <v>250</v>
      </c>
      <c r="D14" s="214">
        <v>5</v>
      </c>
      <c r="E14" s="215" t="s">
        <v>3728</v>
      </c>
      <c r="F14" s="214">
        <v>1</v>
      </c>
      <c r="G14" s="64" t="s">
        <v>460</v>
      </c>
      <c r="H14" s="64"/>
      <c r="I14" s="64"/>
      <c r="J14" s="64"/>
      <c r="K14" s="214" t="s">
        <v>3729</v>
      </c>
      <c r="L14" s="211"/>
      <c r="M14" s="154" t="e">
        <f>VLOOKUP(Table29[[#This Row],[Data Element]],Lookups2!AM:AN,2,FALSE)</f>
        <v>#N/A</v>
      </c>
      <c r="N14" s="64"/>
      <c r="O14" s="64"/>
      <c r="P14" s="64"/>
      <c r="Q14" s="64"/>
      <c r="R14" s="64"/>
      <c r="S14" s="64" t="s">
        <v>387</v>
      </c>
      <c r="T14" s="64"/>
      <c r="U14" s="64"/>
      <c r="V14" s="64"/>
      <c r="W14" s="64"/>
      <c r="X14" s="64"/>
      <c r="Y14" s="72"/>
    </row>
    <row r="15" spans="1:26" x14ac:dyDescent="0.2">
      <c r="A15" s="149"/>
      <c r="B15" s="26"/>
      <c r="D15" s="214">
        <v>6</v>
      </c>
      <c r="E15" s="215" t="s">
        <v>3730</v>
      </c>
      <c r="F15" s="214">
        <v>1</v>
      </c>
      <c r="G15" s="64" t="s">
        <v>259</v>
      </c>
      <c r="H15" s="64"/>
      <c r="I15" s="64"/>
      <c r="J15" s="64"/>
      <c r="K15" s="64" t="s">
        <v>3731</v>
      </c>
      <c r="L15" s="211"/>
      <c r="M15" s="154" t="e">
        <f>VLOOKUP(Table29[[#This Row],[Data Element]],Lookups2!AM:AN,2,FALSE)</f>
        <v>#N/A</v>
      </c>
      <c r="N15" s="64"/>
      <c r="O15" s="64"/>
      <c r="P15" s="64"/>
      <c r="Q15" s="64"/>
      <c r="R15" s="64"/>
      <c r="S15" s="64" t="s">
        <v>387</v>
      </c>
      <c r="T15" s="64"/>
      <c r="U15" s="64"/>
      <c r="V15" s="64"/>
      <c r="W15" s="64"/>
      <c r="X15" s="64"/>
      <c r="Y15" s="72"/>
    </row>
    <row r="16" spans="1:26" x14ac:dyDescent="0.2">
      <c r="A16" s="150" t="s">
        <v>3456</v>
      </c>
      <c r="B16" s="69"/>
    </row>
    <row r="17" spans="1:2" x14ac:dyDescent="0.2">
      <c r="A17" s="151" t="s">
        <v>3457</v>
      </c>
      <c r="B17" s="175" t="s">
        <v>303</v>
      </c>
    </row>
    <row r="18" spans="1:2" x14ac:dyDescent="0.2">
      <c r="A18" s="151" t="s">
        <v>3458</v>
      </c>
      <c r="B18" s="175" t="s">
        <v>553</v>
      </c>
    </row>
    <row r="19" spans="1:2" ht="78" customHeight="1" x14ac:dyDescent="0.2">
      <c r="A19" s="71" t="s">
        <v>238</v>
      </c>
      <c r="B19" s="182" t="str">
        <f>VLOOKUP(B18,Lookups2!AI:AJ,2,0)</f>
        <v>Securities lending and borrowing from one party to another based on an agreed fee and time</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t="s">
        <v>3687</v>
      </c>
    </row>
    <row r="38" spans="1:2" x14ac:dyDescent="0.2">
      <c r="A38" s="136" t="s">
        <v>3470</v>
      </c>
      <c r="B38" s="68" t="s">
        <v>3687</v>
      </c>
    </row>
    <row r="40" spans="1:2" x14ac:dyDescent="0.2">
      <c r="A40" s="65" t="s">
        <v>3471</v>
      </c>
      <c r="B40" s="66"/>
    </row>
    <row r="41" spans="1:2" ht="14.25" x14ac:dyDescent="0.25">
      <c r="A41" s="152" t="s">
        <v>3472</v>
      </c>
      <c r="B41" s="70" t="s">
        <v>3687</v>
      </c>
    </row>
    <row r="42" spans="1:2" x14ac:dyDescent="0.2">
      <c r="A42" s="152" t="s">
        <v>3473</v>
      </c>
      <c r="B42" s="68" t="s">
        <v>3687</v>
      </c>
    </row>
    <row r="44" spans="1:2" x14ac:dyDescent="0.2">
      <c r="A44" s="250" t="s">
        <v>3474</v>
      </c>
      <c r="B44" s="251"/>
    </row>
    <row r="45" spans="1:2" x14ac:dyDescent="0.2">
      <c r="A45" s="131" t="s">
        <v>3475</v>
      </c>
      <c r="B45" s="91" t="s">
        <v>255</v>
      </c>
    </row>
    <row r="46" spans="1:2" x14ac:dyDescent="0.2">
      <c r="A46" s="132" t="s">
        <v>3476</v>
      </c>
      <c r="B46" s="92" t="s">
        <v>411</v>
      </c>
    </row>
    <row r="47" spans="1:2" x14ac:dyDescent="0.2">
      <c r="A47" s="132" t="s">
        <v>3477</v>
      </c>
      <c r="B47" s="55" t="s">
        <v>3703</v>
      </c>
    </row>
    <row r="48" spans="1:2" x14ac:dyDescent="0.2">
      <c r="A48" s="133" t="s">
        <v>3478</v>
      </c>
      <c r="B48" s="94" t="s">
        <v>411</v>
      </c>
    </row>
    <row r="49" spans="1:2" x14ac:dyDescent="0.2">
      <c r="A49" s="133" t="s">
        <v>3479</v>
      </c>
      <c r="B49" s="49" t="s">
        <v>3703</v>
      </c>
    </row>
    <row r="50" spans="1:2" x14ac:dyDescent="0.2">
      <c r="A50" s="44" t="s">
        <v>3480</v>
      </c>
      <c r="B50" s="28" t="s">
        <v>3572</v>
      </c>
    </row>
    <row r="51" spans="1:2" x14ac:dyDescent="0.2">
      <c r="A51" s="192" t="s">
        <v>3481</v>
      </c>
      <c r="B51" s="282" t="s">
        <v>3732</v>
      </c>
    </row>
    <row r="52" spans="1:2" x14ac:dyDescent="0.2">
      <c r="A52" s="81"/>
      <c r="B52" s="283"/>
    </row>
    <row r="53" spans="1:2" x14ac:dyDescent="0.2">
      <c r="A53" s="81"/>
      <c r="B53" s="283"/>
    </row>
    <row r="54" spans="1:2" x14ac:dyDescent="0.2">
      <c r="A54" s="81"/>
      <c r="B54" s="283"/>
    </row>
    <row r="55" spans="1:2" x14ac:dyDescent="0.2">
      <c r="A55" s="81"/>
      <c r="B55" s="283"/>
    </row>
    <row r="56" spans="1:2" x14ac:dyDescent="0.2">
      <c r="A56" s="81"/>
      <c r="B56" s="283"/>
    </row>
    <row r="57" spans="1:2" x14ac:dyDescent="0.2">
      <c r="A57" s="81"/>
      <c r="B57" s="283"/>
    </row>
    <row r="58" spans="1:2" x14ac:dyDescent="0.2">
      <c r="A58" s="82"/>
      <c r="B58" s="284"/>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982" priority="25" operator="equal">
      <formula>"?"</formula>
    </cfRule>
  </conditionalFormatting>
  <conditionalFormatting sqref="B47:B48">
    <cfRule type="cellIs" dxfId="981" priority="24" operator="equal">
      <formula>"&lt;unk.&gt;"</formula>
    </cfRule>
  </conditionalFormatting>
  <conditionalFormatting sqref="B45">
    <cfRule type="cellIs" dxfId="980" priority="23" operator="equal">
      <formula>"&lt;unk.&gt;"</formula>
    </cfRule>
  </conditionalFormatting>
  <conditionalFormatting sqref="B46">
    <cfRule type="cellIs" dxfId="979" priority="22" operator="equal">
      <formula>"&lt;unk.&gt;"</formula>
    </cfRule>
  </conditionalFormatting>
  <conditionalFormatting sqref="B49">
    <cfRule type="cellIs" dxfId="978" priority="21" operator="equal">
      <formula>"&lt;unk.&gt;"</formula>
    </cfRule>
  </conditionalFormatting>
  <conditionalFormatting sqref="B50">
    <cfRule type="cellIs" dxfId="977" priority="20" operator="equal">
      <formula>"&lt;unk.&gt;"</formula>
    </cfRule>
  </conditionalFormatting>
  <conditionalFormatting sqref="B66">
    <cfRule type="cellIs" dxfId="976" priority="19" operator="equal">
      <formula>"&lt;unk.&gt;"</formula>
    </cfRule>
  </conditionalFormatting>
  <conditionalFormatting sqref="B64">
    <cfRule type="cellIs" dxfId="975" priority="18" operator="equal">
      <formula>"&lt;unk.&gt;"</formula>
    </cfRule>
  </conditionalFormatting>
  <conditionalFormatting sqref="B65">
    <cfRule type="cellIs" dxfId="974" priority="17" operator="equal">
      <formula>"&lt;unk.&gt;"</formula>
    </cfRule>
  </conditionalFormatting>
  <conditionalFormatting sqref="B92:B93">
    <cfRule type="cellIs" dxfId="973" priority="16" operator="equal">
      <formula>"&lt;unk.&gt;"</formula>
    </cfRule>
  </conditionalFormatting>
  <conditionalFormatting sqref="B90">
    <cfRule type="cellIs" dxfId="972" priority="15" operator="equal">
      <formula>"&lt;unk.&gt;"</formula>
    </cfRule>
  </conditionalFormatting>
  <conditionalFormatting sqref="B91">
    <cfRule type="cellIs" dxfId="971" priority="14" operator="equal">
      <formula>"&lt;unk.&gt;"</formula>
    </cfRule>
  </conditionalFormatting>
  <conditionalFormatting sqref="B94">
    <cfRule type="cellIs" dxfId="970" priority="13" operator="equal">
      <formula>"&lt;unk.&gt;"</formula>
    </cfRule>
  </conditionalFormatting>
  <conditionalFormatting sqref="B95">
    <cfRule type="cellIs" dxfId="969" priority="12" operator="equal">
      <formula>"&lt;unk.&gt;"</formula>
    </cfRule>
  </conditionalFormatting>
  <conditionalFormatting sqref="B84:B87">
    <cfRule type="cellIs" dxfId="968" priority="11" operator="equal">
      <formula>"&lt;unk.&gt;"</formula>
    </cfRule>
  </conditionalFormatting>
  <conditionalFormatting sqref="B22:B26">
    <cfRule type="cellIs" dxfId="967" priority="10" operator="equal">
      <formula>"&lt;unk.&gt;"</formula>
    </cfRule>
  </conditionalFormatting>
  <conditionalFormatting sqref="B27">
    <cfRule type="cellIs" dxfId="966" priority="9" operator="equal">
      <formula>"&lt;unk.&gt;"</formula>
    </cfRule>
  </conditionalFormatting>
  <conditionalFormatting sqref="B30">
    <cfRule type="cellIs" dxfId="965" priority="8" operator="equal">
      <formula>"&lt;unk.&gt;"</formula>
    </cfRule>
  </conditionalFormatting>
  <conditionalFormatting sqref="D10:E15">
    <cfRule type="expression" dxfId="964" priority="7">
      <formula>MOD(ROW(),2)=0</formula>
    </cfRule>
  </conditionalFormatting>
  <conditionalFormatting sqref="F10:F15">
    <cfRule type="expression" dxfId="963" priority="6">
      <formula>MOD(ROW(),2)=0</formula>
    </cfRule>
  </conditionalFormatting>
  <conditionalFormatting sqref="I13">
    <cfRule type="expression" dxfId="962" priority="5">
      <formula>MOD(ROW(),2)=0</formula>
    </cfRule>
  </conditionalFormatting>
  <conditionalFormatting sqref="K14">
    <cfRule type="expression" dxfId="961" priority="4">
      <formula>MOD(ROW(),2)=0</formula>
    </cfRule>
  </conditionalFormatting>
  <conditionalFormatting sqref="K14">
    <cfRule type="expression" dxfId="960" priority="3">
      <formula>MOD(ROW(),2)=0</formula>
    </cfRule>
  </conditionalFormatting>
  <conditionalFormatting sqref="K10:K12">
    <cfRule type="expression" dxfId="959" priority="2">
      <formula>MOD(ROW(),2)=0</formula>
    </cfRule>
  </conditionalFormatting>
  <conditionalFormatting sqref="K10:K12">
    <cfRule type="expression" dxfId="958" priority="1">
      <formula>MOD(ROW(),2)=0</formula>
    </cfRule>
  </conditionalFormatting>
  <dataValidations count="5">
    <dataValidation type="list" allowBlank="1" showInputMessage="1" showErrorMessage="1" sqref="B18" xr:uid="{00000000-0002-0000-1100-000000000000}">
      <formula1>INDIRECT(SUBSTITUTE(SUBSTITUTE(SUBSTITUTE(B17," ","_"),"&amp;",""),"/",""))</formula1>
    </dataValidation>
    <dataValidation type="list" allowBlank="1" showInputMessage="1" showErrorMessage="1" sqref="B22:B26" xr:uid="{00000000-0002-0000-1100-000001000000}">
      <formula1>LYesNo</formula1>
    </dataValidation>
    <dataValidation type="list" allowBlank="1" showInputMessage="1" showErrorMessage="1" sqref="Y10:Y15" xr:uid="{00000000-0002-0000-1100-000002000000}">
      <formula1>INDIRECT($X10)</formula1>
    </dataValidation>
    <dataValidation type="list" allowBlank="1" showInputMessage="1" showErrorMessage="1" sqref="B45 B64 B90" xr:uid="{00000000-0002-0000-1100-000003000000}">
      <formula1>LPeriods</formula1>
    </dataValidation>
    <dataValidation type="list" allowBlank="1" showInputMessage="1" showErrorMessage="1" sqref="B46 B48 B65 B91 B93" xr:uid="{00000000-0002-0000-1100-000004000000}">
      <formula1>LCals</formula1>
    </dataValidation>
  </dataValidations>
  <hyperlinks>
    <hyperlink ref="B12" r:id="rId2" xr:uid="{00000000-0004-0000-11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100-000005000000}">
          <x14:formula1>
            <xm:f>Lookups2!$K$28:$K$46</xm:f>
          </x14:formula1>
          <xm:sqref>U10:U15</xm:sqref>
        </x14:dataValidation>
        <x14:dataValidation type="list" showInputMessage="1" showErrorMessage="1" xr:uid="{00000000-0002-0000-1100-000006000000}">
          <x14:formula1>
            <xm:f>Lookups2!$AG$2:$AG$28</xm:f>
          </x14:formula1>
          <xm:sqref>B17</xm:sqref>
        </x14:dataValidation>
        <x14:dataValidation type="list" allowBlank="1" showInputMessage="1" showErrorMessage="1" xr:uid="{00000000-0002-0000-1100-000007000000}">
          <x14:formula1>
            <xm:f>Lookups2!$C$8:$C$11</xm:f>
          </x14:formula1>
          <xm:sqref>B30</xm:sqref>
        </x14:dataValidation>
        <x14:dataValidation type="list" allowBlank="1" showInputMessage="1" showErrorMessage="1" xr:uid="{00000000-0002-0000-1100-000008000000}">
          <x14:formula1>
            <xm:f>Lookups2!$Q$15:$Q$20</xm:f>
          </x14:formula1>
          <xm:sqref>G10:G15</xm:sqref>
        </x14:dataValidation>
        <x14:dataValidation type="list" allowBlank="1" showInputMessage="1" showErrorMessage="1" xr:uid="{00000000-0002-0000-1100-000009000000}">
          <x14:formula1>
            <xm:f>Lookups2!$M$35:$M$36</xm:f>
          </x14:formula1>
          <xm:sqref>V10:V15 H10:H15</xm:sqref>
        </x14:dataValidation>
        <x14:dataValidation type="list" allowBlank="1" showInputMessage="1" showErrorMessage="1" xr:uid="{00000000-0002-0000-1100-00000A000000}">
          <x14:formula1>
            <xm:f>EDOAlgo!$A$1:$R$1</xm:f>
          </x14:formula1>
          <xm:sqref>X10:X15</xm:sqref>
        </x14:dataValidation>
        <x14:dataValidation type="list" allowBlank="1" showInputMessage="1" showErrorMessage="1" xr:uid="{00000000-0002-0000-1100-00000B000000}">
          <x14:formula1>
            <xm:f>Lookups2!$M$41:$M$45</xm:f>
          </x14:formula1>
          <xm:sqref>S10:S15</xm:sqref>
        </x14:dataValidation>
        <x14:dataValidation type="list" allowBlank="1" showInputMessage="1" showErrorMessage="1" xr:uid="{00000000-0002-0000-1100-00000C000000}">
          <x14:formula1>
            <xm:f>INDIRECT(Lookups2!$K$9)</xm:f>
          </x14:formula1>
          <xm:sqref>T10:T15</xm:sqref>
        </x14:dataValidation>
        <x14:dataValidation type="list" allowBlank="1" showInputMessage="1" showErrorMessage="1" xr:uid="{00000000-0002-0000-1100-00000D000000}">
          <x14:formula1>
            <xm:f>Lookups2!$C$40:$C$45</xm:f>
          </x14:formula1>
          <xm:sqref>B78</xm:sqref>
        </x14:dataValidation>
        <x14:dataValidation type="list" allowBlank="1" showInputMessage="1" showErrorMessage="1" xr:uid="{00000000-0002-0000-1100-00000E000000}">
          <x14:formula1>
            <xm:f>Lookups2!$AC$2:$AC$3</xm:f>
          </x14:formula1>
          <xm:sqref>B14:B15</xm:sqref>
        </x14:dataValidation>
        <x14:dataValidation type="list" allowBlank="1" showInputMessage="1" showErrorMessage="1" xr:uid="{00000000-0002-0000-1100-00000F000000}">
          <x14:formula1>
            <xm:f>Lookups2!$Y$8:$Y$10</xm:f>
          </x14:formula1>
          <xm:sqref>B33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4" tint="-0.499984740745262"/>
  </sheetPr>
  <dimension ref="A1:AA110"/>
  <sheetViews>
    <sheetView showGridLines="0" zoomScaleNormal="100" workbookViewId="0">
      <pane xSplit="6" ySplit="9" topLeftCell="I10" activePane="bottomRight" state="frozen"/>
      <selection pane="topRight" activeCell="G1" sqref="G1"/>
      <selection pane="bottomLeft" activeCell="A11" sqref="A11"/>
      <selection pane="bottomRight" activeCell="S14" sqref="S14"/>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market_cds_price</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46" t="s">
        <v>3733</v>
      </c>
      <c r="C4" s="347"/>
      <c r="D4" s="347"/>
      <c r="E4" s="347"/>
      <c r="F4" s="348"/>
      <c r="G4" s="259"/>
      <c r="H4" s="259"/>
      <c r="K4" s="201" t="s">
        <v>239</v>
      </c>
      <c r="L4" s="202" t="s">
        <v>3424</v>
      </c>
      <c r="M4" s="23" t="s">
        <v>3425</v>
      </c>
    </row>
    <row r="5" spans="1:26" ht="71.25" customHeight="1" x14ac:dyDescent="0.2">
      <c r="A5" s="151" t="s">
        <v>3426</v>
      </c>
      <c r="B5" s="349" t="s">
        <v>3734</v>
      </c>
      <c r="C5" s="347"/>
      <c r="D5" s="347"/>
      <c r="E5" s="347"/>
      <c r="F5" s="350"/>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17">
        <v>1</v>
      </c>
      <c r="E10" s="217" t="s">
        <v>3735</v>
      </c>
      <c r="F10" s="222"/>
      <c r="G10" s="64" t="s">
        <v>259</v>
      </c>
      <c r="H10" s="64"/>
      <c r="I10" s="64"/>
      <c r="J10" s="64"/>
      <c r="K10" s="64" t="s">
        <v>3736</v>
      </c>
      <c r="L10" s="23"/>
      <c r="M10" s="154" t="e">
        <f>VLOOKUP(Table210[[#This Row],[Data Element]],Lookups2!AM:AN,2,FALSE)</f>
        <v>#N/A</v>
      </c>
      <c r="N10" s="64"/>
      <c r="O10" s="64"/>
      <c r="P10" s="64"/>
      <c r="Q10" s="64"/>
      <c r="R10" s="64"/>
      <c r="S10" s="64" t="s">
        <v>387</v>
      </c>
      <c r="T10" s="64"/>
      <c r="U10" s="64"/>
      <c r="V10" s="64" t="s">
        <v>662</v>
      </c>
      <c r="W10" s="64"/>
      <c r="X10" s="64"/>
      <c r="Y10" s="72"/>
      <c r="Z10" s="26"/>
    </row>
    <row r="11" spans="1:26" x14ac:dyDescent="0.2">
      <c r="A11" s="148" t="s">
        <v>153</v>
      </c>
      <c r="B11" s="23" t="s">
        <v>3359</v>
      </c>
      <c r="D11" s="217">
        <v>2</v>
      </c>
      <c r="E11" s="215" t="s">
        <v>3737</v>
      </c>
      <c r="F11" s="222"/>
      <c r="G11" s="64" t="s">
        <v>259</v>
      </c>
      <c r="H11" s="64"/>
      <c r="I11" s="64"/>
      <c r="J11" s="64"/>
      <c r="K11" s="64" t="s">
        <v>3738</v>
      </c>
      <c r="L11" s="211"/>
      <c r="M11" s="154" t="e">
        <f>VLOOKUP(Table210[[#This Row],[Data Element]],Lookups2!AM:AN,2,FALSE)</f>
        <v>#N/A</v>
      </c>
      <c r="N11" s="64"/>
      <c r="O11" s="64"/>
      <c r="P11" s="64"/>
      <c r="Q11" s="64"/>
      <c r="R11" s="64"/>
      <c r="S11" s="64" t="s">
        <v>387</v>
      </c>
      <c r="T11" s="64"/>
      <c r="U11" s="64"/>
      <c r="V11" s="64" t="s">
        <v>662</v>
      </c>
      <c r="W11" s="64"/>
      <c r="X11" s="64"/>
      <c r="Y11" s="72"/>
      <c r="Z11" s="26"/>
    </row>
    <row r="12" spans="1:26" x14ac:dyDescent="0.2">
      <c r="A12" s="194" t="s">
        <v>3454</v>
      </c>
      <c r="B12" s="114" t="s">
        <v>3360</v>
      </c>
      <c r="D12" s="217">
        <v>3</v>
      </c>
      <c r="E12" s="215" t="s">
        <v>3739</v>
      </c>
      <c r="F12" s="222"/>
      <c r="G12" s="64" t="s">
        <v>259</v>
      </c>
      <c r="H12" s="64"/>
      <c r="I12" s="64"/>
      <c r="J12" s="64"/>
      <c r="K12" s="64" t="s">
        <v>3740</v>
      </c>
      <c r="L12" s="211"/>
      <c r="M12" s="154" t="e">
        <f>VLOOKUP(Table210[[#This Row],[Data Element]],Lookups2!AM:AN,2,FALSE)</f>
        <v>#N/A</v>
      </c>
      <c r="N12" s="64"/>
      <c r="O12" s="64"/>
      <c r="P12" s="64"/>
      <c r="Q12" s="64"/>
      <c r="R12" s="64"/>
      <c r="S12" s="64" t="s">
        <v>387</v>
      </c>
      <c r="T12" s="64"/>
      <c r="U12" s="64"/>
      <c r="V12" s="64" t="s">
        <v>662</v>
      </c>
      <c r="W12" s="64"/>
      <c r="X12" s="64"/>
      <c r="Y12" s="72"/>
    </row>
    <row r="13" spans="1:26" x14ac:dyDescent="0.2">
      <c r="A13" s="195" t="s">
        <v>3455</v>
      </c>
      <c r="B13" s="62" t="s">
        <v>3686</v>
      </c>
      <c r="D13" s="217">
        <v>4</v>
      </c>
      <c r="E13" s="215" t="s">
        <v>3741</v>
      </c>
      <c r="F13" s="222"/>
      <c r="G13" s="64" t="s">
        <v>259</v>
      </c>
      <c r="H13" s="64"/>
      <c r="I13" s="64"/>
      <c r="J13" s="64"/>
      <c r="K13" s="64" t="s">
        <v>3742</v>
      </c>
      <c r="L13" s="211"/>
      <c r="M13" s="154" t="e">
        <f>VLOOKUP(Table210[[#This Row],[Data Element]],Lookups2!AM:AN,2,FALSE)</f>
        <v>#N/A</v>
      </c>
      <c r="N13" s="64"/>
      <c r="O13" s="64"/>
      <c r="P13" s="64"/>
      <c r="Q13" s="64"/>
      <c r="R13" s="64"/>
      <c r="S13" s="64" t="s">
        <v>387</v>
      </c>
      <c r="T13" s="64"/>
      <c r="U13" s="64"/>
      <c r="V13" s="64" t="s">
        <v>662</v>
      </c>
      <c r="W13" s="64"/>
      <c r="X13" s="64"/>
      <c r="Y13" s="72"/>
    </row>
    <row r="14" spans="1:26" x14ac:dyDescent="0.2">
      <c r="A14" s="196" t="s">
        <v>234</v>
      </c>
      <c r="B14" s="116" t="s">
        <v>250</v>
      </c>
      <c r="D14" s="217">
        <v>5</v>
      </c>
      <c r="E14" s="218" t="s">
        <v>3743</v>
      </c>
      <c r="F14" s="222"/>
      <c r="G14" s="64" t="s">
        <v>259</v>
      </c>
      <c r="H14" s="64"/>
      <c r="I14" s="64"/>
      <c r="J14" s="64"/>
      <c r="K14" s="64" t="s">
        <v>3744</v>
      </c>
      <c r="L14" s="211"/>
      <c r="M14" s="154" t="e">
        <f>VLOOKUP(Table210[[#This Row],[Data Element]],Lookups2!AM:AN,2,FALSE)</f>
        <v>#N/A</v>
      </c>
      <c r="N14" s="64"/>
      <c r="O14" s="64"/>
      <c r="P14" s="64"/>
      <c r="Q14" s="64"/>
      <c r="R14" s="64"/>
      <c r="S14" s="64" t="s">
        <v>343</v>
      </c>
      <c r="T14" s="64"/>
      <c r="U14" s="64"/>
      <c r="V14" s="64" t="s">
        <v>653</v>
      </c>
      <c r="W14" s="64"/>
      <c r="X14" s="64" t="s">
        <v>17</v>
      </c>
      <c r="Y14" s="72" t="s">
        <v>43</v>
      </c>
    </row>
    <row r="15" spans="1:26" x14ac:dyDescent="0.2">
      <c r="A15" s="149"/>
      <c r="B15" s="26"/>
      <c r="D15" s="217">
        <v>6</v>
      </c>
      <c r="E15" s="215" t="s">
        <v>3745</v>
      </c>
      <c r="F15" s="222"/>
      <c r="G15" s="64" t="s">
        <v>259</v>
      </c>
      <c r="H15" s="64"/>
      <c r="I15" s="64"/>
      <c r="J15" s="64"/>
      <c r="K15" s="64" t="s">
        <v>3746</v>
      </c>
      <c r="L15" s="211"/>
      <c r="M15" s="154" t="e">
        <f>VLOOKUP(Table210[[#This Row],[Data Element]],Lookups2!AM:AN,2,FALSE)</f>
        <v>#N/A</v>
      </c>
      <c r="N15" s="64"/>
      <c r="O15" s="64"/>
      <c r="P15" s="64"/>
      <c r="Q15" s="64"/>
      <c r="R15" s="64"/>
      <c r="S15" s="64" t="s">
        <v>387</v>
      </c>
      <c r="T15" s="64"/>
      <c r="U15" s="64"/>
      <c r="V15" s="64" t="s">
        <v>662</v>
      </c>
      <c r="W15" s="64"/>
      <c r="X15" s="64"/>
      <c r="Y15" s="72"/>
    </row>
    <row r="16" spans="1:26" x14ac:dyDescent="0.2">
      <c r="A16" s="150" t="s">
        <v>3456</v>
      </c>
      <c r="B16" s="69"/>
      <c r="D16" s="217">
        <v>7</v>
      </c>
      <c r="E16" s="215" t="s">
        <v>3747</v>
      </c>
      <c r="F16" s="222"/>
      <c r="G16" s="64" t="s">
        <v>259</v>
      </c>
      <c r="H16" s="64"/>
      <c r="I16" s="64"/>
      <c r="J16" s="64"/>
      <c r="K16" s="64" t="s">
        <v>3748</v>
      </c>
      <c r="L16" s="211"/>
      <c r="M16" s="154" t="e">
        <f>VLOOKUP(Table210[[#This Row],[Data Element]],Lookups2!AM:AN,2,FALSE)</f>
        <v>#N/A</v>
      </c>
      <c r="N16" s="64"/>
      <c r="O16" s="64"/>
      <c r="P16" s="64"/>
      <c r="Q16" s="64"/>
      <c r="R16" s="64"/>
      <c r="S16" s="64" t="s">
        <v>387</v>
      </c>
      <c r="T16" s="64"/>
      <c r="U16" s="64"/>
      <c r="V16" s="64" t="s">
        <v>662</v>
      </c>
      <c r="W16" s="64"/>
      <c r="X16" s="64"/>
      <c r="Y16" s="72"/>
    </row>
    <row r="17" spans="1:25" x14ac:dyDescent="0.2">
      <c r="A17" s="151" t="s">
        <v>3457</v>
      </c>
      <c r="B17" s="175" t="s">
        <v>303</v>
      </c>
      <c r="D17" s="217">
        <v>8</v>
      </c>
      <c r="E17" s="215" t="s">
        <v>3749</v>
      </c>
      <c r="F17" s="222"/>
      <c r="G17" s="64" t="s">
        <v>259</v>
      </c>
      <c r="H17" s="64"/>
      <c r="I17" s="64"/>
      <c r="J17" s="64"/>
      <c r="K17" s="64" t="s">
        <v>3750</v>
      </c>
      <c r="L17" s="211"/>
      <c r="M17" s="154" t="e">
        <f>VLOOKUP(Table210[[#This Row],[Data Element]],Lookups2!AM:AN,2,FALSE)</f>
        <v>#N/A</v>
      </c>
      <c r="N17" s="64"/>
      <c r="O17" s="64"/>
      <c r="P17" s="64"/>
      <c r="Q17" s="64"/>
      <c r="R17" s="64"/>
      <c r="S17" s="64" t="s">
        <v>387</v>
      </c>
      <c r="T17" s="64"/>
      <c r="U17" s="64"/>
      <c r="V17" s="64" t="s">
        <v>662</v>
      </c>
      <c r="W17" s="64"/>
      <c r="X17" s="64"/>
      <c r="Y17" s="72"/>
    </row>
    <row r="18" spans="1:25" x14ac:dyDescent="0.2">
      <c r="A18" s="151" t="s">
        <v>3458</v>
      </c>
      <c r="B18" s="175" t="s">
        <v>513</v>
      </c>
      <c r="D18" s="217">
        <v>9</v>
      </c>
      <c r="E18" s="215" t="s">
        <v>3751</v>
      </c>
      <c r="F18" s="222"/>
      <c r="G18" s="64" t="s">
        <v>259</v>
      </c>
      <c r="H18" s="64"/>
      <c r="I18" s="64"/>
      <c r="J18" s="64"/>
      <c r="K18" s="64" t="s">
        <v>3752</v>
      </c>
      <c r="L18" s="211"/>
      <c r="M18" s="154" t="e">
        <f>VLOOKUP(Table210[[#This Row],[Data Element]],Lookups2!AM:AN,2,FALSE)</f>
        <v>#N/A</v>
      </c>
      <c r="N18" s="64"/>
      <c r="O18" s="64"/>
      <c r="P18" s="64"/>
      <c r="Q18" s="64"/>
      <c r="R18" s="64"/>
      <c r="S18" s="64" t="s">
        <v>387</v>
      </c>
      <c r="T18" s="64"/>
      <c r="U18" s="64"/>
      <c r="V18" s="64" t="s">
        <v>662</v>
      </c>
      <c r="W18" s="64"/>
      <c r="X18" s="64"/>
      <c r="Y18" s="72"/>
    </row>
    <row r="19" spans="1:25" ht="78" customHeight="1" x14ac:dyDescent="0.2">
      <c r="A19" s="71" t="s">
        <v>238</v>
      </c>
      <c r="B19" s="182" t="str">
        <f>VLOOKUP(B18,Lookups2!AI:AJ,2,0)</f>
        <v>Conversion of one currency into another currency</v>
      </c>
      <c r="D19" s="217">
        <v>10</v>
      </c>
      <c r="E19" s="215" t="s">
        <v>3753</v>
      </c>
      <c r="F19" s="222"/>
      <c r="G19" s="64" t="s">
        <v>259</v>
      </c>
      <c r="H19" s="64"/>
      <c r="I19" s="64"/>
      <c r="J19" s="64"/>
      <c r="K19" s="64" t="s">
        <v>3754</v>
      </c>
      <c r="L19" s="211"/>
      <c r="M19" s="154" t="e">
        <f>VLOOKUP(Table210[[#This Row],[Data Element]],Lookups2!AM:AN,2,FALSE)</f>
        <v>#N/A</v>
      </c>
      <c r="N19" s="64"/>
      <c r="O19" s="64"/>
      <c r="P19" s="64"/>
      <c r="Q19" s="64"/>
      <c r="R19" s="64"/>
      <c r="S19" s="64" t="s">
        <v>387</v>
      </c>
      <c r="T19" s="64"/>
      <c r="U19" s="64"/>
      <c r="V19" s="64" t="s">
        <v>662</v>
      </c>
      <c r="W19" s="64"/>
      <c r="X19" s="64"/>
      <c r="Y19" s="72"/>
    </row>
    <row r="20" spans="1:25" x14ac:dyDescent="0.2">
      <c r="A20" s="149"/>
      <c r="B20" s="26"/>
      <c r="D20" s="217">
        <v>11</v>
      </c>
      <c r="E20" s="215" t="s">
        <v>3755</v>
      </c>
      <c r="F20" s="222"/>
      <c r="G20" s="64" t="s">
        <v>259</v>
      </c>
      <c r="H20" s="64"/>
      <c r="I20" s="64"/>
      <c r="J20" s="64"/>
      <c r="K20" s="64" t="s">
        <v>3756</v>
      </c>
      <c r="L20" s="211"/>
      <c r="M20" s="154" t="e">
        <f>VLOOKUP(Table210[[#This Row],[Data Element]],Lookups2!AM:AN,2,FALSE)</f>
        <v>#N/A</v>
      </c>
      <c r="N20" s="64"/>
      <c r="O20" s="64"/>
      <c r="P20" s="64"/>
      <c r="Q20" s="64"/>
      <c r="R20" s="64"/>
      <c r="S20" s="64" t="s">
        <v>387</v>
      </c>
      <c r="T20" s="64"/>
      <c r="U20" s="64"/>
      <c r="V20" s="64" t="s">
        <v>662</v>
      </c>
      <c r="W20" s="64"/>
      <c r="X20" s="64"/>
      <c r="Y20" s="72"/>
    </row>
    <row r="21" spans="1:25" x14ac:dyDescent="0.2">
      <c r="A21" s="150" t="s">
        <v>3459</v>
      </c>
      <c r="B21" s="69"/>
      <c r="D21" s="217">
        <v>12</v>
      </c>
      <c r="E21" s="215" t="s">
        <v>3757</v>
      </c>
      <c r="F21" s="222"/>
      <c r="G21" s="64" t="s">
        <v>259</v>
      </c>
      <c r="H21" s="64"/>
      <c r="I21" s="64"/>
      <c r="J21" s="64"/>
      <c r="K21" s="64" t="s">
        <v>3758</v>
      </c>
      <c r="L21" s="211"/>
      <c r="M21" s="154" t="e">
        <f>VLOOKUP(Table210[[#This Row],[Data Element]],Lookups2!AM:AN,2,FALSE)</f>
        <v>#N/A</v>
      </c>
      <c r="N21" s="64"/>
      <c r="O21" s="64"/>
      <c r="P21" s="64"/>
      <c r="Q21" s="64"/>
      <c r="R21" s="64"/>
      <c r="S21" s="64" t="s">
        <v>387</v>
      </c>
      <c r="T21" s="64"/>
      <c r="U21" s="64"/>
      <c r="V21" s="64" t="s">
        <v>662</v>
      </c>
      <c r="W21" s="64"/>
      <c r="X21" s="64"/>
      <c r="Y21" s="72"/>
    </row>
    <row r="22" spans="1:25" x14ac:dyDescent="0.2">
      <c r="A22" s="151" t="s">
        <v>3460</v>
      </c>
      <c r="B22" s="84" t="s">
        <v>276</v>
      </c>
      <c r="D22" s="217">
        <v>13</v>
      </c>
      <c r="E22" s="215" t="s">
        <v>3759</v>
      </c>
      <c r="F22" s="222"/>
      <c r="G22" s="64" t="s">
        <v>259</v>
      </c>
      <c r="H22" s="64"/>
      <c r="I22" s="64"/>
      <c r="J22" s="64"/>
      <c r="K22" s="64" t="s">
        <v>3760</v>
      </c>
      <c r="L22" s="211"/>
      <c r="M22" s="154" t="e">
        <f>VLOOKUP(Table210[[#This Row],[Data Element]],Lookups2!AM:AN,2,FALSE)</f>
        <v>#N/A</v>
      </c>
      <c r="N22" s="64"/>
      <c r="O22" s="64"/>
      <c r="P22" s="64"/>
      <c r="Q22" s="64"/>
      <c r="R22" s="64"/>
      <c r="S22" s="64" t="s">
        <v>387</v>
      </c>
      <c r="T22" s="64"/>
      <c r="U22" s="64"/>
      <c r="V22" s="64" t="s">
        <v>662</v>
      </c>
      <c r="W22" s="64"/>
      <c r="X22" s="64"/>
      <c r="Y22" s="72"/>
    </row>
    <row r="23" spans="1:25" x14ac:dyDescent="0.2">
      <c r="A23" s="151" t="s">
        <v>3461</v>
      </c>
      <c r="B23" s="84" t="s">
        <v>276</v>
      </c>
      <c r="D23" s="217">
        <v>14</v>
      </c>
      <c r="E23" s="215" t="s">
        <v>3761</v>
      </c>
      <c r="F23" s="222"/>
      <c r="G23" s="64" t="s">
        <v>259</v>
      </c>
      <c r="H23" s="64"/>
      <c r="I23" s="64"/>
      <c r="J23" s="64"/>
      <c r="K23" s="64" t="s">
        <v>3762</v>
      </c>
      <c r="L23" s="211"/>
      <c r="M23" s="154" t="e">
        <f>VLOOKUP(Table210[[#This Row],[Data Element]],Lookups2!AM:AN,2,FALSE)</f>
        <v>#N/A</v>
      </c>
      <c r="N23" s="64"/>
      <c r="O23" s="64"/>
      <c r="P23" s="64"/>
      <c r="Q23" s="64"/>
      <c r="R23" s="64"/>
      <c r="S23" s="64" t="s">
        <v>387</v>
      </c>
      <c r="T23" s="64"/>
      <c r="U23" s="64"/>
      <c r="V23" s="64" t="s">
        <v>662</v>
      </c>
      <c r="W23" s="64"/>
      <c r="X23" s="64"/>
      <c r="Y23" s="72"/>
    </row>
    <row r="24" spans="1:25" x14ac:dyDescent="0.2">
      <c r="A24" s="151" t="s">
        <v>3462</v>
      </c>
      <c r="B24" s="84" t="s">
        <v>276</v>
      </c>
      <c r="D24" s="217">
        <v>15</v>
      </c>
      <c r="E24" s="215" t="s">
        <v>3763</v>
      </c>
      <c r="F24" s="222"/>
      <c r="G24" s="64" t="s">
        <v>460</v>
      </c>
      <c r="H24" s="64"/>
      <c r="I24" s="64"/>
      <c r="J24" s="64"/>
      <c r="K24" s="64" t="s">
        <v>3764</v>
      </c>
      <c r="L24" s="211"/>
      <c r="M24" s="154" t="e">
        <f>VLOOKUP(Table210[[#This Row],[Data Element]],Lookups2!AM:AN,2,FALSE)</f>
        <v>#N/A</v>
      </c>
      <c r="N24" s="64"/>
      <c r="O24" s="64"/>
      <c r="P24" s="64"/>
      <c r="Q24" s="64"/>
      <c r="R24" s="64"/>
      <c r="S24" s="64" t="s">
        <v>387</v>
      </c>
      <c r="T24" s="64"/>
      <c r="U24" s="64"/>
      <c r="V24" s="64" t="s">
        <v>662</v>
      </c>
      <c r="W24" s="64"/>
      <c r="X24" s="64"/>
      <c r="Y24" s="72"/>
    </row>
    <row r="25" spans="1:25" x14ac:dyDescent="0.2">
      <c r="A25" s="151" t="s">
        <v>3463</v>
      </c>
      <c r="B25" s="84" t="s">
        <v>276</v>
      </c>
      <c r="D25" s="217">
        <v>16</v>
      </c>
      <c r="E25" s="215" t="s">
        <v>3765</v>
      </c>
      <c r="F25" s="222"/>
      <c r="G25" s="64" t="s">
        <v>259</v>
      </c>
      <c r="H25" s="64"/>
      <c r="I25" s="64"/>
      <c r="J25" s="64"/>
      <c r="K25" s="64" t="s">
        <v>3766</v>
      </c>
      <c r="L25" s="211"/>
      <c r="M25" s="154" t="e">
        <f>VLOOKUP(Table210[[#This Row],[Data Element]],Lookups2!AM:AN,2,FALSE)</f>
        <v>#N/A</v>
      </c>
      <c r="N25" s="64"/>
      <c r="O25" s="64"/>
      <c r="P25" s="64"/>
      <c r="Q25" s="64"/>
      <c r="R25" s="64"/>
      <c r="S25" s="64" t="s">
        <v>387</v>
      </c>
      <c r="T25" s="64"/>
      <c r="U25" s="64"/>
      <c r="V25" s="64" t="s">
        <v>662</v>
      </c>
      <c r="W25" s="64"/>
      <c r="X25" s="64"/>
      <c r="Y25" s="72"/>
    </row>
    <row r="26" spans="1:25" x14ac:dyDescent="0.2">
      <c r="A26" s="151" t="s">
        <v>3464</v>
      </c>
      <c r="B26" s="84" t="s">
        <v>276</v>
      </c>
      <c r="D26" s="217">
        <v>17</v>
      </c>
      <c r="E26" s="219" t="s">
        <v>3715</v>
      </c>
      <c r="F26" s="223"/>
      <c r="G26" s="64" t="s">
        <v>10</v>
      </c>
      <c r="H26" s="64"/>
      <c r="I26" s="220" t="s">
        <v>3684</v>
      </c>
      <c r="J26" s="64"/>
      <c r="K26" s="64" t="s">
        <v>3685</v>
      </c>
      <c r="L26" s="211"/>
      <c r="M26" s="154" t="e">
        <f>VLOOKUP(Table210[[#This Row],[Data Element]],Lookups2!AM:AN,2,FALSE)</f>
        <v>#N/A</v>
      </c>
      <c r="N26" s="64"/>
      <c r="O26" s="64"/>
      <c r="P26" s="64"/>
      <c r="Q26" s="64"/>
      <c r="R26" s="64"/>
      <c r="S26" s="64" t="s">
        <v>387</v>
      </c>
      <c r="T26" s="64"/>
      <c r="U26" s="64"/>
      <c r="V26" s="64" t="s">
        <v>662</v>
      </c>
      <c r="W26" s="64"/>
      <c r="X26" s="64"/>
      <c r="Y26" s="72"/>
    </row>
    <row r="27" spans="1:25" x14ac:dyDescent="0.2">
      <c r="A27" s="173" t="s">
        <v>3465</v>
      </c>
      <c r="B27" s="84"/>
      <c r="D27" s="217">
        <v>18</v>
      </c>
      <c r="E27" s="218" t="s">
        <v>3767</v>
      </c>
      <c r="F27" s="222"/>
      <c r="G27" s="64" t="s">
        <v>487</v>
      </c>
      <c r="H27" s="64"/>
      <c r="I27" s="64"/>
      <c r="J27" s="64"/>
      <c r="K27" s="64" t="s">
        <v>3768</v>
      </c>
      <c r="L27" s="211"/>
      <c r="M27" s="154" t="e">
        <f>VLOOKUP(Table210[[#This Row],[Data Element]],Lookups2!AM:AN,2,FALSE)</f>
        <v>#N/A</v>
      </c>
      <c r="N27" s="64"/>
      <c r="O27" s="64"/>
      <c r="P27" s="64"/>
      <c r="Q27" s="64"/>
      <c r="R27" s="64"/>
      <c r="S27" s="64" t="s">
        <v>387</v>
      </c>
      <c r="T27" s="64"/>
      <c r="U27" s="64"/>
      <c r="V27" s="64" t="s">
        <v>662</v>
      </c>
      <c r="W27" s="64"/>
      <c r="X27" s="64"/>
      <c r="Y27" s="72"/>
    </row>
    <row r="28" spans="1:25" x14ac:dyDescent="0.2">
      <c r="A28" s="149"/>
      <c r="B28" s="26"/>
      <c r="D28" s="217">
        <v>19</v>
      </c>
      <c r="E28" s="215" t="s">
        <v>3769</v>
      </c>
      <c r="F28" s="222"/>
      <c r="G28" s="64" t="s">
        <v>259</v>
      </c>
      <c r="H28" s="64"/>
      <c r="I28" s="64"/>
      <c r="J28" s="64"/>
      <c r="K28" s="64" t="s">
        <v>3770</v>
      </c>
      <c r="L28" s="211"/>
      <c r="M28" s="154" t="e">
        <f>VLOOKUP(Table210[[#This Row],[Data Element]],Lookups2!AM:AN,2,FALSE)</f>
        <v>#N/A</v>
      </c>
      <c r="N28" s="64"/>
      <c r="O28" s="64"/>
      <c r="P28" s="64"/>
      <c r="Q28" s="64"/>
      <c r="R28" s="64"/>
      <c r="S28" s="64" t="s">
        <v>387</v>
      </c>
      <c r="T28" s="64"/>
      <c r="U28" s="64"/>
      <c r="V28" s="64" t="s">
        <v>662</v>
      </c>
      <c r="W28" s="64"/>
      <c r="X28" s="64"/>
      <c r="Y28" s="72"/>
    </row>
    <row r="29" spans="1:25" x14ac:dyDescent="0.2">
      <c r="A29" s="65" t="s">
        <v>3446</v>
      </c>
      <c r="B29" s="69"/>
      <c r="D29" s="217">
        <v>20</v>
      </c>
      <c r="E29" s="218" t="s">
        <v>3771</v>
      </c>
      <c r="F29" s="222"/>
      <c r="G29" s="64" t="s">
        <v>487</v>
      </c>
      <c r="H29" s="64"/>
      <c r="I29" s="64"/>
      <c r="J29" s="64"/>
      <c r="K29" s="64" t="s">
        <v>3772</v>
      </c>
      <c r="L29" s="211"/>
      <c r="M29" s="154" t="e">
        <f>VLOOKUP(Table210[[#This Row],[Data Element]],Lookups2!AM:AN,2,FALSE)</f>
        <v>#N/A</v>
      </c>
      <c r="N29" s="64"/>
      <c r="O29" s="64"/>
      <c r="P29" s="64"/>
      <c r="Q29" s="64"/>
      <c r="R29" s="64"/>
      <c r="S29" s="64" t="s">
        <v>387</v>
      </c>
      <c r="T29" s="64"/>
      <c r="U29" s="64"/>
      <c r="V29" s="64" t="s">
        <v>662</v>
      </c>
      <c r="W29" s="64"/>
      <c r="X29" s="64"/>
      <c r="Y29" s="72"/>
    </row>
    <row r="30" spans="1:25" x14ac:dyDescent="0.2">
      <c r="A30" s="134" t="s">
        <v>3466</v>
      </c>
      <c r="B30" s="84" t="s">
        <v>387</v>
      </c>
      <c r="D30" s="217">
        <v>21</v>
      </c>
      <c r="E30" s="215" t="s">
        <v>3773</v>
      </c>
      <c r="F30" s="222"/>
      <c r="G30" s="64" t="s">
        <v>10</v>
      </c>
      <c r="H30" s="64"/>
      <c r="I30" s="220" t="s">
        <v>3684</v>
      </c>
      <c r="J30" s="64"/>
      <c r="K30" s="64" t="s">
        <v>3685</v>
      </c>
      <c r="L30" s="211"/>
      <c r="M30" s="154" t="e">
        <f>VLOOKUP(Table210[[#This Row],[Data Element]],Lookups2!AM:AN,2,FALSE)</f>
        <v>#N/A</v>
      </c>
      <c r="N30" s="64"/>
      <c r="O30" s="64"/>
      <c r="P30" s="64"/>
      <c r="Q30" s="64"/>
      <c r="R30" s="64"/>
      <c r="S30" s="64" t="s">
        <v>387</v>
      </c>
      <c r="T30" s="64"/>
      <c r="U30" s="64"/>
      <c r="V30" s="64" t="s">
        <v>662</v>
      </c>
      <c r="W30" s="64"/>
      <c r="X30" s="64"/>
      <c r="Y30" s="72"/>
    </row>
    <row r="31" spans="1:25" x14ac:dyDescent="0.2">
      <c r="A31" s="8"/>
      <c r="B31" s="9"/>
      <c r="D31" s="217">
        <v>22</v>
      </c>
      <c r="E31" s="215" t="s">
        <v>3774</v>
      </c>
      <c r="F31" s="222"/>
      <c r="G31" s="64" t="s">
        <v>259</v>
      </c>
      <c r="H31" s="64"/>
      <c r="I31" s="64"/>
      <c r="J31" s="64"/>
      <c r="K31" s="64" t="s">
        <v>3775</v>
      </c>
      <c r="L31" s="211"/>
      <c r="M31" s="154" t="e">
        <f>VLOOKUP(Table210[[#This Row],[Data Element]],Lookups2!AM:AN,2,FALSE)</f>
        <v>#N/A</v>
      </c>
      <c r="N31" s="64"/>
      <c r="O31" s="64"/>
      <c r="P31" s="64"/>
      <c r="Q31" s="64"/>
      <c r="R31" s="64"/>
      <c r="S31" s="64" t="s">
        <v>387</v>
      </c>
      <c r="T31" s="64"/>
      <c r="U31" s="64"/>
      <c r="V31" s="64" t="s">
        <v>662</v>
      </c>
      <c r="W31" s="64"/>
      <c r="X31" s="64"/>
      <c r="Y31" s="72"/>
    </row>
    <row r="32" spans="1:25" x14ac:dyDescent="0.2">
      <c r="A32" s="65" t="s">
        <v>3467</v>
      </c>
      <c r="B32" s="69"/>
      <c r="D32" s="217">
        <v>23</v>
      </c>
      <c r="E32" s="215" t="s">
        <v>3776</v>
      </c>
      <c r="F32" s="222"/>
      <c r="G32" s="64" t="s">
        <v>487</v>
      </c>
      <c r="H32" s="64"/>
      <c r="I32" s="64"/>
      <c r="J32" s="64"/>
      <c r="K32" s="64" t="s">
        <v>3777</v>
      </c>
      <c r="L32" s="211"/>
      <c r="M32" s="154" t="e">
        <f>VLOOKUP(Table210[[#This Row],[Data Element]],Lookups2!AM:AN,2,FALSE)</f>
        <v>#N/A</v>
      </c>
      <c r="N32" s="64"/>
      <c r="O32" s="64"/>
      <c r="P32" s="64"/>
      <c r="Q32" s="64"/>
      <c r="R32" s="64"/>
      <c r="S32" s="64" t="s">
        <v>387</v>
      </c>
      <c r="T32" s="64"/>
      <c r="U32" s="64"/>
      <c r="V32" s="64" t="s">
        <v>662</v>
      </c>
      <c r="W32" s="64"/>
      <c r="X32" s="64"/>
      <c r="Y32" s="72"/>
    </row>
    <row r="33" spans="1:25" ht="14.25" x14ac:dyDescent="0.25">
      <c r="A33" s="134" t="s">
        <v>232</v>
      </c>
      <c r="B33" s="176" t="s">
        <v>377</v>
      </c>
      <c r="D33" s="217">
        <v>24</v>
      </c>
      <c r="E33" s="215" t="s">
        <v>3778</v>
      </c>
      <c r="F33" s="222"/>
      <c r="G33" s="64" t="s">
        <v>259</v>
      </c>
      <c r="H33" s="64"/>
      <c r="I33" s="64"/>
      <c r="J33" s="64"/>
      <c r="K33" s="64" t="s">
        <v>3779</v>
      </c>
      <c r="L33" s="211"/>
      <c r="M33" s="154" t="e">
        <f>VLOOKUP(Table210[[#This Row],[Data Element]],Lookups2!AM:AN,2,FALSE)</f>
        <v>#N/A</v>
      </c>
      <c r="N33" s="64"/>
      <c r="O33" s="64"/>
      <c r="P33" s="64"/>
      <c r="Q33" s="64"/>
      <c r="R33" s="64"/>
      <c r="S33" s="64" t="s">
        <v>387</v>
      </c>
      <c r="T33" s="64"/>
      <c r="U33" s="64"/>
      <c r="V33" s="64" t="s">
        <v>662</v>
      </c>
      <c r="W33" s="64"/>
      <c r="X33" s="64"/>
      <c r="Y33" s="72"/>
    </row>
    <row r="34" spans="1:25" x14ac:dyDescent="0.2">
      <c r="A34" s="67" t="s">
        <v>3468</v>
      </c>
      <c r="B34" s="68"/>
      <c r="D34" s="217">
        <v>25</v>
      </c>
      <c r="E34" s="215" t="s">
        <v>3728</v>
      </c>
      <c r="F34" s="222"/>
      <c r="G34" s="64" t="s">
        <v>460</v>
      </c>
      <c r="H34" s="64"/>
      <c r="I34" s="64"/>
      <c r="J34" s="64"/>
      <c r="K34" s="214" t="s">
        <v>3729</v>
      </c>
      <c r="L34" s="211"/>
      <c r="M34" s="154" t="e">
        <f>VLOOKUP(Table210[[#This Row],[Data Element]],Lookups2!AM:AN,2,FALSE)</f>
        <v>#N/A</v>
      </c>
      <c r="N34" s="64"/>
      <c r="O34" s="64"/>
      <c r="P34" s="64"/>
      <c r="Q34" s="64"/>
      <c r="R34" s="64"/>
      <c r="S34" s="64" t="s">
        <v>387</v>
      </c>
      <c r="T34" s="64"/>
      <c r="U34" s="64"/>
      <c r="V34" s="64" t="s">
        <v>662</v>
      </c>
      <c r="W34" s="64"/>
      <c r="X34" s="64"/>
      <c r="Y34" s="72"/>
    </row>
    <row r="35" spans="1:25" ht="14.25" x14ac:dyDescent="0.25">
      <c r="A35" s="73"/>
      <c r="B35" s="73"/>
      <c r="D35" s="217">
        <v>26</v>
      </c>
      <c r="E35" s="215" t="s">
        <v>3780</v>
      </c>
      <c r="F35" s="222"/>
      <c r="G35" s="64" t="s">
        <v>259</v>
      </c>
      <c r="H35" s="64"/>
      <c r="I35" s="64"/>
      <c r="J35" s="64"/>
      <c r="K35" s="64" t="s">
        <v>3781</v>
      </c>
      <c r="L35" s="211"/>
      <c r="M35" s="154" t="e">
        <f>VLOOKUP(Table210[[#This Row],[Data Element]],Lookups2!AM:AN,2,FALSE)</f>
        <v>#N/A</v>
      </c>
      <c r="N35" s="64"/>
      <c r="O35" s="64"/>
      <c r="P35" s="64"/>
      <c r="Q35" s="64"/>
      <c r="R35" s="64"/>
      <c r="S35" s="64" t="s">
        <v>387</v>
      </c>
      <c r="T35" s="64"/>
      <c r="U35" s="64"/>
      <c r="V35" s="64" t="s">
        <v>662</v>
      </c>
      <c r="W35" s="64"/>
      <c r="X35" s="64"/>
      <c r="Y35" s="72"/>
    </row>
    <row r="36" spans="1:25" x14ac:dyDescent="0.2">
      <c r="A36" s="65" t="s">
        <v>754</v>
      </c>
      <c r="B36" s="69"/>
      <c r="D36" s="217">
        <v>27</v>
      </c>
      <c r="E36" s="215" t="s">
        <v>3782</v>
      </c>
      <c r="F36" s="222"/>
      <c r="G36" s="64" t="s">
        <v>259</v>
      </c>
      <c r="H36" s="64"/>
      <c r="I36" s="64"/>
      <c r="J36" s="64"/>
      <c r="K36" s="64" t="s">
        <v>3783</v>
      </c>
      <c r="L36" s="211"/>
      <c r="M36" s="154" t="e">
        <f>VLOOKUP(Table210[[#This Row],[Data Element]],Lookups2!AM:AN,2,FALSE)</f>
        <v>#N/A</v>
      </c>
      <c r="N36" s="64"/>
      <c r="O36" s="64"/>
      <c r="P36" s="64"/>
      <c r="Q36" s="64"/>
      <c r="R36" s="64"/>
      <c r="S36" s="64" t="s">
        <v>387</v>
      </c>
      <c r="T36" s="64"/>
      <c r="U36" s="64"/>
      <c r="V36" s="64" t="s">
        <v>662</v>
      </c>
      <c r="W36" s="64"/>
      <c r="X36" s="64"/>
      <c r="Y36" s="72"/>
    </row>
    <row r="37" spans="1:25" ht="14.25" x14ac:dyDescent="0.25">
      <c r="A37" s="135" t="s">
        <v>3469</v>
      </c>
      <c r="B37" s="70" t="s">
        <v>3687</v>
      </c>
      <c r="D37" s="217">
        <v>28</v>
      </c>
      <c r="E37" s="215" t="s">
        <v>3784</v>
      </c>
      <c r="F37" s="222"/>
      <c r="G37" s="64" t="s">
        <v>259</v>
      </c>
      <c r="H37" s="64"/>
      <c r="I37" s="64"/>
      <c r="J37" s="64"/>
      <c r="K37" s="64" t="s">
        <v>3785</v>
      </c>
      <c r="L37" s="211"/>
      <c r="M37" s="154" t="e">
        <f>VLOOKUP(Table210[[#This Row],[Data Element]],Lookups2!AM:AN,2,FALSE)</f>
        <v>#N/A</v>
      </c>
      <c r="N37" s="64"/>
      <c r="O37" s="64"/>
      <c r="P37" s="64"/>
      <c r="Q37" s="64"/>
      <c r="R37" s="64"/>
      <c r="S37" s="64" t="s">
        <v>387</v>
      </c>
      <c r="T37" s="64"/>
      <c r="U37" s="64"/>
      <c r="V37" s="64" t="s">
        <v>662</v>
      </c>
      <c r="W37" s="64"/>
      <c r="X37" s="64"/>
      <c r="Y37" s="72"/>
    </row>
    <row r="38" spans="1:25" x14ac:dyDescent="0.2">
      <c r="A38" s="136" t="s">
        <v>3470</v>
      </c>
      <c r="B38" s="68" t="s">
        <v>3687</v>
      </c>
      <c r="D38" s="217">
        <v>29</v>
      </c>
      <c r="E38" s="215" t="s">
        <v>3786</v>
      </c>
      <c r="F38" s="222"/>
      <c r="G38" s="64" t="s">
        <v>259</v>
      </c>
      <c r="H38" s="64"/>
      <c r="I38" s="64"/>
      <c r="J38" s="64"/>
      <c r="K38" s="64" t="s">
        <v>3787</v>
      </c>
      <c r="L38" s="211"/>
      <c r="M38" s="154" t="e">
        <f>VLOOKUP(Table210[[#This Row],[Data Element]],Lookups2!AM:AN,2,FALSE)</f>
        <v>#N/A</v>
      </c>
      <c r="N38" s="64"/>
      <c r="O38" s="64"/>
      <c r="P38" s="64"/>
      <c r="Q38" s="64"/>
      <c r="R38" s="64"/>
      <c r="S38" s="64" t="s">
        <v>387</v>
      </c>
      <c r="T38" s="64"/>
      <c r="U38" s="64"/>
      <c r="V38" s="64" t="s">
        <v>662</v>
      </c>
      <c r="W38" s="64"/>
      <c r="X38" s="64"/>
      <c r="Y38" s="72"/>
    </row>
    <row r="39" spans="1:25" x14ac:dyDescent="0.2">
      <c r="D39" s="217">
        <v>30</v>
      </c>
      <c r="E39" s="218" t="s">
        <v>3788</v>
      </c>
      <c r="F39" s="222"/>
      <c r="G39" s="64" t="s">
        <v>487</v>
      </c>
      <c r="H39" s="64"/>
      <c r="I39" s="64"/>
      <c r="J39" s="64"/>
      <c r="K39" s="64" t="s">
        <v>3789</v>
      </c>
      <c r="L39" s="211"/>
      <c r="M39" s="154" t="e">
        <f>VLOOKUP(Table210[[#This Row],[Data Element]],Lookups2!AM:AN,2,FALSE)</f>
        <v>#N/A</v>
      </c>
      <c r="N39" s="64"/>
      <c r="O39" s="64"/>
      <c r="P39" s="64"/>
      <c r="Q39" s="64"/>
      <c r="R39" s="64"/>
      <c r="S39" s="64" t="s">
        <v>387</v>
      </c>
      <c r="T39" s="64"/>
      <c r="U39" s="64"/>
      <c r="V39" s="64" t="s">
        <v>662</v>
      </c>
      <c r="W39" s="64"/>
      <c r="X39" s="64"/>
      <c r="Y39" s="72"/>
    </row>
    <row r="40" spans="1:25" x14ac:dyDescent="0.2">
      <c r="A40" s="65" t="s">
        <v>3471</v>
      </c>
      <c r="B40" s="66"/>
      <c r="D40" s="217">
        <v>31</v>
      </c>
      <c r="E40" s="215" t="s">
        <v>3790</v>
      </c>
      <c r="F40" s="222"/>
      <c r="G40" s="64" t="s">
        <v>259</v>
      </c>
      <c r="H40" s="64"/>
      <c r="I40" s="64"/>
      <c r="J40" s="64"/>
      <c r="K40" s="64" t="s">
        <v>3791</v>
      </c>
      <c r="L40" s="211"/>
      <c r="M40" s="154" t="e">
        <f>VLOOKUP(Table210[[#This Row],[Data Element]],Lookups2!AM:AN,2,FALSE)</f>
        <v>#N/A</v>
      </c>
      <c r="N40" s="64"/>
      <c r="O40" s="64"/>
      <c r="P40" s="64"/>
      <c r="Q40" s="64"/>
      <c r="R40" s="64"/>
      <c r="S40" s="64" t="s">
        <v>387</v>
      </c>
      <c r="T40" s="64"/>
      <c r="U40" s="64"/>
      <c r="V40" s="64" t="s">
        <v>662</v>
      </c>
      <c r="W40" s="64"/>
      <c r="X40" s="64"/>
      <c r="Y40" s="72"/>
    </row>
    <row r="41" spans="1:25" ht="14.25" x14ac:dyDescent="0.25">
      <c r="A41" s="152" t="s">
        <v>3472</v>
      </c>
      <c r="B41" s="70" t="s">
        <v>3687</v>
      </c>
      <c r="D41" s="217">
        <v>32</v>
      </c>
      <c r="E41" s="215" t="s">
        <v>3792</v>
      </c>
      <c r="F41" s="222"/>
      <c r="G41" s="64" t="s">
        <v>460</v>
      </c>
      <c r="H41" s="64"/>
      <c r="I41" s="64"/>
      <c r="J41" s="64"/>
      <c r="K41" s="64" t="s">
        <v>3793</v>
      </c>
      <c r="L41" s="211"/>
      <c r="M41" s="154" t="e">
        <f>VLOOKUP(Table210[[#This Row],[Data Element]],Lookups2!AM:AN,2,FALSE)</f>
        <v>#N/A</v>
      </c>
      <c r="N41" s="64"/>
      <c r="O41" s="64"/>
      <c r="P41" s="64"/>
      <c r="Q41" s="64"/>
      <c r="R41" s="64"/>
      <c r="S41" s="64" t="s">
        <v>387</v>
      </c>
      <c r="T41" s="64"/>
      <c r="U41" s="64"/>
      <c r="V41" s="64" t="s">
        <v>662</v>
      </c>
      <c r="W41" s="64"/>
      <c r="X41" s="64"/>
      <c r="Y41" s="72"/>
    </row>
    <row r="42" spans="1:25" x14ac:dyDescent="0.2">
      <c r="A42" s="152" t="s">
        <v>3473</v>
      </c>
      <c r="B42" s="68" t="s">
        <v>3687</v>
      </c>
      <c r="D42" s="217">
        <v>33</v>
      </c>
      <c r="E42" s="215" t="s">
        <v>3794</v>
      </c>
      <c r="F42" s="222"/>
      <c r="G42" s="64" t="s">
        <v>460</v>
      </c>
      <c r="H42" s="64"/>
      <c r="I42" s="64"/>
      <c r="J42" s="64"/>
      <c r="K42" s="64" t="s">
        <v>3795</v>
      </c>
      <c r="L42" s="211"/>
      <c r="M42" s="154" t="e">
        <f>VLOOKUP(Table210[[#This Row],[Data Element]],Lookups2!AM:AN,2,FALSE)</f>
        <v>#N/A</v>
      </c>
      <c r="N42" s="64"/>
      <c r="O42" s="64"/>
      <c r="P42" s="64"/>
      <c r="Q42" s="64"/>
      <c r="R42" s="64"/>
      <c r="S42" s="64" t="s">
        <v>387</v>
      </c>
      <c r="T42" s="64"/>
      <c r="U42" s="64"/>
      <c r="V42" s="64" t="s">
        <v>662</v>
      </c>
      <c r="W42" s="64"/>
      <c r="X42" s="64"/>
      <c r="Y42" s="72"/>
    </row>
    <row r="43" spans="1:25" x14ac:dyDescent="0.2">
      <c r="D43" s="217">
        <v>34</v>
      </c>
      <c r="E43" s="215" t="s">
        <v>3796</v>
      </c>
      <c r="F43" s="222"/>
      <c r="G43" s="64" t="s">
        <v>259</v>
      </c>
      <c r="H43" s="64"/>
      <c r="I43" s="64"/>
      <c r="J43" s="64"/>
      <c r="K43" s="64" t="s">
        <v>3797</v>
      </c>
      <c r="L43" s="211"/>
      <c r="M43" s="154" t="e">
        <f>VLOOKUP(Table210[[#This Row],[Data Element]],Lookups2!AM:AN,2,FALSE)</f>
        <v>#N/A</v>
      </c>
      <c r="N43" s="64"/>
      <c r="O43" s="64"/>
      <c r="P43" s="64"/>
      <c r="Q43" s="64"/>
      <c r="R43" s="64"/>
      <c r="S43" s="64" t="s">
        <v>387</v>
      </c>
      <c r="T43" s="64"/>
      <c r="U43" s="64"/>
      <c r="V43" s="64" t="s">
        <v>662</v>
      </c>
      <c r="W43" s="64"/>
      <c r="X43" s="64"/>
      <c r="Y43" s="72"/>
    </row>
    <row r="44" spans="1:25" x14ac:dyDescent="0.2">
      <c r="A44" s="250" t="s">
        <v>3474</v>
      </c>
      <c r="B44" s="251"/>
    </row>
    <row r="45" spans="1:25" x14ac:dyDescent="0.2">
      <c r="A45" s="131" t="s">
        <v>3475</v>
      </c>
      <c r="B45" s="12" t="s">
        <v>255</v>
      </c>
    </row>
    <row r="46" spans="1:25" x14ac:dyDescent="0.2">
      <c r="A46" s="132" t="s">
        <v>3476</v>
      </c>
      <c r="B46" s="54" t="s">
        <v>411</v>
      </c>
    </row>
    <row r="47" spans="1:25" x14ac:dyDescent="0.2">
      <c r="A47" s="132" t="s">
        <v>3477</v>
      </c>
      <c r="B47" s="55" t="s">
        <v>3703</v>
      </c>
    </row>
    <row r="48" spans="1:25" x14ac:dyDescent="0.2">
      <c r="A48" s="133" t="s">
        <v>3478</v>
      </c>
      <c r="B48" s="50" t="s">
        <v>411</v>
      </c>
    </row>
    <row r="49" spans="1:2" x14ac:dyDescent="0.2">
      <c r="A49" s="133" t="s">
        <v>3479</v>
      </c>
      <c r="B49" s="55" t="s">
        <v>3703</v>
      </c>
    </row>
    <row r="50" spans="1:2" x14ac:dyDescent="0.2">
      <c r="A50" s="44" t="s">
        <v>3480</v>
      </c>
      <c r="B50" s="28" t="s">
        <v>3572</v>
      </c>
    </row>
    <row r="51" spans="1:2" x14ac:dyDescent="0.2">
      <c r="A51" s="192" t="s">
        <v>3481</v>
      </c>
      <c r="B51" s="356" t="s">
        <v>3798</v>
      </c>
    </row>
    <row r="52" spans="1:2" x14ac:dyDescent="0.2">
      <c r="A52" s="81"/>
      <c r="B52" s="357"/>
    </row>
    <row r="53" spans="1:2" x14ac:dyDescent="0.2">
      <c r="A53" s="81"/>
      <c r="B53" s="357"/>
    </row>
    <row r="54" spans="1:2" x14ac:dyDescent="0.2">
      <c r="A54" s="81"/>
      <c r="B54" s="357"/>
    </row>
    <row r="55" spans="1:2" x14ac:dyDescent="0.2">
      <c r="A55" s="81"/>
      <c r="B55" s="357"/>
    </row>
    <row r="56" spans="1:2" x14ac:dyDescent="0.2">
      <c r="A56" s="81"/>
      <c r="B56" s="357"/>
    </row>
    <row r="57" spans="1:2" x14ac:dyDescent="0.2">
      <c r="A57" s="81"/>
      <c r="B57" s="357"/>
    </row>
    <row r="58" spans="1:2" x14ac:dyDescent="0.2">
      <c r="A58" s="82"/>
      <c r="B58" s="358"/>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929" priority="32" operator="equal">
      <formula>"?"</formula>
    </cfRule>
  </conditionalFormatting>
  <conditionalFormatting sqref="B22:B26">
    <cfRule type="cellIs" dxfId="928" priority="17" operator="equal">
      <formula>"&lt;unk.&gt;"</formula>
    </cfRule>
  </conditionalFormatting>
  <conditionalFormatting sqref="B27">
    <cfRule type="cellIs" dxfId="927" priority="16" operator="equal">
      <formula>"&lt;unk.&gt;"</formula>
    </cfRule>
  </conditionalFormatting>
  <conditionalFormatting sqref="B30">
    <cfRule type="cellIs" dxfId="926" priority="15" operator="equal">
      <formula>"&lt;unk.&gt;"</formula>
    </cfRule>
  </conditionalFormatting>
  <conditionalFormatting sqref="B47:B48">
    <cfRule type="cellIs" dxfId="925" priority="14" operator="equal">
      <formula>"&lt;unk.&gt;"</formula>
    </cfRule>
  </conditionalFormatting>
  <conditionalFormatting sqref="B45">
    <cfRule type="cellIs" dxfId="924" priority="13" operator="equal">
      <formula>"&lt;unk.&gt;"</formula>
    </cfRule>
  </conditionalFormatting>
  <conditionalFormatting sqref="B66">
    <cfRule type="cellIs" dxfId="923" priority="26" operator="equal">
      <formula>"&lt;unk.&gt;"</formula>
    </cfRule>
  </conditionalFormatting>
  <conditionalFormatting sqref="B64">
    <cfRule type="cellIs" dxfId="922" priority="25" operator="equal">
      <formula>"&lt;unk.&gt;"</formula>
    </cfRule>
  </conditionalFormatting>
  <conditionalFormatting sqref="B65">
    <cfRule type="cellIs" dxfId="921" priority="24" operator="equal">
      <formula>"&lt;unk.&gt;"</formula>
    </cfRule>
  </conditionalFormatting>
  <conditionalFormatting sqref="B92:B93">
    <cfRule type="cellIs" dxfId="920" priority="23" operator="equal">
      <formula>"&lt;unk.&gt;"</formula>
    </cfRule>
  </conditionalFormatting>
  <conditionalFormatting sqref="B90">
    <cfRule type="cellIs" dxfId="919" priority="22" operator="equal">
      <formula>"&lt;unk.&gt;"</formula>
    </cfRule>
  </conditionalFormatting>
  <conditionalFormatting sqref="B91">
    <cfRule type="cellIs" dxfId="918" priority="21" operator="equal">
      <formula>"&lt;unk.&gt;"</formula>
    </cfRule>
  </conditionalFormatting>
  <conditionalFormatting sqref="B94">
    <cfRule type="cellIs" dxfId="917" priority="20" operator="equal">
      <formula>"&lt;unk.&gt;"</formula>
    </cfRule>
  </conditionalFormatting>
  <conditionalFormatting sqref="B95">
    <cfRule type="cellIs" dxfId="916" priority="19" operator="equal">
      <formula>"&lt;unk.&gt;"</formula>
    </cfRule>
  </conditionalFormatting>
  <conditionalFormatting sqref="B84:B87">
    <cfRule type="cellIs" dxfId="915" priority="18" operator="equal">
      <formula>"&lt;unk.&gt;"</formula>
    </cfRule>
  </conditionalFormatting>
  <conditionalFormatting sqref="B46">
    <cfRule type="cellIs" dxfId="914" priority="12" operator="equal">
      <formula>"&lt;unk.&gt;"</formula>
    </cfRule>
  </conditionalFormatting>
  <conditionalFormatting sqref="B50">
    <cfRule type="cellIs" dxfId="913" priority="11" operator="equal">
      <formula>"&lt;unk.&gt;"</formula>
    </cfRule>
  </conditionalFormatting>
  <conditionalFormatting sqref="B49">
    <cfRule type="cellIs" dxfId="912" priority="10" operator="equal">
      <formula>"&lt;unk.&gt;"</formula>
    </cfRule>
  </conditionalFormatting>
  <conditionalFormatting sqref="D11:E11 E27:E42 E12:E25 D13 D16 D21 D26:E26 D31 D36 D41 D18 D23 D28 D33 D38 D43">
    <cfRule type="expression" dxfId="911" priority="9">
      <formula>MOD(ROW(),2)=0</formula>
    </cfRule>
  </conditionalFormatting>
  <conditionalFormatting sqref="D10:D43">
    <cfRule type="expression" dxfId="910" priority="8">
      <formula>MOD(ROW(),2)=0</formula>
    </cfRule>
  </conditionalFormatting>
  <conditionalFormatting sqref="E10:E43">
    <cfRule type="expression" dxfId="909" priority="7">
      <formula>MOD(ROW(),2)=0</formula>
    </cfRule>
  </conditionalFormatting>
  <conditionalFormatting sqref="I26">
    <cfRule type="expression" dxfId="908" priority="6">
      <formula>MOD(ROW(),2)=0</formula>
    </cfRule>
  </conditionalFormatting>
  <conditionalFormatting sqref="I30">
    <cfRule type="expression" dxfId="907" priority="5">
      <formula>MOD(ROW(),2)=0</formula>
    </cfRule>
  </conditionalFormatting>
  <conditionalFormatting sqref="F11:F42">
    <cfRule type="expression" dxfId="906" priority="4">
      <formula>MOD(ROW(),2)=0</formula>
    </cfRule>
  </conditionalFormatting>
  <conditionalFormatting sqref="F10">
    <cfRule type="expression" dxfId="905" priority="3">
      <formula>MOD(ROW(),2)=0</formula>
    </cfRule>
  </conditionalFormatting>
  <conditionalFormatting sqref="K34">
    <cfRule type="expression" dxfId="904" priority="2">
      <formula>MOD(ROW(),2)=0</formula>
    </cfRule>
  </conditionalFormatting>
  <conditionalFormatting sqref="K34">
    <cfRule type="expression" dxfId="903" priority="1">
      <formula>MOD(ROW(),2)=0</formula>
    </cfRule>
  </conditionalFormatting>
  <dataValidations count="5">
    <dataValidation type="list" allowBlank="1" showInputMessage="1" showErrorMessage="1" sqref="B18" xr:uid="{00000000-0002-0000-1200-000000000000}">
      <formula1>INDIRECT(SUBSTITUTE(SUBSTITUTE(SUBSTITUTE(B17," ","_"),"&amp;",""),"/",""))</formula1>
    </dataValidation>
    <dataValidation type="list" allowBlank="1" showInputMessage="1" showErrorMessage="1" sqref="B22:B26" xr:uid="{00000000-0002-0000-1200-000001000000}">
      <formula1>LYesNo</formula1>
    </dataValidation>
    <dataValidation type="list" allowBlank="1" showInputMessage="1" showErrorMessage="1" sqref="Y10:Y43" xr:uid="{00000000-0002-0000-1200-000002000000}">
      <formula1>INDIRECT($X10)</formula1>
    </dataValidation>
    <dataValidation type="list" allowBlank="1" showInputMessage="1" showErrorMessage="1" sqref="B90 B64 B45" xr:uid="{00000000-0002-0000-1200-000003000000}">
      <formula1>LPeriods</formula1>
    </dataValidation>
    <dataValidation type="list" allowBlank="1" showInputMessage="1" showErrorMessage="1" sqref="B91 B93 B65 B46 B48" xr:uid="{00000000-0002-0000-1200-000004000000}">
      <formula1>LCals</formula1>
    </dataValidation>
  </dataValidations>
  <hyperlinks>
    <hyperlink ref="B12" r:id="rId2" xr:uid="{00000000-0004-0000-12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1200-000005000000}">
          <x14:formula1>
            <xm:f>Lookups2!$K$28:$K$46</xm:f>
          </x14:formula1>
          <xm:sqref>U10:U43</xm:sqref>
        </x14:dataValidation>
        <x14:dataValidation type="list" showInputMessage="1" showErrorMessage="1" xr:uid="{00000000-0002-0000-1200-000006000000}">
          <x14:formula1>
            <xm:f>Lookups2!$AG$2:$AG$28</xm:f>
          </x14:formula1>
          <xm:sqref>B17</xm:sqref>
        </x14:dataValidation>
        <x14:dataValidation type="list" allowBlank="1" showInputMessage="1" showErrorMessage="1" xr:uid="{00000000-0002-0000-1200-000007000000}">
          <x14:formula1>
            <xm:f>Lookups2!$C$8:$C$11</xm:f>
          </x14:formula1>
          <xm:sqref>B30</xm:sqref>
        </x14:dataValidation>
        <x14:dataValidation type="list" allowBlank="1" showInputMessage="1" showErrorMessage="1" xr:uid="{00000000-0002-0000-1200-000008000000}">
          <x14:formula1>
            <xm:f>Lookups2!$Q$15:$Q$20</xm:f>
          </x14:formula1>
          <xm:sqref>G10:G43</xm:sqref>
        </x14:dataValidation>
        <x14:dataValidation type="list" allowBlank="1" showInputMessage="1" showErrorMessage="1" xr:uid="{00000000-0002-0000-1200-000009000000}">
          <x14:formula1>
            <xm:f>Lookups2!$M$35:$M$36</xm:f>
          </x14:formula1>
          <xm:sqref>H10:H43 V10:V43</xm:sqref>
        </x14:dataValidation>
        <x14:dataValidation type="list" allowBlank="1" showInputMessage="1" showErrorMessage="1" xr:uid="{00000000-0002-0000-1200-00000A000000}">
          <x14:formula1>
            <xm:f>EDOAlgo!$A$1:$R$1</xm:f>
          </x14:formula1>
          <xm:sqref>X10:X43</xm:sqref>
        </x14:dataValidation>
        <x14:dataValidation type="list" allowBlank="1" showInputMessage="1" showErrorMessage="1" xr:uid="{00000000-0002-0000-1200-00000B000000}">
          <x14:formula1>
            <xm:f>Lookups2!$M$41:$M$45</xm:f>
          </x14:formula1>
          <xm:sqref>S10:S43</xm:sqref>
        </x14:dataValidation>
        <x14:dataValidation type="list" allowBlank="1" showInputMessage="1" showErrorMessage="1" xr:uid="{00000000-0002-0000-1200-00000C000000}">
          <x14:formula1>
            <xm:f>INDIRECT(Lookups2!$K$9)</xm:f>
          </x14:formula1>
          <xm:sqref>T10:T43</xm:sqref>
        </x14:dataValidation>
        <x14:dataValidation type="list" allowBlank="1" showInputMessage="1" showErrorMessage="1" xr:uid="{00000000-0002-0000-1200-00000D000000}">
          <x14:formula1>
            <xm:f>Lookups2!$C$40:$C$45</xm:f>
          </x14:formula1>
          <xm:sqref>B78</xm:sqref>
        </x14:dataValidation>
        <x14:dataValidation type="list" allowBlank="1" showInputMessage="1" showErrorMessage="1" xr:uid="{00000000-0002-0000-1200-00000E000000}">
          <x14:formula1>
            <xm:f>Lookups2!$AC$2:$AC$3</xm:f>
          </x14:formula1>
          <xm:sqref>B14:B15</xm:sqref>
        </x14:dataValidation>
        <x14:dataValidation type="list" allowBlank="1" showInputMessage="1" showErrorMessage="1" xr:uid="{00000000-0002-0000-1200-00000F000000}">
          <x14:formula1>
            <xm:f>Lookups2!$Y$8:$Y$10</xm:f>
          </x14:formula1>
          <xm:sqref>B33</xm:sqref>
        </x14:dataValidation>
        <x14:dataValidation type="list" allowBlank="1" showInputMessage="1" showErrorMessage="1" xr:uid="{00000000-0002-0000-1200-000010000000}">
          <x14:formula1>
            <xm:f>Lookups2!#REF!</xm:f>
          </x14:formula1>
          <xm:sqref>F10:F43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499984740745262"/>
  </sheetPr>
  <dimension ref="A1:AA110"/>
  <sheetViews>
    <sheetView showGridLines="0" tabSelected="1" zoomScaleNormal="100" workbookViewId="0">
      <pane xSplit="6" ySplit="9" topLeftCell="G10" activePane="bottomRight" state="frozen"/>
      <selection pane="topRight" activeCell="G1" sqref="G1"/>
      <selection pane="bottomLeft" activeCell="A11" sqref="A11"/>
      <selection pane="bottomRight" activeCell="B67" sqref="B67:B74"/>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trader_cds_price</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46" t="s">
        <v>3799</v>
      </c>
      <c r="C4" s="347"/>
      <c r="D4" s="347"/>
      <c r="E4" s="347"/>
      <c r="F4" s="348"/>
      <c r="G4" s="259"/>
      <c r="H4" s="259"/>
      <c r="K4" s="201" t="s">
        <v>239</v>
      </c>
      <c r="L4" s="202" t="s">
        <v>3424</v>
      </c>
      <c r="M4" s="23" t="s">
        <v>3425</v>
      </c>
    </row>
    <row r="5" spans="1:26" ht="71.25" customHeight="1" x14ac:dyDescent="0.2">
      <c r="A5" s="151" t="s">
        <v>3426</v>
      </c>
      <c r="B5" s="349" t="s">
        <v>3800</v>
      </c>
      <c r="C5" s="347"/>
      <c r="D5" s="347"/>
      <c r="E5" s="347"/>
      <c r="F5" s="350"/>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17">
        <v>1</v>
      </c>
      <c r="E10" s="215" t="s">
        <v>3801</v>
      </c>
      <c r="F10" s="64">
        <v>1</v>
      </c>
      <c r="G10" s="64" t="s">
        <v>259</v>
      </c>
      <c r="H10" s="220"/>
      <c r="I10" s="64"/>
      <c r="J10" s="64"/>
      <c r="K10" s="64" t="s">
        <v>3797</v>
      </c>
      <c r="L10" s="23"/>
      <c r="M10" s="154" t="e">
        <f>VLOOKUP(Table211[[#This Row],[Data Element]],Lookups2!AM:AN,2,FALSE)</f>
        <v>#N/A</v>
      </c>
      <c r="N10" s="64"/>
      <c r="O10" s="64"/>
      <c r="P10" s="64"/>
      <c r="Q10" s="64"/>
      <c r="R10" s="64"/>
      <c r="S10" s="64" t="s">
        <v>387</v>
      </c>
      <c r="T10" s="64"/>
      <c r="U10" s="64"/>
      <c r="V10" s="64"/>
      <c r="W10" s="64"/>
      <c r="X10" s="64"/>
      <c r="Y10" s="72"/>
      <c r="Z10" s="26"/>
    </row>
    <row r="11" spans="1:26" ht="12.75" customHeight="1" x14ac:dyDescent="0.2">
      <c r="A11" s="148" t="s">
        <v>153</v>
      </c>
      <c r="B11" s="23" t="s">
        <v>3362</v>
      </c>
      <c r="D11" s="217">
        <v>2</v>
      </c>
      <c r="E11" s="215" t="s">
        <v>3802</v>
      </c>
      <c r="F11" s="64">
        <v>1</v>
      </c>
      <c r="G11" s="64" t="s">
        <v>10</v>
      </c>
      <c r="H11" s="220"/>
      <c r="I11" s="64"/>
      <c r="J11" s="64"/>
      <c r="K11" s="64" t="s">
        <v>3803</v>
      </c>
      <c r="L11" s="211"/>
      <c r="M11" s="154" t="e">
        <f>VLOOKUP(Table211[[#This Row],[Data Element]],Lookups2!AM:AN,2,FALSE)</f>
        <v>#N/A</v>
      </c>
      <c r="N11" s="64"/>
      <c r="O11" s="64"/>
      <c r="P11" s="64"/>
      <c r="Q11" s="64"/>
      <c r="R11" s="64"/>
      <c r="S11" s="64" t="s">
        <v>387</v>
      </c>
      <c r="T11" s="64"/>
      <c r="U11" s="64"/>
      <c r="V11" s="64"/>
      <c r="W11" s="64"/>
      <c r="X11" s="64"/>
      <c r="Y11" s="72"/>
      <c r="Z11" s="26"/>
    </row>
    <row r="12" spans="1:26" x14ac:dyDescent="0.2">
      <c r="A12" s="194" t="s">
        <v>3454</v>
      </c>
      <c r="B12" s="114" t="s">
        <v>3363</v>
      </c>
      <c r="D12" s="217">
        <v>3</v>
      </c>
      <c r="E12" s="215" t="s">
        <v>3724</v>
      </c>
      <c r="F12" s="64">
        <v>1</v>
      </c>
      <c r="G12" s="64" t="s">
        <v>487</v>
      </c>
      <c r="H12" s="220"/>
      <c r="I12" s="64"/>
      <c r="J12" s="64"/>
      <c r="K12" s="220" t="s">
        <v>3804</v>
      </c>
      <c r="L12" s="211"/>
      <c r="M12" s="154" t="e">
        <f>VLOOKUP(Table211[[#This Row],[Data Element]],Lookups2!AM:AN,2,FALSE)</f>
        <v>#N/A</v>
      </c>
      <c r="N12" s="64"/>
      <c r="O12" s="64"/>
      <c r="P12" s="64"/>
      <c r="Q12" s="64"/>
      <c r="R12" s="64"/>
      <c r="S12" s="64" t="s">
        <v>387</v>
      </c>
      <c r="T12" s="64"/>
      <c r="U12" s="64"/>
      <c r="V12" s="64"/>
      <c r="W12" s="64"/>
      <c r="X12" s="64"/>
      <c r="Y12" s="72"/>
    </row>
    <row r="13" spans="1:26" x14ac:dyDescent="0.2">
      <c r="A13" s="195" t="s">
        <v>3455</v>
      </c>
      <c r="B13" s="62" t="s">
        <v>3686</v>
      </c>
      <c r="D13" s="217">
        <v>4</v>
      </c>
      <c r="E13" s="215" t="s">
        <v>3805</v>
      </c>
      <c r="F13" s="64">
        <v>1</v>
      </c>
      <c r="G13" s="64" t="s">
        <v>487</v>
      </c>
      <c r="H13" s="220"/>
      <c r="I13" s="64"/>
      <c r="J13" s="64"/>
      <c r="K13" s="220" t="s">
        <v>3806</v>
      </c>
      <c r="L13" s="211"/>
      <c r="M13" s="154" t="e">
        <f>VLOOKUP(Table211[[#This Row],[Data Element]],Lookups2!AM:AN,2,FALSE)</f>
        <v>#N/A</v>
      </c>
      <c r="N13" s="64"/>
      <c r="O13" s="64"/>
      <c r="P13" s="64"/>
      <c r="Q13" s="64"/>
      <c r="R13" s="64"/>
      <c r="S13" s="64" t="s">
        <v>387</v>
      </c>
      <c r="T13" s="64"/>
      <c r="U13" s="64"/>
      <c r="V13" s="64"/>
      <c r="W13" s="64"/>
      <c r="X13" s="64"/>
      <c r="Y13" s="72"/>
    </row>
    <row r="14" spans="1:26" x14ac:dyDescent="0.2">
      <c r="A14" s="196" t="s">
        <v>234</v>
      </c>
      <c r="B14" s="116" t="s">
        <v>250</v>
      </c>
      <c r="D14" s="217">
        <v>5</v>
      </c>
      <c r="E14" s="215" t="s">
        <v>3807</v>
      </c>
      <c r="F14" s="64">
        <v>1</v>
      </c>
      <c r="G14" s="64" t="s">
        <v>487</v>
      </c>
      <c r="H14" s="220"/>
      <c r="I14" s="64"/>
      <c r="J14" s="64"/>
      <c r="K14" s="220" t="s">
        <v>3808</v>
      </c>
      <c r="L14" s="211"/>
      <c r="M14" s="154" t="e">
        <f>VLOOKUP(Table211[[#This Row],[Data Element]],Lookups2!AM:AN,2,FALSE)</f>
        <v>#N/A</v>
      </c>
      <c r="N14" s="64"/>
      <c r="O14" s="64"/>
      <c r="P14" s="64"/>
      <c r="Q14" s="64"/>
      <c r="R14" s="64"/>
      <c r="S14" s="64" t="s">
        <v>387</v>
      </c>
      <c r="T14" s="64"/>
      <c r="U14" s="64"/>
      <c r="V14" s="64"/>
      <c r="W14" s="64"/>
      <c r="X14" s="64"/>
      <c r="Y14" s="72"/>
    </row>
    <row r="15" spans="1:26" x14ac:dyDescent="0.2">
      <c r="A15" s="149"/>
      <c r="B15" s="26"/>
      <c r="D15" s="217">
        <v>6</v>
      </c>
      <c r="E15" s="215" t="s">
        <v>3809</v>
      </c>
      <c r="F15" s="64">
        <v>1</v>
      </c>
      <c r="G15" s="64" t="s">
        <v>460</v>
      </c>
      <c r="H15" s="220"/>
      <c r="I15" s="64"/>
      <c r="J15" s="64"/>
      <c r="K15" s="64" t="s">
        <v>3810</v>
      </c>
      <c r="L15" s="211"/>
      <c r="M15" s="154" t="e">
        <f>VLOOKUP(Table211[[#This Row],[Data Element]],Lookups2!AM:AN,2,FALSE)</f>
        <v>#N/A</v>
      </c>
      <c r="N15" s="64"/>
      <c r="O15" s="64"/>
      <c r="P15" s="64"/>
      <c r="Q15" s="64"/>
      <c r="R15" s="64"/>
      <c r="S15" s="64" t="s">
        <v>387</v>
      </c>
      <c r="T15" s="64"/>
      <c r="U15" s="64"/>
      <c r="V15" s="64"/>
      <c r="W15" s="64"/>
      <c r="X15" s="64"/>
      <c r="Y15" s="72"/>
    </row>
    <row r="16" spans="1:26" x14ac:dyDescent="0.2">
      <c r="A16" s="150" t="s">
        <v>3456</v>
      </c>
      <c r="B16" s="69"/>
      <c r="D16" s="217">
        <v>7</v>
      </c>
      <c r="E16" s="215" t="s">
        <v>3811</v>
      </c>
      <c r="F16" s="64">
        <v>1</v>
      </c>
      <c r="G16" s="64" t="s">
        <v>460</v>
      </c>
      <c r="H16" s="220"/>
      <c r="I16" s="64"/>
      <c r="J16" s="64"/>
      <c r="K16" s="64" t="s">
        <v>3812</v>
      </c>
      <c r="L16" s="211"/>
      <c r="M16" s="154" t="e">
        <f>VLOOKUP(Table211[[#This Row],[Data Element]],Lookups2!AM:AN,2,FALSE)</f>
        <v>#N/A</v>
      </c>
      <c r="N16" s="64"/>
      <c r="O16" s="64"/>
      <c r="P16" s="64"/>
      <c r="Q16" s="64"/>
      <c r="R16" s="64"/>
      <c r="S16" s="64" t="s">
        <v>387</v>
      </c>
      <c r="T16" s="64"/>
      <c r="U16" s="64"/>
      <c r="V16" s="64"/>
      <c r="W16" s="64"/>
      <c r="X16" s="64"/>
      <c r="Y16" s="72"/>
    </row>
    <row r="17" spans="1:25" x14ac:dyDescent="0.2">
      <c r="A17" s="151" t="s">
        <v>3457</v>
      </c>
      <c r="B17" s="175" t="s">
        <v>303</v>
      </c>
      <c r="D17" s="217">
        <v>8</v>
      </c>
      <c r="E17" s="215" t="s">
        <v>3715</v>
      </c>
      <c r="F17" s="64">
        <v>1</v>
      </c>
      <c r="G17" s="64" t="s">
        <v>10</v>
      </c>
      <c r="H17" s="220"/>
      <c r="I17" s="64"/>
      <c r="J17" s="64"/>
      <c r="K17" s="64" t="s">
        <v>3813</v>
      </c>
      <c r="L17" s="211"/>
      <c r="M17" s="154" t="e">
        <f>VLOOKUP(Table211[[#This Row],[Data Element]],Lookups2!AM:AN,2,FALSE)</f>
        <v>#N/A</v>
      </c>
      <c r="N17" s="64"/>
      <c r="O17" s="64"/>
      <c r="P17" s="64"/>
      <c r="Q17" s="64"/>
      <c r="R17" s="64"/>
      <c r="S17" s="64" t="s">
        <v>387</v>
      </c>
      <c r="T17" s="64"/>
      <c r="U17" s="64"/>
      <c r="V17" s="64"/>
      <c r="W17" s="64"/>
      <c r="X17" s="64"/>
      <c r="Y17" s="72"/>
    </row>
    <row r="18" spans="1:25" x14ac:dyDescent="0.2">
      <c r="A18" s="151" t="s">
        <v>3458</v>
      </c>
      <c r="B18" s="175" t="s">
        <v>513</v>
      </c>
      <c r="D18" s="217">
        <v>9</v>
      </c>
      <c r="E18" s="215" t="s">
        <v>3814</v>
      </c>
      <c r="F18" s="64">
        <v>1</v>
      </c>
      <c r="G18" s="64" t="s">
        <v>259</v>
      </c>
      <c r="H18" s="220"/>
      <c r="I18" s="64"/>
      <c r="J18" s="64"/>
      <c r="K18" s="64" t="s">
        <v>3815</v>
      </c>
      <c r="L18" s="211"/>
      <c r="M18" s="154" t="e">
        <f>VLOOKUP(Table211[[#This Row],[Data Element]],Lookups2!AM:AN,2,FALSE)</f>
        <v>#N/A</v>
      </c>
      <c r="N18" s="64"/>
      <c r="O18" s="64"/>
      <c r="P18" s="64"/>
      <c r="Q18" s="64"/>
      <c r="R18" s="64"/>
      <c r="S18" s="64" t="s">
        <v>387</v>
      </c>
      <c r="T18" s="64"/>
      <c r="U18" s="64"/>
      <c r="V18" s="64"/>
      <c r="W18" s="64"/>
      <c r="X18" s="64"/>
      <c r="Y18" s="72"/>
    </row>
    <row r="19" spans="1:25" ht="78" customHeight="1" x14ac:dyDescent="0.2">
      <c r="A19" s="71" t="s">
        <v>238</v>
      </c>
      <c r="B19" s="182" t="str">
        <f>VLOOKUP(B18,Lookups2!AI:AJ,2,0)</f>
        <v>Conversion of one currency into another currency</v>
      </c>
      <c r="D19" s="217">
        <v>10</v>
      </c>
      <c r="E19" s="215" t="s">
        <v>3816</v>
      </c>
      <c r="F19" s="64">
        <v>1</v>
      </c>
      <c r="G19" s="64" t="s">
        <v>487</v>
      </c>
      <c r="H19" s="220"/>
      <c r="I19" s="64"/>
      <c r="J19" s="64"/>
      <c r="K19" s="64" t="s">
        <v>3817</v>
      </c>
      <c r="L19" s="211"/>
      <c r="M19" s="154" t="e">
        <f>VLOOKUP(Table211[[#This Row],[Data Element]],Lookups2!AM:AN,2,FALSE)</f>
        <v>#N/A</v>
      </c>
      <c r="N19" s="64"/>
      <c r="O19" s="64"/>
      <c r="P19" s="64"/>
      <c r="Q19" s="64"/>
      <c r="R19" s="64"/>
      <c r="S19" s="64" t="s">
        <v>387</v>
      </c>
      <c r="T19" s="64"/>
      <c r="U19" s="64"/>
      <c r="V19" s="64"/>
      <c r="W19" s="64"/>
      <c r="X19" s="64"/>
      <c r="Y19" s="72"/>
    </row>
    <row r="20" spans="1:25" x14ac:dyDescent="0.2">
      <c r="A20" s="149"/>
      <c r="B20" s="26"/>
      <c r="D20" s="217">
        <v>11</v>
      </c>
      <c r="E20" s="215" t="s">
        <v>3818</v>
      </c>
      <c r="F20" s="64">
        <v>1</v>
      </c>
      <c r="G20" s="64" t="s">
        <v>487</v>
      </c>
      <c r="H20" s="220"/>
      <c r="I20" s="64"/>
      <c r="J20" s="64"/>
      <c r="K20" s="64" t="s">
        <v>3819</v>
      </c>
      <c r="L20" s="211"/>
      <c r="M20" s="154" t="e">
        <f>VLOOKUP(Table211[[#This Row],[Data Element]],Lookups2!AM:AN,2,FALSE)</f>
        <v>#N/A</v>
      </c>
      <c r="N20" s="64"/>
      <c r="O20" s="64"/>
      <c r="P20" s="64"/>
      <c r="Q20" s="64"/>
      <c r="R20" s="64"/>
      <c r="S20" s="64" t="s">
        <v>387</v>
      </c>
      <c r="T20" s="64"/>
      <c r="U20" s="64"/>
      <c r="V20" s="64"/>
      <c r="W20" s="64"/>
      <c r="X20" s="64"/>
      <c r="Y20" s="72"/>
    </row>
    <row r="21" spans="1:25" x14ac:dyDescent="0.2">
      <c r="A21" s="150" t="s">
        <v>3459</v>
      </c>
      <c r="B21" s="69"/>
      <c r="D21" s="217">
        <v>12</v>
      </c>
      <c r="E21" s="215" t="s">
        <v>3820</v>
      </c>
      <c r="F21" s="64">
        <v>1</v>
      </c>
      <c r="G21" s="64" t="s">
        <v>487</v>
      </c>
      <c r="H21" s="220"/>
      <c r="I21" s="64"/>
      <c r="J21" s="64"/>
      <c r="K21" s="64" t="s">
        <v>3821</v>
      </c>
      <c r="L21" s="211"/>
      <c r="M21" s="154" t="e">
        <f>VLOOKUP(Table211[[#This Row],[Data Element]],Lookups2!AM:AN,2,FALSE)</f>
        <v>#N/A</v>
      </c>
      <c r="N21" s="64"/>
      <c r="O21" s="64"/>
      <c r="P21" s="64"/>
      <c r="Q21" s="64"/>
      <c r="R21" s="64"/>
      <c r="S21" s="64" t="s">
        <v>387</v>
      </c>
      <c r="T21" s="64"/>
      <c r="U21" s="64"/>
      <c r="V21" s="64"/>
      <c r="W21" s="64"/>
      <c r="X21" s="64"/>
      <c r="Y21" s="72"/>
    </row>
    <row r="22" spans="1:25" x14ac:dyDescent="0.2">
      <c r="A22" s="151" t="s">
        <v>3460</v>
      </c>
      <c r="B22" s="84" t="s">
        <v>276</v>
      </c>
      <c r="D22" s="217">
        <v>13</v>
      </c>
      <c r="E22" s="215" t="s">
        <v>3822</v>
      </c>
      <c r="F22" s="64">
        <v>1</v>
      </c>
      <c r="G22" s="64" t="s">
        <v>487</v>
      </c>
      <c r="H22" s="220"/>
      <c r="I22" s="64"/>
      <c r="J22" s="64"/>
      <c r="K22" s="215" t="s">
        <v>3822</v>
      </c>
      <c r="L22" s="211"/>
      <c r="M22" s="154" t="e">
        <f>VLOOKUP(Table211[[#This Row],[Data Element]],Lookups2!AM:AN,2,FALSE)</f>
        <v>#N/A</v>
      </c>
      <c r="N22" s="64"/>
      <c r="O22" s="64"/>
      <c r="P22" s="64"/>
      <c r="Q22" s="64"/>
      <c r="R22" s="64"/>
      <c r="S22" s="64" t="s">
        <v>387</v>
      </c>
      <c r="T22" s="64"/>
      <c r="U22" s="64"/>
      <c r="V22" s="64"/>
      <c r="W22" s="64"/>
      <c r="X22" s="64"/>
      <c r="Y22" s="72"/>
    </row>
    <row r="23" spans="1:25" x14ac:dyDescent="0.2">
      <c r="A23" s="151" t="s">
        <v>3461</v>
      </c>
      <c r="B23" s="84" t="s">
        <v>276</v>
      </c>
      <c r="D23" s="217">
        <v>14</v>
      </c>
      <c r="E23" s="215" t="s">
        <v>3823</v>
      </c>
      <c r="F23" s="64">
        <v>1</v>
      </c>
      <c r="G23" s="64" t="s">
        <v>487</v>
      </c>
      <c r="H23" s="220"/>
      <c r="I23" s="64"/>
      <c r="J23" s="64"/>
      <c r="K23" s="215" t="s">
        <v>3823</v>
      </c>
      <c r="L23" s="211"/>
      <c r="M23" s="154" t="e">
        <f>VLOOKUP(Table211[[#This Row],[Data Element]],Lookups2!AM:AN,2,FALSE)</f>
        <v>#N/A</v>
      </c>
      <c r="N23" s="64"/>
      <c r="O23" s="64"/>
      <c r="P23" s="64"/>
      <c r="Q23" s="64"/>
      <c r="R23" s="64"/>
      <c r="S23" s="64" t="s">
        <v>387</v>
      </c>
      <c r="T23" s="64"/>
      <c r="U23" s="64"/>
      <c r="V23" s="64"/>
      <c r="W23" s="64"/>
      <c r="X23" s="64"/>
      <c r="Y23" s="72"/>
    </row>
    <row r="24" spans="1:25" x14ac:dyDescent="0.2">
      <c r="A24" s="151" t="s">
        <v>3462</v>
      </c>
      <c r="B24" s="84" t="s">
        <v>276</v>
      </c>
      <c r="D24" s="217">
        <v>15</v>
      </c>
      <c r="E24" s="215" t="s">
        <v>3824</v>
      </c>
      <c r="F24" s="64">
        <v>1</v>
      </c>
      <c r="G24" s="64" t="s">
        <v>487</v>
      </c>
      <c r="H24" s="220"/>
      <c r="I24" s="64"/>
      <c r="J24" s="64"/>
      <c r="K24" s="215" t="s">
        <v>3824</v>
      </c>
      <c r="L24" s="211"/>
      <c r="M24" s="154" t="e">
        <f>VLOOKUP(Table211[[#This Row],[Data Element]],Lookups2!AM:AN,2,FALSE)</f>
        <v>#N/A</v>
      </c>
      <c r="N24" s="64"/>
      <c r="O24" s="64"/>
      <c r="P24" s="64"/>
      <c r="Q24" s="64"/>
      <c r="R24" s="64"/>
      <c r="S24" s="64" t="s">
        <v>387</v>
      </c>
      <c r="T24" s="64"/>
      <c r="U24" s="64"/>
      <c r="V24" s="64"/>
      <c r="W24" s="64"/>
      <c r="X24" s="64"/>
      <c r="Y24" s="72"/>
    </row>
    <row r="25" spans="1:25" x14ac:dyDescent="0.2">
      <c r="A25" s="151" t="s">
        <v>3463</v>
      </c>
      <c r="B25" s="84" t="s">
        <v>276</v>
      </c>
      <c r="D25" s="217">
        <v>16</v>
      </c>
      <c r="E25" s="215" t="s">
        <v>3825</v>
      </c>
      <c r="F25" s="64">
        <v>1</v>
      </c>
      <c r="G25" s="64" t="s">
        <v>487</v>
      </c>
      <c r="H25" s="220"/>
      <c r="I25" s="64"/>
      <c r="J25" s="64"/>
      <c r="K25" s="215" t="s">
        <v>3825</v>
      </c>
      <c r="L25" s="211"/>
      <c r="M25" s="154" t="e">
        <f>VLOOKUP(Table211[[#This Row],[Data Element]],Lookups2!AM:AN,2,FALSE)</f>
        <v>#N/A</v>
      </c>
      <c r="N25" s="64"/>
      <c r="O25" s="64"/>
      <c r="P25" s="64"/>
      <c r="Q25" s="64"/>
      <c r="R25" s="64"/>
      <c r="S25" s="64" t="s">
        <v>387</v>
      </c>
      <c r="T25" s="64"/>
      <c r="U25" s="64"/>
      <c r="V25" s="64"/>
      <c r="W25" s="64"/>
      <c r="X25" s="64"/>
      <c r="Y25" s="72"/>
    </row>
    <row r="26" spans="1:25" x14ac:dyDescent="0.2">
      <c r="A26" s="151" t="s">
        <v>3464</v>
      </c>
      <c r="B26" s="84" t="s">
        <v>276</v>
      </c>
      <c r="D26" s="217">
        <v>17</v>
      </c>
      <c r="E26" s="215" t="s">
        <v>3826</v>
      </c>
      <c r="F26" s="64">
        <v>1</v>
      </c>
      <c r="G26" s="64" t="s">
        <v>487</v>
      </c>
      <c r="H26" s="220"/>
      <c r="I26" s="64"/>
      <c r="J26" s="64"/>
      <c r="K26" s="215" t="s">
        <v>3826</v>
      </c>
      <c r="L26" s="211"/>
      <c r="M26" s="154" t="e">
        <f>VLOOKUP(Table211[[#This Row],[Data Element]],Lookups2!AM:AN,2,FALSE)</f>
        <v>#N/A</v>
      </c>
      <c r="N26" s="64"/>
      <c r="O26" s="64"/>
      <c r="P26" s="64"/>
      <c r="Q26" s="64"/>
      <c r="R26" s="64"/>
      <c r="S26" s="64" t="s">
        <v>387</v>
      </c>
      <c r="T26" s="64"/>
      <c r="U26" s="64"/>
      <c r="V26" s="64"/>
      <c r="W26" s="64"/>
      <c r="X26" s="64"/>
      <c r="Y26" s="72"/>
    </row>
    <row r="27" spans="1:25" x14ac:dyDescent="0.2">
      <c r="A27" s="173" t="s">
        <v>3465</v>
      </c>
      <c r="B27" s="84"/>
      <c r="D27" s="217">
        <v>18</v>
      </c>
      <c r="E27" s="215" t="s">
        <v>3827</v>
      </c>
      <c r="F27" s="64">
        <v>1</v>
      </c>
      <c r="G27" s="64" t="s">
        <v>487</v>
      </c>
      <c r="H27" s="220"/>
      <c r="I27" s="64"/>
      <c r="J27" s="64"/>
      <c r="K27" s="215" t="s">
        <v>3827</v>
      </c>
      <c r="L27" s="211"/>
      <c r="M27" s="154" t="e">
        <f>VLOOKUP(Table211[[#This Row],[Data Element]],Lookups2!AM:AN,2,FALSE)</f>
        <v>#N/A</v>
      </c>
      <c r="N27" s="64"/>
      <c r="O27" s="64"/>
      <c r="P27" s="64"/>
      <c r="Q27" s="64"/>
      <c r="R27" s="64"/>
      <c r="S27" s="64" t="s">
        <v>387</v>
      </c>
      <c r="T27" s="64"/>
      <c r="U27" s="64"/>
      <c r="V27" s="64"/>
      <c r="W27" s="64"/>
      <c r="X27" s="64"/>
      <c r="Y27" s="72"/>
    </row>
    <row r="28" spans="1:25" x14ac:dyDescent="0.2">
      <c r="A28" s="149"/>
      <c r="B28" s="26"/>
      <c r="D28" s="217">
        <v>19</v>
      </c>
      <c r="E28" s="215" t="s">
        <v>3828</v>
      </c>
      <c r="F28" s="64">
        <v>1</v>
      </c>
      <c r="G28" s="64" t="s">
        <v>259</v>
      </c>
      <c r="H28" s="220"/>
      <c r="I28" s="64"/>
      <c r="J28" s="64"/>
      <c r="K28" s="215" t="s">
        <v>3828</v>
      </c>
      <c r="L28" s="211"/>
      <c r="M28" s="154" t="e">
        <f>VLOOKUP(Table211[[#This Row],[Data Element]],Lookups2!AM:AN,2,FALSE)</f>
        <v>#N/A</v>
      </c>
      <c r="N28" s="64"/>
      <c r="O28" s="64"/>
      <c r="P28" s="64"/>
      <c r="Q28" s="64"/>
      <c r="R28" s="64"/>
      <c r="S28" s="64" t="s">
        <v>387</v>
      </c>
      <c r="T28" s="64"/>
      <c r="U28" s="64"/>
      <c r="V28" s="64"/>
      <c r="W28" s="64"/>
      <c r="X28" s="64"/>
      <c r="Y28" s="72"/>
    </row>
    <row r="29" spans="1:25" x14ac:dyDescent="0.2">
      <c r="A29" s="65" t="s">
        <v>3446</v>
      </c>
      <c r="B29" s="69"/>
      <c r="D29" s="217">
        <v>20</v>
      </c>
      <c r="E29" s="215" t="s">
        <v>3829</v>
      </c>
      <c r="F29" s="64">
        <v>1</v>
      </c>
      <c r="G29" s="64" t="s">
        <v>460</v>
      </c>
      <c r="H29" s="220"/>
      <c r="I29" s="64"/>
      <c r="J29" s="64"/>
      <c r="K29" s="64" t="s">
        <v>3830</v>
      </c>
      <c r="L29" s="211"/>
      <c r="M29" s="154" t="e">
        <f>VLOOKUP(Table211[[#This Row],[Data Element]],Lookups2!AM:AN,2,FALSE)</f>
        <v>#N/A</v>
      </c>
      <c r="N29" s="64"/>
      <c r="O29" s="64"/>
      <c r="P29" s="64"/>
      <c r="Q29" s="64"/>
      <c r="R29" s="64"/>
      <c r="S29" s="64" t="s">
        <v>387</v>
      </c>
      <c r="T29" s="64"/>
      <c r="U29" s="64"/>
      <c r="V29" s="64"/>
      <c r="W29" s="64"/>
      <c r="X29" s="64"/>
      <c r="Y29" s="72"/>
    </row>
    <row r="30" spans="1:25" x14ac:dyDescent="0.2">
      <c r="A30" s="134" t="s">
        <v>3466</v>
      </c>
      <c r="B30" s="84" t="s">
        <v>387</v>
      </c>
      <c r="D30" s="217">
        <v>21</v>
      </c>
      <c r="E30" s="215" t="s">
        <v>3831</v>
      </c>
      <c r="F30" s="64">
        <v>1</v>
      </c>
      <c r="G30" s="64" t="s">
        <v>487</v>
      </c>
      <c r="H30" s="220"/>
      <c r="I30" s="64"/>
      <c r="J30" s="64"/>
      <c r="K30" s="64" t="s">
        <v>3832</v>
      </c>
      <c r="L30" s="211"/>
      <c r="M30" s="154" t="e">
        <f>VLOOKUP(Table211[[#This Row],[Data Element]],Lookups2!AM:AN,2,FALSE)</f>
        <v>#N/A</v>
      </c>
      <c r="N30" s="64"/>
      <c r="O30" s="64"/>
      <c r="P30" s="64"/>
      <c r="Q30" s="64"/>
      <c r="R30" s="64"/>
      <c r="S30" s="64" t="s">
        <v>387</v>
      </c>
      <c r="T30" s="64"/>
      <c r="U30" s="64"/>
      <c r="V30" s="64"/>
      <c r="W30" s="64"/>
      <c r="X30" s="64"/>
      <c r="Y30" s="72"/>
    </row>
    <row r="31" spans="1:25" x14ac:dyDescent="0.2">
      <c r="A31" s="8"/>
      <c r="B31" s="9"/>
      <c r="D31" s="217">
        <v>22</v>
      </c>
      <c r="E31" s="215" t="s">
        <v>3833</v>
      </c>
      <c r="F31" s="64">
        <v>1</v>
      </c>
      <c r="G31" s="64" t="s">
        <v>487</v>
      </c>
      <c r="H31" s="220"/>
      <c r="I31" s="64"/>
      <c r="J31" s="64"/>
      <c r="K31" s="64" t="s">
        <v>3834</v>
      </c>
      <c r="L31" s="211"/>
      <c r="M31" s="154" t="e">
        <f>VLOOKUP(Table211[[#This Row],[Data Element]],Lookups2!AM:AN,2,FALSE)</f>
        <v>#N/A</v>
      </c>
      <c r="N31" s="64"/>
      <c r="O31" s="64"/>
      <c r="P31" s="64"/>
      <c r="Q31" s="64"/>
      <c r="R31" s="64"/>
      <c r="S31" s="64" t="s">
        <v>387</v>
      </c>
      <c r="T31" s="64"/>
      <c r="U31" s="64"/>
      <c r="V31" s="64"/>
      <c r="W31" s="64"/>
      <c r="X31" s="64"/>
      <c r="Y31" s="72"/>
    </row>
    <row r="32" spans="1:25"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t="s">
        <v>3687</v>
      </c>
    </row>
    <row r="38" spans="1:2" x14ac:dyDescent="0.2">
      <c r="A38" s="136" t="s">
        <v>3470</v>
      </c>
      <c r="B38" s="68" t="s">
        <v>3687</v>
      </c>
    </row>
    <row r="40" spans="1:2" x14ac:dyDescent="0.2">
      <c r="A40" s="65" t="s">
        <v>3471</v>
      </c>
      <c r="B40" s="66"/>
    </row>
    <row r="41" spans="1:2" x14ac:dyDescent="0.2">
      <c r="A41" s="152" t="s">
        <v>3472</v>
      </c>
      <c r="B41" s="64" t="s">
        <v>3687</v>
      </c>
    </row>
    <row r="42" spans="1:2" x14ac:dyDescent="0.2">
      <c r="A42" s="152" t="s">
        <v>3473</v>
      </c>
      <c r="B42" s="64" t="s">
        <v>3687</v>
      </c>
    </row>
    <row r="44" spans="1:2" x14ac:dyDescent="0.2">
      <c r="A44" s="250" t="s">
        <v>3474</v>
      </c>
      <c r="B44" s="251"/>
    </row>
    <row r="45" spans="1:2" x14ac:dyDescent="0.2">
      <c r="A45" s="131" t="s">
        <v>3475</v>
      </c>
      <c r="B45" s="12" t="s">
        <v>255</v>
      </c>
    </row>
    <row r="46" spans="1:2" x14ac:dyDescent="0.2">
      <c r="A46" s="132" t="s">
        <v>3476</v>
      </c>
      <c r="B46" s="54" t="s">
        <v>411</v>
      </c>
    </row>
    <row r="47" spans="1:2" x14ac:dyDescent="0.2">
      <c r="A47" s="132" t="s">
        <v>3477</v>
      </c>
      <c r="B47" s="55" t="s">
        <v>3703</v>
      </c>
    </row>
    <row r="48" spans="1:2" x14ac:dyDescent="0.2">
      <c r="A48" s="133" t="s">
        <v>3478</v>
      </c>
      <c r="B48" s="50" t="s">
        <v>411</v>
      </c>
    </row>
    <row r="49" spans="1:2" x14ac:dyDescent="0.2">
      <c r="A49" s="133" t="s">
        <v>3479</v>
      </c>
      <c r="B49" s="55" t="s">
        <v>3703</v>
      </c>
    </row>
    <row r="50" spans="1:2" x14ac:dyDescent="0.2">
      <c r="A50" s="44" t="s">
        <v>3480</v>
      </c>
      <c r="B50" s="28" t="s">
        <v>3572</v>
      </c>
    </row>
    <row r="51" spans="1:2" x14ac:dyDescent="0.2">
      <c r="A51" s="192" t="s">
        <v>3481</v>
      </c>
      <c r="B51" s="356" t="s">
        <v>3798</v>
      </c>
    </row>
    <row r="52" spans="1:2" x14ac:dyDescent="0.2">
      <c r="A52" s="81"/>
      <c r="B52" s="357"/>
    </row>
    <row r="53" spans="1:2" x14ac:dyDescent="0.2">
      <c r="A53" s="81"/>
      <c r="B53" s="357"/>
    </row>
    <row r="54" spans="1:2" x14ac:dyDescent="0.2">
      <c r="A54" s="81"/>
      <c r="B54" s="357"/>
    </row>
    <row r="55" spans="1:2" x14ac:dyDescent="0.2">
      <c r="A55" s="81"/>
      <c r="B55" s="357"/>
    </row>
    <row r="56" spans="1:2" x14ac:dyDescent="0.2">
      <c r="A56" s="81"/>
      <c r="B56" s="357"/>
    </row>
    <row r="57" spans="1:2" x14ac:dyDescent="0.2">
      <c r="A57" s="81"/>
      <c r="B57" s="357"/>
    </row>
    <row r="58" spans="1:2" x14ac:dyDescent="0.2">
      <c r="A58" s="82"/>
      <c r="B58" s="358"/>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874" priority="29" operator="equal">
      <formula>"?"</formula>
    </cfRule>
  </conditionalFormatting>
  <conditionalFormatting sqref="B64">
    <cfRule type="cellIs" dxfId="873" priority="22" operator="equal">
      <formula>"&lt;unk.&gt;"</formula>
    </cfRule>
  </conditionalFormatting>
  <conditionalFormatting sqref="B65">
    <cfRule type="cellIs" dxfId="872" priority="21" operator="equal">
      <formula>"&lt;unk.&gt;"</formula>
    </cfRule>
  </conditionalFormatting>
  <conditionalFormatting sqref="B92:B93">
    <cfRule type="cellIs" dxfId="871" priority="20" operator="equal">
      <formula>"&lt;unk.&gt;"</formula>
    </cfRule>
  </conditionalFormatting>
  <conditionalFormatting sqref="B90">
    <cfRule type="cellIs" dxfId="870" priority="19" operator="equal">
      <formula>"&lt;unk.&gt;"</formula>
    </cfRule>
  </conditionalFormatting>
  <conditionalFormatting sqref="B91">
    <cfRule type="cellIs" dxfId="869" priority="18" operator="equal">
      <formula>"&lt;unk.&gt;"</formula>
    </cfRule>
  </conditionalFormatting>
  <conditionalFormatting sqref="B66">
    <cfRule type="cellIs" dxfId="868" priority="23" operator="equal">
      <formula>"&lt;unk.&gt;"</formula>
    </cfRule>
  </conditionalFormatting>
  <conditionalFormatting sqref="B94">
    <cfRule type="cellIs" dxfId="867" priority="17" operator="equal">
      <formula>"&lt;unk.&gt;"</formula>
    </cfRule>
  </conditionalFormatting>
  <conditionalFormatting sqref="B95">
    <cfRule type="cellIs" dxfId="866" priority="16" operator="equal">
      <formula>"&lt;unk.&gt;"</formula>
    </cfRule>
  </conditionalFormatting>
  <conditionalFormatting sqref="B84:B87">
    <cfRule type="cellIs" dxfId="865" priority="15" operator="equal">
      <formula>"&lt;unk.&gt;"</formula>
    </cfRule>
  </conditionalFormatting>
  <conditionalFormatting sqref="B22:B26">
    <cfRule type="cellIs" dxfId="864" priority="14" operator="equal">
      <formula>"&lt;unk.&gt;"</formula>
    </cfRule>
  </conditionalFormatting>
  <conditionalFormatting sqref="B27">
    <cfRule type="cellIs" dxfId="863" priority="13" operator="equal">
      <formula>"&lt;unk.&gt;"</formula>
    </cfRule>
  </conditionalFormatting>
  <conditionalFormatting sqref="B30">
    <cfRule type="cellIs" dxfId="862" priority="12" operator="equal">
      <formula>"&lt;unk.&gt;"</formula>
    </cfRule>
  </conditionalFormatting>
  <conditionalFormatting sqref="D10:D31">
    <cfRule type="expression" dxfId="861" priority="11">
      <formula>MOD(ROW(),2)=0</formula>
    </cfRule>
  </conditionalFormatting>
  <conditionalFormatting sqref="E10:E31">
    <cfRule type="expression" dxfId="860" priority="10">
      <formula>MOD(ROW(),2)=0</formula>
    </cfRule>
  </conditionalFormatting>
  <conditionalFormatting sqref="H10:H31">
    <cfRule type="expression" dxfId="859" priority="9">
      <formula>MOD(ROW(),2)=0</formula>
    </cfRule>
  </conditionalFormatting>
  <conditionalFormatting sqref="K12:K14">
    <cfRule type="expression" dxfId="858" priority="8">
      <formula>MOD(ROW(),2)=0</formula>
    </cfRule>
  </conditionalFormatting>
  <conditionalFormatting sqref="K12:K14">
    <cfRule type="expression" dxfId="857" priority="7">
      <formula>MOD(ROW(),2)=0</formula>
    </cfRule>
  </conditionalFormatting>
  <conditionalFormatting sqref="B47:B48">
    <cfRule type="cellIs" dxfId="856" priority="6" operator="equal">
      <formula>"&lt;unk.&gt;"</formula>
    </cfRule>
  </conditionalFormatting>
  <conditionalFormatting sqref="B45">
    <cfRule type="cellIs" dxfId="855" priority="5" operator="equal">
      <formula>"&lt;unk.&gt;"</formula>
    </cfRule>
  </conditionalFormatting>
  <conditionalFormatting sqref="B46">
    <cfRule type="cellIs" dxfId="854" priority="4" operator="equal">
      <formula>"&lt;unk.&gt;"</formula>
    </cfRule>
  </conditionalFormatting>
  <conditionalFormatting sqref="B50">
    <cfRule type="cellIs" dxfId="853" priority="3" operator="equal">
      <formula>"&lt;unk.&gt;"</formula>
    </cfRule>
  </conditionalFormatting>
  <conditionalFormatting sqref="B49">
    <cfRule type="cellIs" dxfId="852" priority="2" operator="equal">
      <formula>"&lt;unk.&gt;"</formula>
    </cfRule>
  </conditionalFormatting>
  <conditionalFormatting sqref="K22:K28">
    <cfRule type="expression" dxfId="851" priority="1">
      <formula>MOD(ROW(),2)=0</formula>
    </cfRule>
  </conditionalFormatting>
  <dataValidations count="5">
    <dataValidation type="list" allowBlank="1" showInputMessage="1" showErrorMessage="1" sqref="B18" xr:uid="{00000000-0002-0000-1300-000000000000}">
      <formula1>INDIRECT(SUBSTITUTE(SUBSTITUTE(SUBSTITUTE(B17," ","_"),"&amp;",""),"/",""))</formula1>
    </dataValidation>
    <dataValidation type="list" allowBlank="1" showInputMessage="1" showErrorMessage="1" sqref="B22:B26" xr:uid="{00000000-0002-0000-1300-000001000000}">
      <formula1>LYesNo</formula1>
    </dataValidation>
    <dataValidation type="list" allowBlank="1" showInputMessage="1" showErrorMessage="1" sqref="Y10:Y31" xr:uid="{00000000-0002-0000-1300-000002000000}">
      <formula1>INDIRECT($X10)</formula1>
    </dataValidation>
    <dataValidation type="list" allowBlank="1" showInputMessage="1" showErrorMessage="1" sqref="B90 B64 B45" xr:uid="{00000000-0002-0000-1300-000003000000}">
      <formula1>LPeriods</formula1>
    </dataValidation>
    <dataValidation type="list" allowBlank="1" showInputMessage="1" showErrorMessage="1" sqref="B91 B93 B65 B46 B48" xr:uid="{00000000-0002-0000-1300-000004000000}">
      <formula1>LCals</formula1>
    </dataValidation>
  </dataValidations>
  <hyperlinks>
    <hyperlink ref="B12" r:id="rId2" xr:uid="{00000000-0004-0000-13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1300-000005000000}">
          <x14:formula1>
            <xm:f>Lookups2!$K$28:$K$46</xm:f>
          </x14:formula1>
          <xm:sqref>U10:U31</xm:sqref>
        </x14:dataValidation>
        <x14:dataValidation type="list" showInputMessage="1" showErrorMessage="1" xr:uid="{00000000-0002-0000-1300-000006000000}">
          <x14:formula1>
            <xm:f>Lookups2!$AG$2:$AG$28</xm:f>
          </x14:formula1>
          <xm:sqref>B17</xm:sqref>
        </x14:dataValidation>
        <x14:dataValidation type="list" allowBlank="1" showInputMessage="1" showErrorMessage="1" xr:uid="{00000000-0002-0000-1300-000007000000}">
          <x14:formula1>
            <xm:f>Lookups2!$C$8:$C$11</xm:f>
          </x14:formula1>
          <xm:sqref>B30</xm:sqref>
        </x14:dataValidation>
        <x14:dataValidation type="list" allowBlank="1" showInputMessage="1" showErrorMessage="1" xr:uid="{00000000-0002-0000-1300-000008000000}">
          <x14:formula1>
            <xm:f>Lookups2!$Q$15:$Q$20</xm:f>
          </x14:formula1>
          <xm:sqref>G10:G31</xm:sqref>
        </x14:dataValidation>
        <x14:dataValidation type="list" allowBlank="1" showInputMessage="1" showErrorMessage="1" xr:uid="{00000000-0002-0000-1300-000009000000}">
          <x14:formula1>
            <xm:f>Lookups2!$M$35:$M$36</xm:f>
          </x14:formula1>
          <xm:sqref>V10:V31</xm:sqref>
        </x14:dataValidation>
        <x14:dataValidation type="list" allowBlank="1" showInputMessage="1" showErrorMessage="1" xr:uid="{00000000-0002-0000-1300-00000A000000}">
          <x14:formula1>
            <xm:f>EDOAlgo!$A$1:$R$1</xm:f>
          </x14:formula1>
          <xm:sqref>X10:X31</xm:sqref>
        </x14:dataValidation>
        <x14:dataValidation type="list" allowBlank="1" showInputMessage="1" showErrorMessage="1" xr:uid="{00000000-0002-0000-1300-00000B000000}">
          <x14:formula1>
            <xm:f>Lookups2!$M$41:$M$45</xm:f>
          </x14:formula1>
          <xm:sqref>S10:S31</xm:sqref>
        </x14:dataValidation>
        <x14:dataValidation type="list" allowBlank="1" showInputMessage="1" showErrorMessage="1" xr:uid="{00000000-0002-0000-1300-00000C000000}">
          <x14:formula1>
            <xm:f>INDIRECT(Lookups2!$K$9)</xm:f>
          </x14:formula1>
          <xm:sqref>T10:T31</xm:sqref>
        </x14:dataValidation>
        <x14:dataValidation type="list" allowBlank="1" showInputMessage="1" showErrorMessage="1" xr:uid="{00000000-0002-0000-1300-00000D000000}">
          <x14:formula1>
            <xm:f>Lookups2!$C$40:$C$45</xm:f>
          </x14:formula1>
          <xm:sqref>B78</xm:sqref>
        </x14:dataValidation>
        <x14:dataValidation type="list" allowBlank="1" showInputMessage="1" showErrorMessage="1" xr:uid="{00000000-0002-0000-1300-00000E000000}">
          <x14:formula1>
            <xm:f>Lookups2!$AC$2:$AC$3</xm:f>
          </x14:formula1>
          <xm:sqref>B14:B15</xm:sqref>
        </x14:dataValidation>
        <x14:dataValidation type="list" allowBlank="1" showInputMessage="1" showErrorMessage="1" xr:uid="{00000000-0002-0000-1300-00000F000000}">
          <x14:formula1>
            <xm:f>Lookups2!$Y$8:$Y$10</xm:f>
          </x14:formula1>
          <xm:sqref>B33</xm:sqref>
        </x14:dataValidation>
        <x14:dataValidation type="list" allowBlank="1" showInputMessage="1" showErrorMessage="1" xr:uid="{00000000-0002-0000-1300-000010000000}">
          <x14:formula1>
            <xm:f>Lookups2!#REF!</xm:f>
          </x14:formula1>
          <xm:sqref>H10:H31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4" tint="-0.499984740745262"/>
  </sheetPr>
  <dimension ref="A1:AA110"/>
  <sheetViews>
    <sheetView showGridLines="0" zoomScaleNormal="100" workbookViewId="0">
      <pane xSplit="6" ySplit="9" topLeftCell="G10" activePane="bottomRight" state="frozen"/>
      <selection pane="topRight" activeCell="G1" sqref="G1"/>
      <selection pane="bottomLeft" activeCell="A11" sqref="A11"/>
      <selection pane="bottomRight" activeCell="T9" sqref="T9"/>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eq_rt_pr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t="s">
        <v>3365</v>
      </c>
      <c r="C4" s="293"/>
      <c r="D4" s="293"/>
      <c r="E4" s="293"/>
      <c r="F4" s="293"/>
      <c r="G4" s="259"/>
      <c r="H4" s="259"/>
      <c r="K4" s="201" t="s">
        <v>239</v>
      </c>
      <c r="L4" s="202" t="s">
        <v>3424</v>
      </c>
      <c r="M4" s="23" t="s">
        <v>3425</v>
      </c>
    </row>
    <row r="5" spans="1:26" ht="71.25" customHeight="1" x14ac:dyDescent="0.2">
      <c r="A5" s="151" t="s">
        <v>3426</v>
      </c>
      <c r="B5" s="293" t="s">
        <v>3835</v>
      </c>
      <c r="C5" s="293"/>
      <c r="D5" s="293"/>
      <c r="E5" s="293"/>
      <c r="F5" s="293"/>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09">
        <v>1</v>
      </c>
      <c r="E10" s="64" t="s">
        <v>3836</v>
      </c>
      <c r="F10" s="64"/>
      <c r="G10" s="64" t="s">
        <v>259</v>
      </c>
      <c r="H10" s="64"/>
      <c r="I10" s="64"/>
      <c r="J10" s="64"/>
      <c r="K10" s="64" t="s">
        <v>3837</v>
      </c>
      <c r="L10" s="23"/>
      <c r="M10" s="154" t="e">
        <f>VLOOKUP(Table212[[#This Row],[Data Element]],Lookups2!AM:AN,2,FALSE)</f>
        <v>#N/A</v>
      </c>
      <c r="N10" s="64"/>
      <c r="O10" s="64"/>
      <c r="P10" s="64"/>
      <c r="Q10" s="64"/>
      <c r="R10" s="64"/>
      <c r="S10" s="64" t="s">
        <v>387</v>
      </c>
      <c r="T10" s="64"/>
      <c r="U10" s="64"/>
      <c r="V10" s="64"/>
      <c r="W10" s="64"/>
      <c r="X10" s="64"/>
      <c r="Y10" s="72"/>
      <c r="Z10" s="26"/>
    </row>
    <row r="11" spans="1:26" x14ac:dyDescent="0.2">
      <c r="A11" s="148" t="s">
        <v>153</v>
      </c>
      <c r="B11" s="23" t="s">
        <v>3365</v>
      </c>
      <c r="D11" s="209">
        <v>2</v>
      </c>
      <c r="E11" s="64" t="s">
        <v>3838</v>
      </c>
      <c r="F11" s="64"/>
      <c r="G11" s="64" t="s">
        <v>259</v>
      </c>
      <c r="H11" s="64"/>
      <c r="I11" s="64"/>
      <c r="J11" s="64"/>
      <c r="K11" s="64" t="s">
        <v>3839</v>
      </c>
      <c r="L11" s="211"/>
      <c r="M11" s="154" t="e">
        <f>VLOOKUP(Table212[[#This Row],[Data Element]],Lookups2!AM:AN,2,FALSE)</f>
        <v>#N/A</v>
      </c>
      <c r="N11" s="64"/>
      <c r="O11" s="64"/>
      <c r="P11" s="64"/>
      <c r="Q11" s="64"/>
      <c r="R11" s="64"/>
      <c r="S11" s="64" t="s">
        <v>387</v>
      </c>
      <c r="T11" s="64"/>
      <c r="U11" s="64"/>
      <c r="V11" s="64"/>
      <c r="W11" s="64"/>
      <c r="X11" s="64"/>
      <c r="Y11" s="72"/>
      <c r="Z11" s="26"/>
    </row>
    <row r="12" spans="1:26" x14ac:dyDescent="0.2">
      <c r="A12" s="194" t="s">
        <v>3454</v>
      </c>
      <c r="B12" s="208" t="s">
        <v>3366</v>
      </c>
      <c r="D12" s="209">
        <v>3</v>
      </c>
      <c r="E12" s="64" t="s">
        <v>3840</v>
      </c>
      <c r="F12" s="64"/>
      <c r="G12" s="64" t="s">
        <v>487</v>
      </c>
      <c r="H12" s="64"/>
      <c r="I12" s="64"/>
      <c r="J12" s="64"/>
      <c r="K12" s="64" t="s">
        <v>3841</v>
      </c>
      <c r="L12" s="211"/>
      <c r="M12" s="154" t="e">
        <f>VLOOKUP(Table212[[#This Row],[Data Element]],Lookups2!AM:AN,2,FALSE)</f>
        <v>#N/A</v>
      </c>
      <c r="N12" s="64"/>
      <c r="O12" s="64"/>
      <c r="P12" s="64"/>
      <c r="Q12" s="64"/>
      <c r="R12" s="64"/>
      <c r="S12" s="64" t="s">
        <v>387</v>
      </c>
      <c r="T12" s="64"/>
      <c r="U12" s="64"/>
      <c r="V12" s="64"/>
      <c r="W12" s="64"/>
      <c r="X12" s="64"/>
      <c r="Y12" s="72"/>
    </row>
    <row r="13" spans="1:26" x14ac:dyDescent="0.2">
      <c r="A13" s="195" t="s">
        <v>3455</v>
      </c>
      <c r="B13" s="62" t="s">
        <v>3686</v>
      </c>
      <c r="D13" s="209">
        <v>4</v>
      </c>
      <c r="E13" s="64" t="s">
        <v>3842</v>
      </c>
      <c r="F13" s="64"/>
      <c r="G13" s="64" t="s">
        <v>487</v>
      </c>
      <c r="H13" s="64"/>
      <c r="I13" s="64"/>
      <c r="J13" s="64"/>
      <c r="K13" s="64" t="s">
        <v>3843</v>
      </c>
      <c r="L13" s="211"/>
      <c r="M13" s="154" t="e">
        <f>VLOOKUP(Table212[[#This Row],[Data Element]],Lookups2!AM:AN,2,FALSE)</f>
        <v>#N/A</v>
      </c>
      <c r="N13" s="64"/>
      <c r="O13" s="64"/>
      <c r="P13" s="64"/>
      <c r="Q13" s="64"/>
      <c r="R13" s="64"/>
      <c r="S13" s="64" t="s">
        <v>387</v>
      </c>
      <c r="T13" s="64"/>
      <c r="U13" s="64"/>
      <c r="V13" s="64"/>
      <c r="W13" s="64"/>
      <c r="X13" s="64"/>
      <c r="Y13" s="72"/>
    </row>
    <row r="14" spans="1:26" x14ac:dyDescent="0.2">
      <c r="A14" s="196" t="s">
        <v>234</v>
      </c>
      <c r="B14" s="116" t="s">
        <v>250</v>
      </c>
      <c r="D14" s="209">
        <v>5</v>
      </c>
      <c r="E14" s="64" t="s">
        <v>3844</v>
      </c>
      <c r="F14" s="64"/>
      <c r="G14" s="64" t="s">
        <v>487</v>
      </c>
      <c r="H14" s="64"/>
      <c r="I14" s="64"/>
      <c r="J14" s="64"/>
      <c r="K14" s="64" t="s">
        <v>3845</v>
      </c>
      <c r="L14" s="211"/>
      <c r="M14" s="154" t="e">
        <f>VLOOKUP(Table212[[#This Row],[Data Element]],Lookups2!AM:AN,2,FALSE)</f>
        <v>#N/A</v>
      </c>
      <c r="N14" s="64"/>
      <c r="O14" s="64"/>
      <c r="P14" s="64"/>
      <c r="Q14" s="64"/>
      <c r="R14" s="64"/>
      <c r="S14" s="64" t="s">
        <v>387</v>
      </c>
      <c r="T14" s="64"/>
      <c r="U14" s="64"/>
      <c r="V14" s="64"/>
      <c r="W14" s="64"/>
      <c r="X14" s="64"/>
      <c r="Y14" s="72"/>
    </row>
    <row r="15" spans="1:26" x14ac:dyDescent="0.2">
      <c r="A15" s="149"/>
      <c r="B15" s="26"/>
      <c r="D15" s="209">
        <v>6</v>
      </c>
      <c r="E15" s="64" t="s">
        <v>3846</v>
      </c>
      <c r="F15" s="64"/>
      <c r="G15" s="64" t="s">
        <v>487</v>
      </c>
      <c r="H15" s="64"/>
      <c r="I15" s="64"/>
      <c r="J15" s="64"/>
      <c r="K15" s="64" t="s">
        <v>3847</v>
      </c>
      <c r="L15" s="211"/>
      <c r="M15" s="154" t="e">
        <f>VLOOKUP(Table212[[#This Row],[Data Element]],Lookups2!AM:AN,2,FALSE)</f>
        <v>#N/A</v>
      </c>
      <c r="N15" s="64"/>
      <c r="O15" s="64"/>
      <c r="P15" s="64"/>
      <c r="Q15" s="64"/>
      <c r="R15" s="64"/>
      <c r="S15" s="64" t="s">
        <v>387</v>
      </c>
      <c r="T15" s="64"/>
      <c r="U15" s="64"/>
      <c r="V15" s="64"/>
      <c r="W15" s="64"/>
      <c r="X15" s="64"/>
      <c r="Y15" s="72"/>
    </row>
    <row r="16" spans="1:26" x14ac:dyDescent="0.2">
      <c r="A16" s="150" t="s">
        <v>3456</v>
      </c>
      <c r="B16" s="69"/>
      <c r="D16" s="209">
        <v>7</v>
      </c>
      <c r="E16" s="64" t="s">
        <v>3848</v>
      </c>
      <c r="F16" s="64"/>
      <c r="G16" s="64" t="s">
        <v>259</v>
      </c>
      <c r="H16" s="64"/>
      <c r="I16" s="64"/>
      <c r="J16" s="64"/>
      <c r="K16" s="64" t="s">
        <v>3849</v>
      </c>
      <c r="L16" s="211"/>
      <c r="M16" s="154" t="e">
        <f>VLOOKUP(Table212[[#This Row],[Data Element]],Lookups2!AM:AN,2,FALSE)</f>
        <v>#N/A</v>
      </c>
      <c r="N16" s="64"/>
      <c r="O16" s="64"/>
      <c r="P16" s="64"/>
      <c r="Q16" s="64"/>
      <c r="R16" s="64"/>
      <c r="S16" s="64" t="s">
        <v>387</v>
      </c>
      <c r="T16" s="64"/>
      <c r="U16" s="64"/>
      <c r="V16" s="64"/>
      <c r="W16" s="64"/>
      <c r="X16" s="64"/>
      <c r="Y16" s="72"/>
    </row>
    <row r="17" spans="1:25" x14ac:dyDescent="0.2">
      <c r="A17" s="151" t="s">
        <v>3457</v>
      </c>
      <c r="B17" s="175" t="s">
        <v>303</v>
      </c>
      <c r="D17" s="209">
        <v>8</v>
      </c>
      <c r="E17" s="64" t="s">
        <v>3850</v>
      </c>
      <c r="F17" s="64"/>
      <c r="G17" s="64" t="s">
        <v>259</v>
      </c>
      <c r="H17" s="64"/>
      <c r="I17" s="64"/>
      <c r="J17" s="64"/>
      <c r="K17" s="64" t="s">
        <v>3851</v>
      </c>
      <c r="L17" s="211"/>
      <c r="M17" s="154" t="e">
        <f>VLOOKUP(Table212[[#This Row],[Data Element]],Lookups2!AM:AN,2,FALSE)</f>
        <v>#N/A</v>
      </c>
      <c r="N17" s="64"/>
      <c r="O17" s="64"/>
      <c r="P17" s="64"/>
      <c r="Q17" s="64"/>
      <c r="R17" s="64"/>
      <c r="S17" s="64" t="s">
        <v>387</v>
      </c>
      <c r="T17" s="64"/>
      <c r="U17" s="64"/>
      <c r="V17" s="64"/>
      <c r="W17" s="64"/>
      <c r="X17" s="64"/>
      <c r="Y17" s="72"/>
    </row>
    <row r="18" spans="1:25" x14ac:dyDescent="0.2">
      <c r="A18" s="151" t="s">
        <v>3458</v>
      </c>
      <c r="B18" s="175" t="s">
        <v>462</v>
      </c>
      <c r="D18" s="209">
        <v>9</v>
      </c>
      <c r="E18" s="64" t="s">
        <v>3683</v>
      </c>
      <c r="F18" s="64"/>
      <c r="G18" s="64" t="s">
        <v>299</v>
      </c>
      <c r="H18" s="64"/>
      <c r="I18" s="64" t="s">
        <v>3852</v>
      </c>
      <c r="J18" s="64"/>
      <c r="K18" s="64" t="s">
        <v>3853</v>
      </c>
      <c r="L18" s="211"/>
      <c r="M18" s="154" t="e">
        <f>VLOOKUP(Table212[[#This Row],[Data Element]],Lookups2!AM:AN,2,FALSE)</f>
        <v>#N/A</v>
      </c>
      <c r="N18" s="64"/>
      <c r="O18" s="64"/>
      <c r="P18" s="64"/>
      <c r="Q18" s="64"/>
      <c r="R18" s="64"/>
      <c r="S18" s="64" t="s">
        <v>387</v>
      </c>
      <c r="T18" s="64"/>
      <c r="U18" s="64"/>
      <c r="V18" s="64"/>
      <c r="W18" s="64"/>
      <c r="X18" s="64"/>
      <c r="Y18" s="72"/>
    </row>
    <row r="19" spans="1:25" ht="78" customHeight="1" x14ac:dyDescent="0.2">
      <c r="A19" s="71" t="s">
        <v>238</v>
      </c>
      <c r="B19" s="182" t="str">
        <f>VLOOKUP(B18,Lookups2!AI:AJ,2,0)</f>
        <v>Secondary market trading of common stocks, preferred stocks (centrally or bilaterally cleared)</v>
      </c>
      <c r="D19" s="209">
        <v>10</v>
      </c>
      <c r="E19" s="64" t="s">
        <v>3694</v>
      </c>
      <c r="F19" s="64"/>
      <c r="G19" s="64" t="s">
        <v>259</v>
      </c>
      <c r="H19" s="64"/>
      <c r="I19" s="64"/>
      <c r="J19" s="64"/>
      <c r="K19" s="64" t="s">
        <v>3854</v>
      </c>
      <c r="L19" s="211"/>
      <c r="M19" s="154" t="e">
        <f>VLOOKUP(Table212[[#This Row],[Data Element]],Lookups2!AM:AN,2,FALSE)</f>
        <v>#N/A</v>
      </c>
      <c r="N19" s="64"/>
      <c r="O19" s="64"/>
      <c r="P19" s="64"/>
      <c r="Q19" s="64"/>
      <c r="R19" s="64"/>
      <c r="S19" s="64" t="s">
        <v>387</v>
      </c>
      <c r="T19" s="64"/>
      <c r="U19" s="64"/>
      <c r="V19" s="64"/>
      <c r="W19" s="64"/>
      <c r="X19" s="64"/>
      <c r="Y19" s="72"/>
    </row>
    <row r="20" spans="1:25" x14ac:dyDescent="0.2">
      <c r="A20" s="149"/>
      <c r="B20" s="26"/>
      <c r="D20" s="209">
        <v>11</v>
      </c>
      <c r="E20" s="64" t="s">
        <v>3696</v>
      </c>
      <c r="F20" s="64"/>
      <c r="G20" s="64" t="s">
        <v>259</v>
      </c>
      <c r="H20" s="64"/>
      <c r="I20" s="64"/>
      <c r="J20" s="64"/>
      <c r="K20" s="64" t="s">
        <v>3697</v>
      </c>
      <c r="L20" s="211"/>
      <c r="M20" s="154" t="e">
        <f>VLOOKUP(Table212[[#This Row],[Data Element]],Lookups2!AM:AN,2,FALSE)</f>
        <v>#N/A</v>
      </c>
      <c r="N20" s="64"/>
      <c r="O20" s="64"/>
      <c r="P20" s="64"/>
      <c r="Q20" s="64"/>
      <c r="R20" s="64"/>
      <c r="S20" s="64" t="s">
        <v>387</v>
      </c>
      <c r="T20" s="64"/>
      <c r="U20" s="64"/>
      <c r="V20" s="64"/>
      <c r="W20" s="64"/>
      <c r="X20" s="64"/>
      <c r="Y20" s="72"/>
    </row>
    <row r="21" spans="1:25" x14ac:dyDescent="0.2">
      <c r="A21" s="150" t="s">
        <v>3459</v>
      </c>
      <c r="B21" s="69"/>
      <c r="D21" s="209">
        <v>12</v>
      </c>
      <c r="E21" s="64" t="s">
        <v>3855</v>
      </c>
      <c r="F21" s="64"/>
      <c r="G21" s="64" t="s">
        <v>259</v>
      </c>
      <c r="H21" s="64"/>
      <c r="I21" s="64"/>
      <c r="J21" s="64"/>
      <c r="K21" s="64" t="s">
        <v>3856</v>
      </c>
      <c r="L21" s="211"/>
      <c r="M21" s="154" t="e">
        <f>VLOOKUP(Table212[[#This Row],[Data Element]],Lookups2!AM:AN,2,FALSE)</f>
        <v>#N/A</v>
      </c>
      <c r="N21" s="64"/>
      <c r="O21" s="64"/>
      <c r="P21" s="64"/>
      <c r="Q21" s="64"/>
      <c r="R21" s="64"/>
      <c r="S21" s="64" t="s">
        <v>387</v>
      </c>
      <c r="T21" s="64"/>
      <c r="U21" s="64"/>
      <c r="V21" s="64"/>
      <c r="W21" s="64"/>
      <c r="X21" s="64"/>
      <c r="Y21" s="72"/>
    </row>
    <row r="22" spans="1:25" x14ac:dyDescent="0.2">
      <c r="A22" s="151" t="s">
        <v>3460</v>
      </c>
      <c r="B22" s="84" t="s">
        <v>276</v>
      </c>
      <c r="D22" s="209">
        <v>13</v>
      </c>
      <c r="E22" s="64" t="s">
        <v>3698</v>
      </c>
      <c r="F22" s="64"/>
      <c r="G22" s="64" t="s">
        <v>259</v>
      </c>
      <c r="H22" s="64"/>
      <c r="I22" s="64"/>
      <c r="J22" s="64"/>
      <c r="K22" s="64" t="s">
        <v>3699</v>
      </c>
      <c r="L22" s="211"/>
      <c r="M22" s="154" t="e">
        <f>VLOOKUP(Table212[[#This Row],[Data Element]],Lookups2!AM:AN,2,FALSE)</f>
        <v>#N/A</v>
      </c>
      <c r="N22" s="64"/>
      <c r="O22" s="64"/>
      <c r="P22" s="64"/>
      <c r="Q22" s="64"/>
      <c r="R22" s="64"/>
      <c r="S22" s="64" t="s">
        <v>387</v>
      </c>
      <c r="T22" s="64"/>
      <c r="U22" s="64"/>
      <c r="V22" s="64"/>
      <c r="W22" s="64"/>
      <c r="X22" s="64"/>
      <c r="Y22" s="72"/>
    </row>
    <row r="23" spans="1:25" x14ac:dyDescent="0.2">
      <c r="A23" s="151" t="s">
        <v>3461</v>
      </c>
      <c r="B23" s="84" t="s">
        <v>276</v>
      </c>
      <c r="D23" s="209">
        <v>14</v>
      </c>
      <c r="E23" s="64" t="s">
        <v>3700</v>
      </c>
      <c r="F23" s="64"/>
      <c r="G23" s="64" t="s">
        <v>259</v>
      </c>
      <c r="H23" s="64"/>
      <c r="I23" s="64"/>
      <c r="J23" s="64"/>
      <c r="K23" s="64" t="s">
        <v>3701</v>
      </c>
      <c r="L23" s="211"/>
      <c r="M23" s="154" t="e">
        <f>VLOOKUP(Table212[[#This Row],[Data Element]],Lookups2!AM:AN,2,FALSE)</f>
        <v>#N/A</v>
      </c>
      <c r="N23" s="64"/>
      <c r="O23" s="64"/>
      <c r="P23" s="64"/>
      <c r="Q23" s="64"/>
      <c r="R23" s="64"/>
      <c r="S23" s="64" t="s">
        <v>387</v>
      </c>
      <c r="T23" s="64"/>
      <c r="U23" s="64"/>
      <c r="V23" s="64"/>
      <c r="W23" s="64"/>
      <c r="X23" s="64"/>
      <c r="Y23" s="72"/>
    </row>
    <row r="24" spans="1:25" x14ac:dyDescent="0.2">
      <c r="A24" s="151" t="s">
        <v>3462</v>
      </c>
      <c r="B24" s="84" t="s">
        <v>276</v>
      </c>
    </row>
    <row r="25" spans="1:25" x14ac:dyDescent="0.2">
      <c r="A25" s="151" t="s">
        <v>3463</v>
      </c>
      <c r="B25" s="84" t="s">
        <v>276</v>
      </c>
    </row>
    <row r="26" spans="1:25" x14ac:dyDescent="0.2">
      <c r="A26" s="151" t="s">
        <v>3464</v>
      </c>
      <c r="B26" s="84" t="s">
        <v>276</v>
      </c>
    </row>
    <row r="27" spans="1:25" x14ac:dyDescent="0.2">
      <c r="A27" s="173" t="s">
        <v>3465</v>
      </c>
      <c r="B27" s="84"/>
    </row>
    <row r="28" spans="1:25" x14ac:dyDescent="0.2">
      <c r="A28" s="149"/>
      <c r="B28" s="26"/>
    </row>
    <row r="29" spans="1:25" x14ac:dyDescent="0.2">
      <c r="A29" s="65" t="s">
        <v>3446</v>
      </c>
      <c r="B29" s="69"/>
    </row>
    <row r="30" spans="1:25" x14ac:dyDescent="0.2">
      <c r="A30" s="134" t="s">
        <v>3466</v>
      </c>
      <c r="B30" s="84" t="s">
        <v>387</v>
      </c>
    </row>
    <row r="31" spans="1:25" x14ac:dyDescent="0.2">
      <c r="A31" s="8"/>
      <c r="B31" s="9"/>
    </row>
    <row r="32" spans="1:25"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t="s">
        <v>3687</v>
      </c>
    </row>
    <row r="38" spans="1:2" x14ac:dyDescent="0.2">
      <c r="A38" s="136" t="s">
        <v>3470</v>
      </c>
      <c r="B38" s="68" t="s">
        <v>3687</v>
      </c>
    </row>
    <row r="40" spans="1:2" x14ac:dyDescent="0.2">
      <c r="A40" s="65" t="s">
        <v>3471</v>
      </c>
      <c r="B40" s="66"/>
    </row>
    <row r="41" spans="1:2" ht="14.25" x14ac:dyDescent="0.25">
      <c r="A41" s="152" t="s">
        <v>3472</v>
      </c>
      <c r="B41" s="70" t="s">
        <v>3687</v>
      </c>
    </row>
    <row r="42" spans="1:2" x14ac:dyDescent="0.2">
      <c r="A42" s="152" t="s">
        <v>3473</v>
      </c>
      <c r="B42" s="68" t="s">
        <v>3687</v>
      </c>
    </row>
    <row r="44" spans="1:2" x14ac:dyDescent="0.2">
      <c r="A44" s="250" t="s">
        <v>3474</v>
      </c>
      <c r="B44" s="251"/>
    </row>
    <row r="45" spans="1:2" x14ac:dyDescent="0.2">
      <c r="A45" s="131" t="s">
        <v>3475</v>
      </c>
      <c r="B45" s="12" t="s">
        <v>255</v>
      </c>
    </row>
    <row r="46" spans="1:2" x14ac:dyDescent="0.2">
      <c r="A46" s="132" t="s">
        <v>3476</v>
      </c>
      <c r="B46" s="54" t="s">
        <v>411</v>
      </c>
    </row>
    <row r="47" spans="1:2" x14ac:dyDescent="0.2">
      <c r="A47" s="132" t="s">
        <v>3477</v>
      </c>
      <c r="B47" s="55" t="s">
        <v>3703</v>
      </c>
    </row>
    <row r="48" spans="1:2" x14ac:dyDescent="0.2">
      <c r="A48" s="133" t="s">
        <v>3478</v>
      </c>
      <c r="B48" s="50" t="s">
        <v>411</v>
      </c>
    </row>
    <row r="49" spans="1:2" x14ac:dyDescent="0.2">
      <c r="A49" s="133" t="s">
        <v>3479</v>
      </c>
      <c r="B49" s="55" t="s">
        <v>3703</v>
      </c>
    </row>
    <row r="50" spans="1:2" x14ac:dyDescent="0.2">
      <c r="A50" s="44" t="s">
        <v>3480</v>
      </c>
      <c r="B50" s="28" t="s">
        <v>3572</v>
      </c>
    </row>
    <row r="51" spans="1:2" ht="12.75" customHeight="1" x14ac:dyDescent="0.2">
      <c r="A51" s="192" t="s">
        <v>3481</v>
      </c>
      <c r="B51" s="356" t="s">
        <v>3798</v>
      </c>
    </row>
    <row r="52" spans="1:2" x14ac:dyDescent="0.2">
      <c r="A52" s="81"/>
      <c r="B52" s="357"/>
    </row>
    <row r="53" spans="1:2" x14ac:dyDescent="0.2">
      <c r="A53" s="81"/>
      <c r="B53" s="357"/>
    </row>
    <row r="54" spans="1:2" x14ac:dyDescent="0.2">
      <c r="A54" s="81"/>
      <c r="B54" s="357"/>
    </row>
    <row r="55" spans="1:2" x14ac:dyDescent="0.2">
      <c r="A55" s="81"/>
      <c r="B55" s="357"/>
    </row>
    <row r="56" spans="1:2" x14ac:dyDescent="0.2">
      <c r="A56" s="81"/>
      <c r="B56" s="357"/>
    </row>
    <row r="57" spans="1:2" x14ac:dyDescent="0.2">
      <c r="A57" s="81"/>
      <c r="B57" s="357"/>
    </row>
    <row r="58" spans="1:2" x14ac:dyDescent="0.2">
      <c r="A58" s="82"/>
      <c r="B58" s="358"/>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822" priority="26" operator="equal">
      <formula>"?"</formula>
    </cfRule>
  </conditionalFormatting>
  <conditionalFormatting sqref="B66">
    <cfRule type="cellIs" dxfId="821" priority="20" operator="equal">
      <formula>"&lt;unk.&gt;"</formula>
    </cfRule>
  </conditionalFormatting>
  <conditionalFormatting sqref="B64">
    <cfRule type="cellIs" dxfId="820" priority="19" operator="equal">
      <formula>"&lt;unk.&gt;"</formula>
    </cfRule>
  </conditionalFormatting>
  <conditionalFormatting sqref="B65">
    <cfRule type="cellIs" dxfId="819" priority="18" operator="equal">
      <formula>"&lt;unk.&gt;"</formula>
    </cfRule>
  </conditionalFormatting>
  <conditionalFormatting sqref="B92:B93">
    <cfRule type="cellIs" dxfId="818" priority="17" operator="equal">
      <formula>"&lt;unk.&gt;"</formula>
    </cfRule>
  </conditionalFormatting>
  <conditionalFormatting sqref="B90">
    <cfRule type="cellIs" dxfId="817" priority="16" operator="equal">
      <formula>"&lt;unk.&gt;"</formula>
    </cfRule>
  </conditionalFormatting>
  <conditionalFormatting sqref="B91">
    <cfRule type="cellIs" dxfId="816" priority="15" operator="equal">
      <formula>"&lt;unk.&gt;"</formula>
    </cfRule>
  </conditionalFormatting>
  <conditionalFormatting sqref="B94">
    <cfRule type="cellIs" dxfId="815" priority="14" operator="equal">
      <formula>"&lt;unk.&gt;"</formula>
    </cfRule>
  </conditionalFormatting>
  <conditionalFormatting sqref="B95">
    <cfRule type="cellIs" dxfId="814" priority="13" operator="equal">
      <formula>"&lt;unk.&gt;"</formula>
    </cfRule>
  </conditionalFormatting>
  <conditionalFormatting sqref="B84:B87">
    <cfRule type="cellIs" dxfId="813" priority="12" operator="equal">
      <formula>"&lt;unk.&gt;"</formula>
    </cfRule>
  </conditionalFormatting>
  <conditionalFormatting sqref="B47:B48">
    <cfRule type="cellIs" dxfId="812" priority="5" operator="equal">
      <formula>"&lt;unk.&gt;"</formula>
    </cfRule>
  </conditionalFormatting>
  <conditionalFormatting sqref="B27">
    <cfRule type="cellIs" dxfId="811" priority="10" operator="equal">
      <formula>"&lt;unk.&gt;"</formula>
    </cfRule>
  </conditionalFormatting>
  <conditionalFormatting sqref="B30">
    <cfRule type="cellIs" dxfId="810" priority="9" operator="equal">
      <formula>"&lt;unk.&gt;"</formula>
    </cfRule>
  </conditionalFormatting>
  <conditionalFormatting sqref="D10:E23">
    <cfRule type="expression" dxfId="809" priority="8">
      <formula>MOD(ROW(),2)=0</formula>
    </cfRule>
  </conditionalFormatting>
  <conditionalFormatting sqref="I18">
    <cfRule type="expression" dxfId="808" priority="7">
      <formula>MOD(ROW(),2)=0</formula>
    </cfRule>
  </conditionalFormatting>
  <conditionalFormatting sqref="B22:B26">
    <cfRule type="cellIs" dxfId="807" priority="6" operator="equal">
      <formula>"&lt;unk.&gt;"</formula>
    </cfRule>
  </conditionalFormatting>
  <conditionalFormatting sqref="B45">
    <cfRule type="cellIs" dxfId="806" priority="4" operator="equal">
      <formula>"&lt;unk.&gt;"</formula>
    </cfRule>
  </conditionalFormatting>
  <conditionalFormatting sqref="B46">
    <cfRule type="cellIs" dxfId="805" priority="3" operator="equal">
      <formula>"&lt;unk.&gt;"</formula>
    </cfRule>
  </conditionalFormatting>
  <conditionalFormatting sqref="B50">
    <cfRule type="cellIs" dxfId="804" priority="2" operator="equal">
      <formula>"&lt;unk.&gt;"</formula>
    </cfRule>
  </conditionalFormatting>
  <conditionalFormatting sqref="B49">
    <cfRule type="cellIs" dxfId="803" priority="1" operator="equal">
      <formula>"&lt;unk.&gt;"</formula>
    </cfRule>
  </conditionalFormatting>
  <dataValidations count="5">
    <dataValidation type="list" allowBlank="1" showInputMessage="1" showErrorMessage="1" sqref="B18" xr:uid="{00000000-0002-0000-1400-000000000000}">
      <formula1>INDIRECT(SUBSTITUTE(SUBSTITUTE(SUBSTITUTE(B17," ","_"),"&amp;",""),"/",""))</formula1>
    </dataValidation>
    <dataValidation type="list" allowBlank="1" showInputMessage="1" showErrorMessage="1" sqref="B22:B26" xr:uid="{00000000-0002-0000-1400-000001000000}">
      <formula1>LYesNo</formula1>
    </dataValidation>
    <dataValidation type="list" allowBlank="1" showInputMessage="1" showErrorMessage="1" sqref="Y10:Y23" xr:uid="{00000000-0002-0000-1400-000002000000}">
      <formula1>INDIRECT($X10)</formula1>
    </dataValidation>
    <dataValidation type="list" allowBlank="1" showInputMessage="1" showErrorMessage="1" sqref="B90 B64 B45" xr:uid="{00000000-0002-0000-1400-000003000000}">
      <formula1>LPeriods</formula1>
    </dataValidation>
    <dataValidation type="list" allowBlank="1" showInputMessage="1" showErrorMessage="1" sqref="B91 B93 B65 B46 B48" xr:uid="{00000000-0002-0000-1400-000004000000}">
      <formula1>LCals</formula1>
    </dataValidation>
  </dataValidations>
  <hyperlinks>
    <hyperlink ref="B12" r:id="rId2" xr:uid="{00000000-0004-0000-14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400-000005000000}">
          <x14:formula1>
            <xm:f>Lookups2!$K$28:$K$46</xm:f>
          </x14:formula1>
          <xm:sqref>U10:U23</xm:sqref>
        </x14:dataValidation>
        <x14:dataValidation type="list" showInputMessage="1" showErrorMessage="1" xr:uid="{00000000-0002-0000-1400-000006000000}">
          <x14:formula1>
            <xm:f>Lookups2!$AG$2:$AG$28</xm:f>
          </x14:formula1>
          <xm:sqref>B17</xm:sqref>
        </x14:dataValidation>
        <x14:dataValidation type="list" allowBlank="1" showInputMessage="1" showErrorMessage="1" xr:uid="{00000000-0002-0000-1400-000007000000}">
          <x14:formula1>
            <xm:f>Lookups2!$C$8:$C$11</xm:f>
          </x14:formula1>
          <xm:sqref>B30</xm:sqref>
        </x14:dataValidation>
        <x14:dataValidation type="list" allowBlank="1" showInputMessage="1" showErrorMessage="1" xr:uid="{00000000-0002-0000-1400-000008000000}">
          <x14:formula1>
            <xm:f>Lookups2!$Q$15:$Q$20</xm:f>
          </x14:formula1>
          <xm:sqref>G10:G23</xm:sqref>
        </x14:dataValidation>
        <x14:dataValidation type="list" allowBlank="1" showInputMessage="1" showErrorMessage="1" xr:uid="{00000000-0002-0000-1400-000009000000}">
          <x14:formula1>
            <xm:f>Lookups2!$M$35:$M$36</xm:f>
          </x14:formula1>
          <xm:sqref>V10:V23 H10:H23</xm:sqref>
        </x14:dataValidation>
        <x14:dataValidation type="list" allowBlank="1" showInputMessage="1" showErrorMessage="1" xr:uid="{00000000-0002-0000-1400-00000A000000}">
          <x14:formula1>
            <xm:f>EDOAlgo!$A$1:$R$1</xm:f>
          </x14:formula1>
          <xm:sqref>X10:X23</xm:sqref>
        </x14:dataValidation>
        <x14:dataValidation type="list" allowBlank="1" showInputMessage="1" showErrorMessage="1" xr:uid="{00000000-0002-0000-1400-00000B000000}">
          <x14:formula1>
            <xm:f>Lookups2!$M$41:$M$45</xm:f>
          </x14:formula1>
          <xm:sqref>S10:S23</xm:sqref>
        </x14:dataValidation>
        <x14:dataValidation type="list" allowBlank="1" showInputMessage="1" showErrorMessage="1" xr:uid="{00000000-0002-0000-1400-00000C000000}">
          <x14:formula1>
            <xm:f>INDIRECT(Lookups2!$K$9)</xm:f>
          </x14:formula1>
          <xm:sqref>T10:T23</xm:sqref>
        </x14:dataValidation>
        <x14:dataValidation type="list" allowBlank="1" showInputMessage="1" showErrorMessage="1" xr:uid="{00000000-0002-0000-1400-00000D000000}">
          <x14:formula1>
            <xm:f>Lookups2!$C$40:$C$45</xm:f>
          </x14:formula1>
          <xm:sqref>B78</xm:sqref>
        </x14:dataValidation>
        <x14:dataValidation type="list" allowBlank="1" showInputMessage="1" showErrorMessage="1" xr:uid="{00000000-0002-0000-1400-00000E000000}">
          <x14:formula1>
            <xm:f>Lookups2!$AC$2:$AC$3</xm:f>
          </x14:formula1>
          <xm:sqref>B14:B15</xm:sqref>
        </x14:dataValidation>
        <x14:dataValidation type="list" allowBlank="1" showInputMessage="1" showErrorMessage="1" xr:uid="{00000000-0002-0000-1400-00000F000000}">
          <x14:formula1>
            <xm:f>Lookups2!$Y$8:$Y$10</xm:f>
          </x14:formula1>
          <xm:sqref>B33</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499984740745262"/>
  </sheetPr>
  <dimension ref="A1:AA110"/>
  <sheetViews>
    <sheetView showGridLines="0" zoomScaleNormal="100" workbookViewId="0">
      <pane xSplit="6" ySplit="9" topLeftCell="J19" activePane="bottomRight" state="frozen"/>
      <selection pane="topRight" activeCell="G1" sqref="G1"/>
      <selection pane="bottomLeft" activeCell="A11" sqref="A11"/>
      <selection pane="bottomRight" activeCell="B67" sqref="B67:B74"/>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market_index_price</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46" t="s">
        <v>3857</v>
      </c>
      <c r="C4" s="347"/>
      <c r="D4" s="347"/>
      <c r="E4" s="347"/>
      <c r="F4" s="348"/>
      <c r="G4" s="259"/>
      <c r="H4" s="259"/>
      <c r="K4" s="201" t="s">
        <v>239</v>
      </c>
      <c r="L4" s="202" t="s">
        <v>3424</v>
      </c>
      <c r="M4" s="23" t="s">
        <v>3425</v>
      </c>
    </row>
    <row r="5" spans="1:26" ht="71.25" customHeight="1" x14ac:dyDescent="0.2">
      <c r="A5" s="151" t="s">
        <v>3426</v>
      </c>
      <c r="B5" s="349" t="s">
        <v>3858</v>
      </c>
      <c r="C5" s="347"/>
      <c r="D5" s="347"/>
      <c r="E5" s="347"/>
      <c r="F5" s="350"/>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09">
        <v>1</v>
      </c>
      <c r="E10" s="64" t="s">
        <v>3836</v>
      </c>
      <c r="F10" s="64">
        <v>1</v>
      </c>
      <c r="G10" s="64" t="s">
        <v>259</v>
      </c>
      <c r="H10" s="64"/>
      <c r="I10" s="64"/>
      <c r="J10" s="226"/>
      <c r="K10" s="64" t="s">
        <v>3837</v>
      </c>
      <c r="L10" s="23"/>
      <c r="M10" s="154" t="e">
        <f>VLOOKUP(Table213[[#This Row],[Data Element]],Lookups2!AM:AN,2,FALSE)</f>
        <v>#N/A</v>
      </c>
      <c r="N10" s="64"/>
      <c r="O10" s="64"/>
      <c r="P10" s="64"/>
      <c r="Q10" s="64"/>
      <c r="R10" s="64"/>
      <c r="S10" s="64" t="s">
        <v>387</v>
      </c>
      <c r="T10" s="64"/>
      <c r="U10" s="64"/>
      <c r="V10" s="64"/>
      <c r="W10" s="64"/>
      <c r="X10" s="64"/>
      <c r="Y10" s="72"/>
      <c r="Z10" s="26"/>
    </row>
    <row r="11" spans="1:26" x14ac:dyDescent="0.2">
      <c r="A11" s="148" t="s">
        <v>153</v>
      </c>
      <c r="B11" s="23" t="s">
        <v>3368</v>
      </c>
      <c r="D11" s="205">
        <v>2</v>
      </c>
      <c r="E11" s="225" t="s">
        <v>3838</v>
      </c>
      <c r="F11" s="64">
        <v>1</v>
      </c>
      <c r="G11" s="64" t="s">
        <v>259</v>
      </c>
      <c r="H11" s="64"/>
      <c r="I11" s="64"/>
      <c r="J11" s="227"/>
      <c r="K11" s="64" t="s">
        <v>3839</v>
      </c>
      <c r="L11" s="211"/>
      <c r="M11" s="154" t="e">
        <f>VLOOKUP(Table213[[#This Row],[Data Element]],Lookups2!AM:AN,2,FALSE)</f>
        <v>#N/A</v>
      </c>
      <c r="N11" s="64"/>
      <c r="O11" s="64"/>
      <c r="P11" s="64"/>
      <c r="Q11" s="64"/>
      <c r="R11" s="64"/>
      <c r="S11" s="64" t="s">
        <v>387</v>
      </c>
      <c r="T11" s="64"/>
      <c r="U11" s="64"/>
      <c r="V11" s="64"/>
      <c r="W11" s="64"/>
      <c r="X11" s="64"/>
      <c r="Y11" s="72"/>
      <c r="Z11" s="26"/>
    </row>
    <row r="12" spans="1:26" x14ac:dyDescent="0.2">
      <c r="A12" s="194" t="s">
        <v>3454</v>
      </c>
      <c r="B12" s="224" t="s">
        <v>3369</v>
      </c>
      <c r="D12" s="205">
        <v>3</v>
      </c>
      <c r="E12" s="225" t="s">
        <v>3840</v>
      </c>
      <c r="F12" s="64">
        <v>1</v>
      </c>
      <c r="G12" s="64" t="s">
        <v>487</v>
      </c>
      <c r="H12" s="64"/>
      <c r="I12" s="64"/>
      <c r="J12" s="227"/>
      <c r="K12" s="64" t="s">
        <v>3841</v>
      </c>
      <c r="L12" s="211"/>
      <c r="M12" s="154" t="e">
        <f>VLOOKUP(Table213[[#This Row],[Data Element]],Lookups2!AM:AN,2,FALSE)</f>
        <v>#N/A</v>
      </c>
      <c r="N12" s="64"/>
      <c r="O12" s="64"/>
      <c r="P12" s="64"/>
      <c r="Q12" s="64"/>
      <c r="R12" s="64"/>
      <c r="S12" s="64" t="s">
        <v>387</v>
      </c>
      <c r="T12" s="64"/>
      <c r="U12" s="64"/>
      <c r="V12" s="64"/>
      <c r="W12" s="64"/>
      <c r="X12" s="64"/>
      <c r="Y12" s="72"/>
    </row>
    <row r="13" spans="1:26" x14ac:dyDescent="0.2">
      <c r="A13" s="195" t="s">
        <v>3455</v>
      </c>
      <c r="B13" s="62" t="s">
        <v>3686</v>
      </c>
      <c r="D13" s="205">
        <v>4</v>
      </c>
      <c r="E13" s="225" t="s">
        <v>3859</v>
      </c>
      <c r="F13" s="64">
        <v>1</v>
      </c>
      <c r="G13" s="64" t="s">
        <v>487</v>
      </c>
      <c r="H13" s="64"/>
      <c r="I13" s="64"/>
      <c r="J13" s="227"/>
      <c r="K13" s="64" t="s">
        <v>3860</v>
      </c>
      <c r="L13" s="211"/>
      <c r="M13" s="154" t="e">
        <f>VLOOKUP(Table213[[#This Row],[Data Element]],Lookups2!AM:AN,2,FALSE)</f>
        <v>#N/A</v>
      </c>
      <c r="N13" s="64"/>
      <c r="O13" s="64"/>
      <c r="P13" s="64"/>
      <c r="Q13" s="64"/>
      <c r="R13" s="64"/>
      <c r="S13" s="64" t="s">
        <v>387</v>
      </c>
      <c r="T13" s="64"/>
      <c r="U13" s="64"/>
      <c r="V13" s="64"/>
      <c r="W13" s="64"/>
      <c r="X13" s="64"/>
      <c r="Y13" s="72"/>
    </row>
    <row r="14" spans="1:26" x14ac:dyDescent="0.2">
      <c r="A14" s="196" t="s">
        <v>234</v>
      </c>
      <c r="B14" s="116" t="s">
        <v>250</v>
      </c>
      <c r="D14" s="205">
        <v>5</v>
      </c>
      <c r="E14" s="225" t="s">
        <v>3842</v>
      </c>
      <c r="F14" s="64">
        <v>1</v>
      </c>
      <c r="G14" s="64" t="s">
        <v>487</v>
      </c>
      <c r="H14" s="64"/>
      <c r="I14" s="64"/>
      <c r="J14" s="228"/>
      <c r="K14" s="64" t="s">
        <v>3861</v>
      </c>
      <c r="L14" s="211"/>
      <c r="M14" s="154" t="e">
        <f>VLOOKUP(Table213[[#This Row],[Data Element]],Lookups2!AM:AN,2,FALSE)</f>
        <v>#N/A</v>
      </c>
      <c r="N14" s="64"/>
      <c r="O14" s="64"/>
      <c r="P14" s="64"/>
      <c r="Q14" s="64"/>
      <c r="R14" s="64"/>
      <c r="S14" s="64" t="s">
        <v>387</v>
      </c>
      <c r="T14" s="64"/>
      <c r="U14" s="64"/>
      <c r="V14" s="64"/>
      <c r="W14" s="64"/>
      <c r="X14" s="64"/>
      <c r="Y14" s="72"/>
    </row>
    <row r="15" spans="1:26" x14ac:dyDescent="0.2">
      <c r="A15" s="149"/>
      <c r="B15" s="26"/>
      <c r="D15" s="209">
        <v>6</v>
      </c>
      <c r="E15" s="64" t="s">
        <v>3862</v>
      </c>
      <c r="F15" s="64">
        <v>1</v>
      </c>
      <c r="G15" s="64" t="s">
        <v>487</v>
      </c>
      <c r="H15" s="64"/>
      <c r="I15" s="64"/>
      <c r="J15" s="226"/>
      <c r="K15" s="64" t="s">
        <v>3863</v>
      </c>
      <c r="L15" s="211"/>
      <c r="M15" s="154" t="e">
        <f>VLOOKUP(Table213[[#This Row],[Data Element]],Lookups2!AM:AN,2,FALSE)</f>
        <v>#N/A</v>
      </c>
      <c r="N15" s="64"/>
      <c r="O15" s="64"/>
      <c r="P15" s="64"/>
      <c r="Q15" s="64"/>
      <c r="R15" s="64"/>
      <c r="S15" s="64" t="s">
        <v>387</v>
      </c>
      <c r="T15" s="64"/>
      <c r="U15" s="64"/>
      <c r="V15" s="64"/>
      <c r="W15" s="64"/>
      <c r="X15" s="64"/>
      <c r="Y15" s="72"/>
    </row>
    <row r="16" spans="1:26" x14ac:dyDescent="0.2">
      <c r="A16" s="150" t="s">
        <v>3456</v>
      </c>
      <c r="B16" s="69"/>
      <c r="D16" s="205">
        <v>7</v>
      </c>
      <c r="E16" s="64" t="s">
        <v>3844</v>
      </c>
      <c r="F16" s="64">
        <v>1</v>
      </c>
      <c r="G16" s="64" t="s">
        <v>487</v>
      </c>
      <c r="H16" s="64"/>
      <c r="I16" s="64"/>
      <c r="J16" s="228"/>
      <c r="K16" s="64" t="s">
        <v>3864</v>
      </c>
      <c r="L16" s="211"/>
      <c r="M16" s="154" t="e">
        <f>VLOOKUP(Table213[[#This Row],[Data Element]],Lookups2!AM:AN,2,FALSE)</f>
        <v>#N/A</v>
      </c>
      <c r="N16" s="64"/>
      <c r="O16" s="64"/>
      <c r="P16" s="64"/>
      <c r="Q16" s="64"/>
      <c r="R16" s="64"/>
      <c r="S16" s="64" t="s">
        <v>387</v>
      </c>
      <c r="T16" s="64"/>
      <c r="U16" s="64"/>
      <c r="V16" s="64"/>
      <c r="W16" s="64"/>
      <c r="X16" s="64"/>
      <c r="Y16" s="72"/>
    </row>
    <row r="17" spans="1:25" x14ac:dyDescent="0.2">
      <c r="A17" s="151" t="s">
        <v>3457</v>
      </c>
      <c r="B17" s="175" t="s">
        <v>303</v>
      </c>
      <c r="D17" s="205">
        <v>8</v>
      </c>
      <c r="E17" s="64" t="s">
        <v>3865</v>
      </c>
      <c r="F17" s="64">
        <v>1</v>
      </c>
      <c r="G17" s="64" t="s">
        <v>487</v>
      </c>
      <c r="H17" s="64"/>
      <c r="I17" s="64"/>
      <c r="J17" s="226"/>
      <c r="K17" s="64" t="s">
        <v>3866</v>
      </c>
      <c r="L17" s="211"/>
      <c r="M17" s="154" t="e">
        <f>VLOOKUP(Table213[[#This Row],[Data Element]],Lookups2!AM:AN,2,FALSE)</f>
        <v>#N/A</v>
      </c>
      <c r="N17" s="64"/>
      <c r="O17" s="64"/>
      <c r="P17" s="64"/>
      <c r="Q17" s="64"/>
      <c r="R17" s="64"/>
      <c r="S17" s="64" t="s">
        <v>387</v>
      </c>
      <c r="T17" s="64"/>
      <c r="U17" s="64"/>
      <c r="V17" s="64"/>
      <c r="W17" s="64"/>
      <c r="X17" s="64"/>
      <c r="Y17" s="72"/>
    </row>
    <row r="18" spans="1:25" x14ac:dyDescent="0.2">
      <c r="A18" s="151" t="s">
        <v>3458</v>
      </c>
      <c r="B18" s="175" t="s">
        <v>513</v>
      </c>
      <c r="D18" s="205">
        <v>9</v>
      </c>
      <c r="E18" s="64" t="s">
        <v>3846</v>
      </c>
      <c r="F18" s="64">
        <v>1</v>
      </c>
      <c r="G18" s="64" t="s">
        <v>487</v>
      </c>
      <c r="H18" s="64"/>
      <c r="I18" s="64"/>
      <c r="J18" s="228"/>
      <c r="K18" s="64" t="s">
        <v>3867</v>
      </c>
      <c r="L18" s="211"/>
      <c r="M18" s="154" t="e">
        <f>VLOOKUP(Table213[[#This Row],[Data Element]],Lookups2!AM:AN,2,FALSE)</f>
        <v>#N/A</v>
      </c>
      <c r="N18" s="64"/>
      <c r="O18" s="64"/>
      <c r="P18" s="64"/>
      <c r="Q18" s="64"/>
      <c r="R18" s="64"/>
      <c r="S18" s="64" t="s">
        <v>387</v>
      </c>
      <c r="T18" s="64"/>
      <c r="U18" s="64"/>
      <c r="V18" s="64"/>
      <c r="W18" s="64"/>
      <c r="X18" s="64"/>
      <c r="Y18" s="72"/>
    </row>
    <row r="19" spans="1:25" ht="78" customHeight="1" x14ac:dyDescent="0.2">
      <c r="A19" s="71" t="s">
        <v>238</v>
      </c>
      <c r="B19" s="182" t="str">
        <f>VLOOKUP(B18,Lookups2!AI:AJ,2,0)</f>
        <v>Conversion of one currency into another currency</v>
      </c>
      <c r="D19" s="205">
        <v>10</v>
      </c>
      <c r="E19" s="64" t="s">
        <v>3868</v>
      </c>
      <c r="F19" s="64">
        <v>1</v>
      </c>
      <c r="G19" s="64" t="s">
        <v>487</v>
      </c>
      <c r="H19" s="64"/>
      <c r="I19" s="64"/>
      <c r="J19" s="226"/>
      <c r="K19" s="64" t="s">
        <v>3869</v>
      </c>
      <c r="L19" s="211"/>
      <c r="M19" s="154" t="e">
        <f>VLOOKUP(Table213[[#This Row],[Data Element]],Lookups2!AM:AN,2,FALSE)</f>
        <v>#N/A</v>
      </c>
      <c r="N19" s="64"/>
      <c r="O19" s="64"/>
      <c r="P19" s="64"/>
      <c r="Q19" s="64"/>
      <c r="R19" s="64"/>
      <c r="S19" s="64" t="s">
        <v>387</v>
      </c>
      <c r="T19" s="64"/>
      <c r="U19" s="64"/>
      <c r="V19" s="64"/>
      <c r="W19" s="64"/>
      <c r="X19" s="64"/>
      <c r="Y19" s="72"/>
    </row>
    <row r="20" spans="1:25" x14ac:dyDescent="0.2">
      <c r="A20" s="149"/>
      <c r="B20" s="26"/>
      <c r="D20" s="209">
        <v>11</v>
      </c>
      <c r="E20" s="64" t="s">
        <v>3848</v>
      </c>
      <c r="F20" s="64">
        <v>1</v>
      </c>
      <c r="G20" s="64" t="s">
        <v>487</v>
      </c>
      <c r="H20" s="64"/>
      <c r="I20" s="64"/>
      <c r="J20" s="226"/>
      <c r="K20" s="64" t="s">
        <v>3849</v>
      </c>
      <c r="L20" s="211"/>
      <c r="M20" s="154" t="e">
        <f>VLOOKUP(Table213[[#This Row],[Data Element]],Lookups2!AM:AN,2,FALSE)</f>
        <v>#N/A</v>
      </c>
      <c r="N20" s="64"/>
      <c r="O20" s="64"/>
      <c r="P20" s="64"/>
      <c r="Q20" s="64"/>
      <c r="R20" s="64"/>
      <c r="S20" s="64" t="s">
        <v>387</v>
      </c>
      <c r="T20" s="64"/>
      <c r="U20" s="64"/>
      <c r="V20" s="64"/>
      <c r="W20" s="64"/>
      <c r="X20" s="64"/>
      <c r="Y20" s="72"/>
    </row>
    <row r="21" spans="1:25" x14ac:dyDescent="0.2">
      <c r="A21" s="150" t="s">
        <v>3459</v>
      </c>
      <c r="B21" s="69"/>
      <c r="D21" s="205">
        <v>12</v>
      </c>
      <c r="E21" s="64" t="s">
        <v>3870</v>
      </c>
      <c r="F21" s="64">
        <v>1</v>
      </c>
      <c r="G21" s="64" t="s">
        <v>487</v>
      </c>
      <c r="H21" s="64"/>
      <c r="I21" s="64"/>
      <c r="J21" s="226"/>
      <c r="K21" s="64" t="s">
        <v>3871</v>
      </c>
      <c r="L21" s="211"/>
      <c r="M21" s="154" t="e">
        <f>VLOOKUP(Table213[[#This Row],[Data Element]],Lookups2!AM:AN,2,FALSE)</f>
        <v>#N/A</v>
      </c>
      <c r="N21" s="64"/>
      <c r="O21" s="64"/>
      <c r="P21" s="64"/>
      <c r="Q21" s="64"/>
      <c r="R21" s="64"/>
      <c r="S21" s="64" t="s">
        <v>387</v>
      </c>
      <c r="T21" s="64"/>
      <c r="U21" s="64"/>
      <c r="V21" s="64"/>
      <c r="W21" s="64"/>
      <c r="X21" s="64"/>
      <c r="Y21" s="72"/>
    </row>
    <row r="22" spans="1:25" x14ac:dyDescent="0.2">
      <c r="A22" s="151" t="s">
        <v>3460</v>
      </c>
      <c r="B22" s="84" t="s">
        <v>276</v>
      </c>
      <c r="D22" s="205">
        <v>13</v>
      </c>
      <c r="E22" s="64" t="s">
        <v>3850</v>
      </c>
      <c r="F22" s="64">
        <v>1</v>
      </c>
      <c r="G22" s="64" t="s">
        <v>487</v>
      </c>
      <c r="H22" s="64"/>
      <c r="I22" s="64"/>
      <c r="J22" s="226"/>
      <c r="K22" s="64" t="s">
        <v>3872</v>
      </c>
      <c r="L22" s="211"/>
      <c r="M22" s="154" t="e">
        <f>VLOOKUP(Table213[[#This Row],[Data Element]],Lookups2!AM:AN,2,FALSE)</f>
        <v>#N/A</v>
      </c>
      <c r="N22" s="64"/>
      <c r="O22" s="64"/>
      <c r="P22" s="64"/>
      <c r="Q22" s="64"/>
      <c r="R22" s="64"/>
      <c r="S22" s="64" t="s">
        <v>387</v>
      </c>
      <c r="T22" s="64"/>
      <c r="U22" s="64"/>
      <c r="V22" s="64"/>
      <c r="W22" s="64"/>
      <c r="X22" s="64"/>
      <c r="Y22" s="72"/>
    </row>
    <row r="23" spans="1:25" x14ac:dyDescent="0.2">
      <c r="A23" s="151" t="s">
        <v>3461</v>
      </c>
      <c r="B23" s="84" t="s">
        <v>276</v>
      </c>
      <c r="D23" s="205">
        <v>14</v>
      </c>
      <c r="E23" s="64" t="s">
        <v>3873</v>
      </c>
      <c r="F23" s="64">
        <v>1</v>
      </c>
      <c r="G23" s="64" t="s">
        <v>487</v>
      </c>
      <c r="H23" s="64"/>
      <c r="I23" s="64"/>
      <c r="J23" s="226"/>
      <c r="K23" s="64" t="s">
        <v>3874</v>
      </c>
      <c r="L23" s="211"/>
      <c r="M23" s="154" t="e">
        <f>VLOOKUP(Table213[[#This Row],[Data Element]],Lookups2!AM:AN,2,FALSE)</f>
        <v>#N/A</v>
      </c>
      <c r="N23" s="64"/>
      <c r="O23" s="64"/>
      <c r="P23" s="64"/>
      <c r="Q23" s="64"/>
      <c r="R23" s="64"/>
      <c r="S23" s="64" t="s">
        <v>387</v>
      </c>
      <c r="T23" s="64"/>
      <c r="U23" s="64"/>
      <c r="V23" s="64"/>
      <c r="W23" s="64"/>
      <c r="X23" s="64"/>
      <c r="Y23" s="72"/>
    </row>
    <row r="24" spans="1:25" x14ac:dyDescent="0.2">
      <c r="A24" s="151" t="s">
        <v>3462</v>
      </c>
      <c r="B24" s="84" t="s">
        <v>276</v>
      </c>
      <c r="D24" s="205">
        <v>15</v>
      </c>
      <c r="E24" s="64" t="s">
        <v>3683</v>
      </c>
      <c r="F24" s="64">
        <v>1</v>
      </c>
      <c r="G24" s="64" t="s">
        <v>10</v>
      </c>
      <c r="H24" s="64"/>
      <c r="I24" s="64" t="s">
        <v>3875</v>
      </c>
      <c r="J24" s="229"/>
      <c r="K24" s="64" t="s">
        <v>3853</v>
      </c>
      <c r="L24" s="211"/>
      <c r="M24" s="154" t="e">
        <f>VLOOKUP(Table213[[#This Row],[Data Element]],Lookups2!AM:AN,2,FALSE)</f>
        <v>#N/A</v>
      </c>
      <c r="N24" s="64"/>
      <c r="O24" s="64"/>
      <c r="P24" s="64"/>
      <c r="Q24" s="64"/>
      <c r="R24" s="64"/>
      <c r="S24" s="64" t="s">
        <v>387</v>
      </c>
      <c r="T24" s="64"/>
      <c r="U24" s="64"/>
      <c r="V24" s="64"/>
      <c r="W24" s="64"/>
      <c r="X24" s="64"/>
      <c r="Y24" s="72"/>
    </row>
    <row r="25" spans="1:25" x14ac:dyDescent="0.2">
      <c r="A25" s="151" t="s">
        <v>3463</v>
      </c>
      <c r="B25" s="84" t="s">
        <v>276</v>
      </c>
      <c r="D25" s="209">
        <v>16</v>
      </c>
      <c r="E25" s="64" t="s">
        <v>3694</v>
      </c>
      <c r="F25" s="64">
        <v>1</v>
      </c>
      <c r="G25" s="64" t="s">
        <v>487</v>
      </c>
      <c r="H25" s="64"/>
      <c r="I25" s="64"/>
      <c r="J25" s="228"/>
      <c r="K25" s="64" t="s">
        <v>3854</v>
      </c>
      <c r="L25" s="211"/>
      <c r="M25" s="154" t="e">
        <f>VLOOKUP(Table213[[#This Row],[Data Element]],Lookups2!AM:AN,2,FALSE)</f>
        <v>#N/A</v>
      </c>
      <c r="N25" s="64"/>
      <c r="O25" s="64"/>
      <c r="P25" s="64"/>
      <c r="Q25" s="64"/>
      <c r="R25" s="64"/>
      <c r="S25" s="64" t="s">
        <v>387</v>
      </c>
      <c r="T25" s="64"/>
      <c r="U25" s="64"/>
      <c r="V25" s="64"/>
      <c r="W25" s="64"/>
      <c r="X25" s="64"/>
      <c r="Y25" s="72"/>
    </row>
    <row r="26" spans="1:25" x14ac:dyDescent="0.2">
      <c r="A26" s="151" t="s">
        <v>3464</v>
      </c>
      <c r="B26" s="84" t="s">
        <v>276</v>
      </c>
      <c r="D26" s="205">
        <v>17</v>
      </c>
      <c r="E26" s="64" t="s">
        <v>3876</v>
      </c>
      <c r="F26" s="64">
        <v>1</v>
      </c>
      <c r="G26" s="64" t="s">
        <v>487</v>
      </c>
      <c r="H26" s="64"/>
      <c r="I26" s="64"/>
      <c r="J26" s="226"/>
      <c r="K26" s="64" t="s">
        <v>3877</v>
      </c>
      <c r="L26" s="211"/>
      <c r="M26" s="154" t="e">
        <f>VLOOKUP(Table213[[#This Row],[Data Element]],Lookups2!AM:AN,2,FALSE)</f>
        <v>#N/A</v>
      </c>
      <c r="N26" s="64"/>
      <c r="O26" s="64"/>
      <c r="P26" s="64"/>
      <c r="Q26" s="64"/>
      <c r="R26" s="64"/>
      <c r="S26" s="64" t="s">
        <v>387</v>
      </c>
      <c r="T26" s="64"/>
      <c r="U26" s="64"/>
      <c r="V26" s="64"/>
      <c r="W26" s="64"/>
      <c r="X26" s="64"/>
      <c r="Y26" s="72"/>
    </row>
    <row r="27" spans="1:25" x14ac:dyDescent="0.2">
      <c r="A27" s="173" t="s">
        <v>3465</v>
      </c>
      <c r="B27" s="84"/>
      <c r="D27" s="205">
        <v>18</v>
      </c>
      <c r="E27" s="64" t="s">
        <v>3696</v>
      </c>
      <c r="F27" s="64">
        <v>1</v>
      </c>
      <c r="G27" s="64" t="s">
        <v>487</v>
      </c>
      <c r="H27" s="64"/>
      <c r="I27" s="64"/>
      <c r="J27" s="228"/>
      <c r="K27" s="64" t="s">
        <v>3697</v>
      </c>
      <c r="L27" s="211"/>
      <c r="M27" s="154" t="e">
        <f>VLOOKUP(Table213[[#This Row],[Data Element]],Lookups2!AM:AN,2,FALSE)</f>
        <v>#N/A</v>
      </c>
      <c r="N27" s="64"/>
      <c r="O27" s="64"/>
      <c r="P27" s="64"/>
      <c r="Q27" s="64"/>
      <c r="R27" s="64"/>
      <c r="S27" s="64" t="s">
        <v>387</v>
      </c>
      <c r="T27" s="64"/>
      <c r="U27" s="64"/>
      <c r="V27" s="64"/>
      <c r="W27" s="64"/>
      <c r="X27" s="64"/>
      <c r="Y27" s="72"/>
    </row>
    <row r="28" spans="1:25" x14ac:dyDescent="0.2">
      <c r="A28" s="149"/>
      <c r="B28" s="26"/>
      <c r="D28" s="205">
        <v>19</v>
      </c>
      <c r="E28" s="64" t="s">
        <v>3878</v>
      </c>
      <c r="F28" s="64">
        <v>1</v>
      </c>
      <c r="G28" s="64" t="s">
        <v>487</v>
      </c>
      <c r="H28" s="64"/>
      <c r="I28" s="64"/>
      <c r="J28" s="226"/>
      <c r="K28" s="64" t="s">
        <v>3879</v>
      </c>
      <c r="L28" s="211"/>
      <c r="M28" s="154" t="e">
        <f>VLOOKUP(Table213[[#This Row],[Data Element]],Lookups2!AM:AN,2,FALSE)</f>
        <v>#N/A</v>
      </c>
      <c r="N28" s="64"/>
      <c r="O28" s="64"/>
      <c r="P28" s="64"/>
      <c r="Q28" s="64"/>
      <c r="R28" s="64"/>
      <c r="S28" s="64" t="s">
        <v>387</v>
      </c>
      <c r="T28" s="64"/>
      <c r="U28" s="64"/>
      <c r="V28" s="64"/>
      <c r="W28" s="64"/>
      <c r="X28" s="64"/>
      <c r="Y28" s="72"/>
    </row>
    <row r="29" spans="1:25" x14ac:dyDescent="0.2">
      <c r="A29" s="65" t="s">
        <v>3446</v>
      </c>
      <c r="B29" s="69"/>
      <c r="D29" s="205">
        <v>20</v>
      </c>
      <c r="E29" s="64" t="s">
        <v>3855</v>
      </c>
      <c r="F29" s="64">
        <v>1</v>
      </c>
      <c r="G29" s="64" t="s">
        <v>487</v>
      </c>
      <c r="H29" s="64"/>
      <c r="I29" s="64"/>
      <c r="J29" s="228"/>
      <c r="K29" s="64" t="s">
        <v>3856</v>
      </c>
      <c r="L29" s="211"/>
      <c r="M29" s="154" t="e">
        <f>VLOOKUP(Table213[[#This Row],[Data Element]],Lookups2!AM:AN,2,FALSE)</f>
        <v>#N/A</v>
      </c>
      <c r="N29" s="64"/>
      <c r="O29" s="64"/>
      <c r="P29" s="64"/>
      <c r="Q29" s="64"/>
      <c r="R29" s="64"/>
      <c r="S29" s="64" t="s">
        <v>387</v>
      </c>
      <c r="T29" s="64"/>
      <c r="U29" s="64"/>
      <c r="V29" s="64"/>
      <c r="W29" s="64"/>
      <c r="X29" s="64"/>
      <c r="Y29" s="72"/>
    </row>
    <row r="30" spans="1:25" x14ac:dyDescent="0.2">
      <c r="A30" s="134" t="s">
        <v>3466</v>
      </c>
      <c r="B30" s="84" t="s">
        <v>387</v>
      </c>
      <c r="D30" s="209">
        <v>21</v>
      </c>
      <c r="E30" s="64" t="s">
        <v>3880</v>
      </c>
      <c r="F30" s="64">
        <v>1</v>
      </c>
      <c r="G30" s="64" t="s">
        <v>487</v>
      </c>
      <c r="H30" s="64"/>
      <c r="I30" s="64"/>
      <c r="J30" s="226"/>
      <c r="K30" s="64" t="s">
        <v>3881</v>
      </c>
      <c r="L30" s="211"/>
      <c r="M30" s="154" t="e">
        <f>VLOOKUP(Table213[[#This Row],[Data Element]],Lookups2!AM:AN,2,FALSE)</f>
        <v>#N/A</v>
      </c>
      <c r="N30" s="64"/>
      <c r="O30" s="64"/>
      <c r="P30" s="64"/>
      <c r="Q30" s="64"/>
      <c r="R30" s="64"/>
      <c r="S30" s="64" t="s">
        <v>387</v>
      </c>
      <c r="T30" s="64"/>
      <c r="U30" s="64"/>
      <c r="V30" s="64"/>
      <c r="W30" s="64"/>
      <c r="X30" s="64"/>
      <c r="Y30" s="72"/>
    </row>
    <row r="31" spans="1:25" x14ac:dyDescent="0.2">
      <c r="A31" s="8"/>
      <c r="B31" s="9"/>
      <c r="D31" s="205">
        <v>22</v>
      </c>
      <c r="E31" s="64" t="s">
        <v>3698</v>
      </c>
      <c r="F31" s="64">
        <v>1</v>
      </c>
      <c r="G31" s="64" t="s">
        <v>487</v>
      </c>
      <c r="H31" s="64"/>
      <c r="I31" s="64"/>
      <c r="J31" s="230"/>
      <c r="K31" s="64" t="s">
        <v>3699</v>
      </c>
      <c r="L31" s="211"/>
      <c r="M31" s="154" t="e">
        <f>VLOOKUP(Table213[[#This Row],[Data Element]],Lookups2!AM:AN,2,FALSE)</f>
        <v>#N/A</v>
      </c>
      <c r="N31" s="64"/>
      <c r="O31" s="64"/>
      <c r="P31" s="64"/>
      <c r="Q31" s="64"/>
      <c r="R31" s="64"/>
      <c r="S31" s="64" t="s">
        <v>387</v>
      </c>
      <c r="T31" s="64"/>
      <c r="U31" s="64"/>
      <c r="V31" s="64"/>
      <c r="W31" s="64"/>
      <c r="X31" s="64"/>
      <c r="Y31" s="72"/>
    </row>
    <row r="32" spans="1:25" x14ac:dyDescent="0.2">
      <c r="A32" s="65" t="s">
        <v>3467</v>
      </c>
      <c r="B32" s="69"/>
      <c r="D32" s="205">
        <v>23</v>
      </c>
      <c r="E32" s="64" t="s">
        <v>3700</v>
      </c>
      <c r="F32" s="64">
        <v>1</v>
      </c>
      <c r="G32" s="64" t="s">
        <v>487</v>
      </c>
      <c r="H32" s="64"/>
      <c r="I32" s="64"/>
      <c r="J32" s="230"/>
      <c r="K32" s="64" t="s">
        <v>3701</v>
      </c>
      <c r="L32" s="211"/>
      <c r="M32" s="154" t="e">
        <f>VLOOKUP(Table213[[#This Row],[Data Element]],Lookups2!AM:AN,2,FALSE)</f>
        <v>#N/A</v>
      </c>
      <c r="N32" s="64"/>
      <c r="O32" s="64"/>
      <c r="P32" s="64"/>
      <c r="Q32" s="64"/>
      <c r="R32" s="64"/>
      <c r="S32" s="64" t="s">
        <v>387</v>
      </c>
      <c r="T32" s="64"/>
      <c r="U32" s="64"/>
      <c r="V32" s="64"/>
      <c r="W32" s="64"/>
      <c r="X32" s="64"/>
      <c r="Y32" s="72"/>
    </row>
    <row r="33" spans="1:25" ht="14.25" x14ac:dyDescent="0.25">
      <c r="A33" s="134" t="s">
        <v>232</v>
      </c>
      <c r="B33" s="176" t="s">
        <v>377</v>
      </c>
      <c r="D33" s="205">
        <v>24</v>
      </c>
      <c r="E33" s="64" t="s">
        <v>3882</v>
      </c>
      <c r="F33" s="64">
        <v>1</v>
      </c>
      <c r="G33" s="64" t="s">
        <v>487</v>
      </c>
      <c r="H33" s="64"/>
      <c r="I33" s="64"/>
      <c r="J33" s="226"/>
      <c r="K33" s="225" t="s">
        <v>3883</v>
      </c>
      <c r="L33" s="211"/>
      <c r="M33" s="154" t="e">
        <f>VLOOKUP(Table213[[#This Row],[Data Element]],Lookups2!AM:AN,2,FALSE)</f>
        <v>#N/A</v>
      </c>
      <c r="N33" s="64"/>
      <c r="O33" s="64"/>
      <c r="P33" s="64"/>
      <c r="Q33" s="64"/>
      <c r="R33" s="64"/>
      <c r="S33" s="64" t="s">
        <v>387</v>
      </c>
      <c r="T33" s="64"/>
      <c r="U33" s="64"/>
      <c r="V33" s="64"/>
      <c r="W33" s="64"/>
      <c r="X33" s="64"/>
      <c r="Y33" s="72"/>
    </row>
    <row r="34" spans="1:25" x14ac:dyDescent="0.2">
      <c r="A34" s="67" t="s">
        <v>3468</v>
      </c>
      <c r="B34" s="68"/>
    </row>
    <row r="35" spans="1:25" ht="14.25" x14ac:dyDescent="0.25">
      <c r="A35" s="73"/>
      <c r="B35" s="73"/>
    </row>
    <row r="36" spans="1:25" x14ac:dyDescent="0.2">
      <c r="A36" s="65" t="s">
        <v>754</v>
      </c>
      <c r="B36" s="69"/>
    </row>
    <row r="37" spans="1:25" ht="14.25" x14ac:dyDescent="0.25">
      <c r="A37" s="135" t="s">
        <v>3469</v>
      </c>
      <c r="B37" s="70" t="s">
        <v>3687</v>
      </c>
    </row>
    <row r="38" spans="1:25" x14ac:dyDescent="0.2">
      <c r="A38" s="136" t="s">
        <v>3470</v>
      </c>
      <c r="B38" s="68" t="s">
        <v>3687</v>
      </c>
    </row>
    <row r="40" spans="1:25" x14ac:dyDescent="0.2">
      <c r="A40" s="65" t="s">
        <v>3471</v>
      </c>
      <c r="B40" s="66"/>
    </row>
    <row r="41" spans="1:25" x14ac:dyDescent="0.2">
      <c r="A41" s="152" t="s">
        <v>3472</v>
      </c>
      <c r="B41" s="64" t="s">
        <v>3687</v>
      </c>
    </row>
    <row r="42" spans="1:25" x14ac:dyDescent="0.2">
      <c r="A42" s="152" t="s">
        <v>3473</v>
      </c>
      <c r="B42" s="64" t="s">
        <v>3687</v>
      </c>
    </row>
    <row r="44" spans="1:25" x14ac:dyDescent="0.2">
      <c r="A44" s="250" t="s">
        <v>3474</v>
      </c>
      <c r="B44" s="251"/>
    </row>
    <row r="45" spans="1:25" x14ac:dyDescent="0.2">
      <c r="A45" s="131" t="s">
        <v>3475</v>
      </c>
      <c r="B45" s="91" t="s">
        <v>255</v>
      </c>
    </row>
    <row r="46" spans="1:25" x14ac:dyDescent="0.2">
      <c r="A46" s="132" t="s">
        <v>3476</v>
      </c>
      <c r="B46" s="54" t="s">
        <v>411</v>
      </c>
    </row>
    <row r="47" spans="1:25" x14ac:dyDescent="0.2">
      <c r="A47" s="132" t="s">
        <v>3477</v>
      </c>
      <c r="B47" s="55" t="s">
        <v>3703</v>
      </c>
    </row>
    <row r="48" spans="1:25" x14ac:dyDescent="0.2">
      <c r="A48" s="133" t="s">
        <v>3478</v>
      </c>
      <c r="B48" s="50" t="s">
        <v>411</v>
      </c>
    </row>
    <row r="49" spans="1:2" x14ac:dyDescent="0.2">
      <c r="A49" s="133" t="s">
        <v>3479</v>
      </c>
      <c r="B49" s="55" t="s">
        <v>3703</v>
      </c>
    </row>
    <row r="50" spans="1:2" x14ac:dyDescent="0.2">
      <c r="A50" s="44" t="s">
        <v>3480</v>
      </c>
      <c r="B50" s="28" t="s">
        <v>3572</v>
      </c>
    </row>
    <row r="51" spans="1:2" x14ac:dyDescent="0.2">
      <c r="A51" s="192" t="s">
        <v>3481</v>
      </c>
      <c r="B51" s="356" t="s">
        <v>3798</v>
      </c>
    </row>
    <row r="52" spans="1:2" x14ac:dyDescent="0.2">
      <c r="A52" s="81"/>
      <c r="B52" s="357"/>
    </row>
    <row r="53" spans="1:2" x14ac:dyDescent="0.2">
      <c r="A53" s="81"/>
      <c r="B53" s="357"/>
    </row>
    <row r="54" spans="1:2" x14ac:dyDescent="0.2">
      <c r="A54" s="81"/>
      <c r="B54" s="357"/>
    </row>
    <row r="55" spans="1:2" x14ac:dyDescent="0.2">
      <c r="A55" s="81"/>
      <c r="B55" s="357"/>
    </row>
    <row r="56" spans="1:2" x14ac:dyDescent="0.2">
      <c r="A56" s="81"/>
      <c r="B56" s="357"/>
    </row>
    <row r="57" spans="1:2" x14ac:dyDescent="0.2">
      <c r="A57" s="81"/>
      <c r="B57" s="357"/>
    </row>
    <row r="58" spans="1:2" x14ac:dyDescent="0.2">
      <c r="A58" s="82"/>
      <c r="B58" s="358"/>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774" priority="27" operator="equal">
      <formula>"?"</formula>
    </cfRule>
  </conditionalFormatting>
  <conditionalFormatting sqref="B45">
    <cfRule type="cellIs" dxfId="773" priority="25" operator="equal">
      <formula>"&lt;unk.&gt;"</formula>
    </cfRule>
  </conditionalFormatting>
  <conditionalFormatting sqref="B64">
    <cfRule type="cellIs" dxfId="772" priority="20" operator="equal">
      <formula>"&lt;unk.&gt;"</formula>
    </cfRule>
  </conditionalFormatting>
  <conditionalFormatting sqref="B65">
    <cfRule type="cellIs" dxfId="771" priority="19" operator="equal">
      <formula>"&lt;unk.&gt;"</formula>
    </cfRule>
  </conditionalFormatting>
  <conditionalFormatting sqref="B92:B93">
    <cfRule type="cellIs" dxfId="770" priority="18" operator="equal">
      <formula>"&lt;unk.&gt;"</formula>
    </cfRule>
  </conditionalFormatting>
  <conditionalFormatting sqref="B66">
    <cfRule type="cellIs" dxfId="769" priority="21" operator="equal">
      <formula>"&lt;unk.&gt;"</formula>
    </cfRule>
  </conditionalFormatting>
  <conditionalFormatting sqref="B90">
    <cfRule type="cellIs" dxfId="768" priority="17" operator="equal">
      <formula>"&lt;unk.&gt;"</formula>
    </cfRule>
  </conditionalFormatting>
  <conditionalFormatting sqref="B91">
    <cfRule type="cellIs" dxfId="767" priority="16" operator="equal">
      <formula>"&lt;unk.&gt;"</formula>
    </cfRule>
  </conditionalFormatting>
  <conditionalFormatting sqref="B94">
    <cfRule type="cellIs" dxfId="766" priority="15" operator="equal">
      <formula>"&lt;unk.&gt;"</formula>
    </cfRule>
  </conditionalFormatting>
  <conditionalFormatting sqref="B95">
    <cfRule type="cellIs" dxfId="765" priority="14" operator="equal">
      <formula>"&lt;unk.&gt;"</formula>
    </cfRule>
  </conditionalFormatting>
  <conditionalFormatting sqref="B84:B87">
    <cfRule type="cellIs" dxfId="764" priority="13" operator="equal">
      <formula>"&lt;unk.&gt;"</formula>
    </cfRule>
  </conditionalFormatting>
  <conditionalFormatting sqref="B27">
    <cfRule type="cellIs" dxfId="763" priority="11" operator="equal">
      <formula>"&lt;unk.&gt;"</formula>
    </cfRule>
  </conditionalFormatting>
  <conditionalFormatting sqref="B30">
    <cfRule type="cellIs" dxfId="762" priority="10" operator="equal">
      <formula>"&lt;unk.&gt;"</formula>
    </cfRule>
  </conditionalFormatting>
  <conditionalFormatting sqref="D10:E33">
    <cfRule type="expression" dxfId="761" priority="9">
      <formula>MOD(ROW(),2)=0</formula>
    </cfRule>
  </conditionalFormatting>
  <conditionalFormatting sqref="I24">
    <cfRule type="expression" dxfId="760" priority="8">
      <formula>MOD(ROW(),2)=0</formula>
    </cfRule>
  </conditionalFormatting>
  <conditionalFormatting sqref="J10:J13 J15 J17 J19:J23 J26 J28 J30 J33">
    <cfRule type="expression" dxfId="759" priority="7">
      <formula>MOD(ROW(),2)=0</formula>
    </cfRule>
  </conditionalFormatting>
  <conditionalFormatting sqref="J10:J13 J15 J17 J19:J23 J26 J28 J30 J33">
    <cfRule type="expression" dxfId="758" priority="6">
      <formula>MOD(ROW(),2)=0</formula>
    </cfRule>
  </conditionalFormatting>
  <conditionalFormatting sqref="B22:B26">
    <cfRule type="cellIs" dxfId="757" priority="5" operator="equal">
      <formula>"&lt;unk.&gt;"</formula>
    </cfRule>
  </conditionalFormatting>
  <conditionalFormatting sqref="B47:B48">
    <cfRule type="cellIs" dxfId="756" priority="4" operator="equal">
      <formula>"&lt;unk.&gt;"</formula>
    </cfRule>
  </conditionalFormatting>
  <conditionalFormatting sqref="B46">
    <cfRule type="cellIs" dxfId="755" priority="3" operator="equal">
      <formula>"&lt;unk.&gt;"</formula>
    </cfRule>
  </conditionalFormatting>
  <conditionalFormatting sqref="B50">
    <cfRule type="cellIs" dxfId="754" priority="2" operator="equal">
      <formula>"&lt;unk.&gt;"</formula>
    </cfRule>
  </conditionalFormatting>
  <conditionalFormatting sqref="B49">
    <cfRule type="cellIs" dxfId="753" priority="1" operator="equal">
      <formula>"&lt;unk.&gt;"</formula>
    </cfRule>
  </conditionalFormatting>
  <dataValidations count="5">
    <dataValidation type="list" allowBlank="1" showInputMessage="1" showErrorMessage="1" sqref="B18" xr:uid="{00000000-0002-0000-1500-000000000000}">
      <formula1>INDIRECT(SUBSTITUTE(SUBSTITUTE(SUBSTITUTE(B17," ","_"),"&amp;",""),"/",""))</formula1>
    </dataValidation>
    <dataValidation type="list" allowBlank="1" showInputMessage="1" showErrorMessage="1" sqref="B22:B26" xr:uid="{00000000-0002-0000-1500-000001000000}">
      <formula1>LYesNo</formula1>
    </dataValidation>
    <dataValidation type="list" allowBlank="1" showInputMessage="1" showErrorMessage="1" sqref="Y10:Y33" xr:uid="{00000000-0002-0000-1500-000002000000}">
      <formula1>INDIRECT($X10)</formula1>
    </dataValidation>
    <dataValidation type="list" allowBlank="1" showInputMessage="1" showErrorMessage="1" sqref="B45 B64 B90" xr:uid="{00000000-0002-0000-1500-000003000000}">
      <formula1>LPeriods</formula1>
    </dataValidation>
    <dataValidation type="list" allowBlank="1" showInputMessage="1" showErrorMessage="1" sqref="B91 B93 B65 B46 B48" xr:uid="{00000000-0002-0000-1500-000004000000}">
      <formula1>LCals</formula1>
    </dataValidation>
  </dataValidations>
  <hyperlinks>
    <hyperlink ref="B12" r:id="rId2" xr:uid="{00000000-0004-0000-15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500-000005000000}">
          <x14:formula1>
            <xm:f>Lookups2!$K$28:$K$46</xm:f>
          </x14:formula1>
          <xm:sqref>U10:U33</xm:sqref>
        </x14:dataValidation>
        <x14:dataValidation type="list" showInputMessage="1" showErrorMessage="1" xr:uid="{00000000-0002-0000-1500-000006000000}">
          <x14:formula1>
            <xm:f>Lookups2!$AG$2:$AG$28</xm:f>
          </x14:formula1>
          <xm:sqref>B17</xm:sqref>
        </x14:dataValidation>
        <x14:dataValidation type="list" allowBlank="1" showInputMessage="1" showErrorMessage="1" xr:uid="{00000000-0002-0000-1500-000007000000}">
          <x14:formula1>
            <xm:f>Lookups2!$C$8:$C$11</xm:f>
          </x14:formula1>
          <xm:sqref>B30</xm:sqref>
        </x14:dataValidation>
        <x14:dataValidation type="list" allowBlank="1" showInputMessage="1" showErrorMessage="1" xr:uid="{00000000-0002-0000-1500-000008000000}">
          <x14:formula1>
            <xm:f>Lookups2!$Q$15:$Q$20</xm:f>
          </x14:formula1>
          <xm:sqref>G10:G33</xm:sqref>
        </x14:dataValidation>
        <x14:dataValidation type="list" allowBlank="1" showInputMessage="1" showErrorMessage="1" xr:uid="{00000000-0002-0000-1500-000009000000}">
          <x14:formula1>
            <xm:f>Lookups2!$M$35:$M$36</xm:f>
          </x14:formula1>
          <xm:sqref>V10:V33 H10:H33</xm:sqref>
        </x14:dataValidation>
        <x14:dataValidation type="list" allowBlank="1" showInputMessage="1" showErrorMessage="1" xr:uid="{00000000-0002-0000-1500-00000A000000}">
          <x14:formula1>
            <xm:f>EDOAlgo!$A$1:$R$1</xm:f>
          </x14:formula1>
          <xm:sqref>X10:X33</xm:sqref>
        </x14:dataValidation>
        <x14:dataValidation type="list" allowBlank="1" showInputMessage="1" showErrorMessage="1" xr:uid="{00000000-0002-0000-1500-00000B000000}">
          <x14:formula1>
            <xm:f>Lookups2!$M$41:$M$45</xm:f>
          </x14:formula1>
          <xm:sqref>S10:S33</xm:sqref>
        </x14:dataValidation>
        <x14:dataValidation type="list" allowBlank="1" showInputMessage="1" showErrorMessage="1" xr:uid="{00000000-0002-0000-1500-00000C000000}">
          <x14:formula1>
            <xm:f>INDIRECT(Lookups2!$K$9)</xm:f>
          </x14:formula1>
          <xm:sqref>T10:T33</xm:sqref>
        </x14:dataValidation>
        <x14:dataValidation type="list" allowBlank="1" showInputMessage="1" showErrorMessage="1" xr:uid="{00000000-0002-0000-1500-00000D000000}">
          <x14:formula1>
            <xm:f>Lookups2!$C$40:$C$45</xm:f>
          </x14:formula1>
          <xm:sqref>B78</xm:sqref>
        </x14:dataValidation>
        <x14:dataValidation type="list" allowBlank="1" showInputMessage="1" showErrorMessage="1" xr:uid="{00000000-0002-0000-1500-00000E000000}">
          <x14:formula1>
            <xm:f>Lookups2!$AC$2:$AC$3</xm:f>
          </x14:formula1>
          <xm:sqref>B14:B15</xm:sqref>
        </x14:dataValidation>
        <x14:dataValidation type="list" allowBlank="1" showInputMessage="1" showErrorMessage="1" xr:uid="{00000000-0002-0000-1500-00000F000000}">
          <x14:formula1>
            <xm:f>Lookups2!$Y$8:$Y$10</xm:f>
          </x14:formula1>
          <xm:sqref>B33</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499984740745262"/>
  </sheetPr>
  <dimension ref="A1:AA110"/>
  <sheetViews>
    <sheetView showGridLines="0" zoomScaleNormal="100" workbookViewId="0">
      <pane xSplit="6" ySplit="9" topLeftCell="J10" activePane="bottomRight" state="frozen"/>
      <selection pane="topRight" activeCell="G1" sqref="G1"/>
      <selection pane="bottomLeft" activeCell="A11" sqref="A11"/>
      <selection pane="bottomRight" activeCell="B67" sqref="B67:B74"/>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eq_rt_pr_adj_factor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46" t="s">
        <v>3884</v>
      </c>
      <c r="C4" s="347"/>
      <c r="D4" s="347"/>
      <c r="E4" s="347"/>
      <c r="F4" s="348"/>
      <c r="G4" s="259"/>
      <c r="H4" s="259"/>
      <c r="K4" s="201" t="s">
        <v>239</v>
      </c>
      <c r="L4" s="202" t="s">
        <v>3424</v>
      </c>
      <c r="M4" s="23" t="s">
        <v>3425</v>
      </c>
    </row>
    <row r="5" spans="1:26" ht="71.25" customHeight="1" x14ac:dyDescent="0.2">
      <c r="A5" s="151" t="s">
        <v>3426</v>
      </c>
      <c r="B5" s="293" t="s">
        <v>3885</v>
      </c>
      <c r="C5" s="293"/>
      <c r="D5" s="293"/>
      <c r="E5" s="293"/>
      <c r="F5" s="293"/>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09">
        <v>1</v>
      </c>
      <c r="E10" s="207" t="s">
        <v>3886</v>
      </c>
      <c r="F10" s="64"/>
      <c r="G10" s="64" t="s">
        <v>259</v>
      </c>
      <c r="H10" s="64"/>
      <c r="I10" s="64"/>
      <c r="J10" s="64"/>
      <c r="K10" s="64" t="s">
        <v>3837</v>
      </c>
      <c r="L10" s="23"/>
      <c r="M10" s="154" t="e">
        <f>VLOOKUP(Table214[[#This Row],[Data Element]],Lookups2!AM:AN,2,FALSE)</f>
        <v>#N/A</v>
      </c>
      <c r="N10" s="64"/>
      <c r="O10" s="64"/>
      <c r="P10" s="64"/>
      <c r="Q10" s="64"/>
      <c r="R10" s="64"/>
      <c r="S10" s="64" t="s">
        <v>387</v>
      </c>
      <c r="T10" s="64"/>
      <c r="U10" s="64"/>
      <c r="V10" s="64"/>
      <c r="W10" s="64"/>
      <c r="X10" s="64"/>
      <c r="Y10" s="72"/>
      <c r="Z10" s="26"/>
    </row>
    <row r="11" spans="1:26" x14ac:dyDescent="0.2">
      <c r="A11" s="148" t="s">
        <v>153</v>
      </c>
      <c r="B11" s="23" t="s">
        <v>3371</v>
      </c>
      <c r="D11" s="209">
        <v>2</v>
      </c>
      <c r="E11" s="210" t="s">
        <v>3887</v>
      </c>
      <c r="F11" s="64"/>
      <c r="G11" s="64" t="s">
        <v>10</v>
      </c>
      <c r="H11" s="64"/>
      <c r="I11" s="64"/>
      <c r="J11" s="64"/>
      <c r="K11" s="64" t="s">
        <v>3888</v>
      </c>
      <c r="L11" s="211"/>
      <c r="M11" s="154" t="e">
        <f>VLOOKUP(Table214[[#This Row],[Data Element]],Lookups2!AM:AN,2,FALSE)</f>
        <v>#N/A</v>
      </c>
      <c r="N11" s="64"/>
      <c r="O11" s="64"/>
      <c r="P11" s="64"/>
      <c r="Q11" s="64"/>
      <c r="R11" s="64"/>
      <c r="S11" s="64" t="s">
        <v>387</v>
      </c>
      <c r="T11" s="64"/>
      <c r="U11" s="64"/>
      <c r="V11" s="64"/>
      <c r="W11" s="64"/>
      <c r="X11" s="64"/>
      <c r="Y11" s="72"/>
      <c r="Z11" s="26"/>
    </row>
    <row r="12" spans="1:26" x14ac:dyDescent="0.2">
      <c r="A12" s="194" t="s">
        <v>3454</v>
      </c>
      <c r="B12" s="208" t="s">
        <v>3372</v>
      </c>
      <c r="D12" s="209">
        <v>3</v>
      </c>
      <c r="E12" s="207" t="s">
        <v>3889</v>
      </c>
      <c r="F12" s="64"/>
      <c r="G12" s="64" t="s">
        <v>487</v>
      </c>
      <c r="H12" s="64"/>
      <c r="I12" s="64"/>
      <c r="J12" s="64"/>
      <c r="K12" s="212" t="s">
        <v>3890</v>
      </c>
      <c r="L12" s="211"/>
      <c r="M12" s="154" t="e">
        <f>VLOOKUP(Table214[[#This Row],[Data Element]],Lookups2!AM:AN,2,FALSE)</f>
        <v>#N/A</v>
      </c>
      <c r="N12" s="64"/>
      <c r="O12" s="64"/>
      <c r="P12" s="64"/>
      <c r="Q12" s="64"/>
      <c r="R12" s="64"/>
      <c r="S12" s="64" t="s">
        <v>387</v>
      </c>
      <c r="T12" s="64"/>
      <c r="U12" s="64"/>
      <c r="V12" s="64"/>
      <c r="W12" s="64"/>
      <c r="X12" s="64"/>
      <c r="Y12" s="72"/>
    </row>
    <row r="13" spans="1:26" x14ac:dyDescent="0.2">
      <c r="A13" s="195" t="s">
        <v>3455</v>
      </c>
      <c r="B13" s="62" t="s">
        <v>3686</v>
      </c>
      <c r="D13" s="209">
        <v>4</v>
      </c>
      <c r="E13" s="210" t="s">
        <v>3891</v>
      </c>
      <c r="F13" s="64"/>
      <c r="G13" s="64" t="s">
        <v>259</v>
      </c>
      <c r="H13" s="64"/>
      <c r="I13" s="64"/>
      <c r="J13" s="64"/>
      <c r="K13" s="212" t="s">
        <v>3892</v>
      </c>
      <c r="L13" s="211"/>
      <c r="M13" s="154" t="e">
        <f>VLOOKUP(Table214[[#This Row],[Data Element]],Lookups2!AM:AN,2,FALSE)</f>
        <v>#N/A</v>
      </c>
      <c r="N13" s="64"/>
      <c r="O13" s="64"/>
      <c r="P13" s="64"/>
      <c r="Q13" s="64"/>
      <c r="R13" s="64"/>
      <c r="S13" s="64" t="s">
        <v>387</v>
      </c>
      <c r="T13" s="64"/>
      <c r="U13" s="64"/>
      <c r="V13" s="64"/>
      <c r="W13" s="64"/>
      <c r="X13" s="64"/>
      <c r="Y13" s="72"/>
    </row>
    <row r="14" spans="1:26" x14ac:dyDescent="0.2">
      <c r="A14" s="196" t="s">
        <v>234</v>
      </c>
      <c r="B14" s="116" t="s">
        <v>250</v>
      </c>
      <c r="D14" s="209">
        <v>5</v>
      </c>
      <c r="E14" s="207" t="s">
        <v>3893</v>
      </c>
      <c r="F14" s="64"/>
      <c r="G14" s="64" t="s">
        <v>299</v>
      </c>
      <c r="H14" s="64"/>
      <c r="I14" s="64" t="s">
        <v>3894</v>
      </c>
      <c r="J14" s="64"/>
      <c r="K14" s="64" t="s">
        <v>3895</v>
      </c>
      <c r="L14" s="211"/>
      <c r="M14" s="154" t="e">
        <f>VLOOKUP(Table214[[#This Row],[Data Element]],Lookups2!AM:AN,2,FALSE)</f>
        <v>#N/A</v>
      </c>
      <c r="N14" s="64"/>
      <c r="O14" s="64"/>
      <c r="P14" s="64"/>
      <c r="Q14" s="64"/>
      <c r="R14" s="64"/>
      <c r="S14" s="64" t="s">
        <v>387</v>
      </c>
      <c r="T14" s="64"/>
      <c r="U14" s="64"/>
      <c r="V14" s="64"/>
      <c r="W14" s="64"/>
      <c r="X14" s="64"/>
      <c r="Y14" s="72"/>
    </row>
    <row r="15" spans="1:26" x14ac:dyDescent="0.2">
      <c r="A15" s="149"/>
      <c r="B15" s="26"/>
      <c r="D15" s="209">
        <v>6</v>
      </c>
      <c r="E15" s="210" t="s">
        <v>3896</v>
      </c>
      <c r="F15" s="64"/>
      <c r="G15" s="64" t="s">
        <v>299</v>
      </c>
      <c r="H15" s="64"/>
      <c r="I15" s="64" t="s">
        <v>3894</v>
      </c>
      <c r="J15" s="64"/>
      <c r="K15" s="64" t="s">
        <v>3897</v>
      </c>
      <c r="L15" s="211"/>
      <c r="M15" s="154" t="e">
        <f>VLOOKUP(Table214[[#This Row],[Data Element]],Lookups2!AM:AN,2,FALSE)</f>
        <v>#N/A</v>
      </c>
      <c r="N15" s="64"/>
      <c r="O15" s="64"/>
      <c r="P15" s="64"/>
      <c r="Q15" s="64"/>
      <c r="R15" s="64"/>
      <c r="S15" s="64" t="s">
        <v>387</v>
      </c>
      <c r="T15" s="64"/>
      <c r="U15" s="64"/>
      <c r="V15" s="64"/>
      <c r="W15" s="64"/>
      <c r="X15" s="64"/>
      <c r="Y15" s="72"/>
    </row>
    <row r="16" spans="1:26" x14ac:dyDescent="0.2">
      <c r="A16" s="150" t="s">
        <v>3456</v>
      </c>
      <c r="B16" s="69"/>
      <c r="D16" s="209">
        <v>7</v>
      </c>
      <c r="E16" s="207" t="s">
        <v>3898</v>
      </c>
      <c r="F16" s="64"/>
      <c r="G16" s="64" t="s">
        <v>259</v>
      </c>
      <c r="H16" s="64"/>
      <c r="I16" s="64"/>
      <c r="J16" s="64"/>
      <c r="K16" s="64" t="s">
        <v>3899</v>
      </c>
      <c r="L16" s="211"/>
      <c r="M16" s="154" t="e">
        <f>VLOOKUP(Table214[[#This Row],[Data Element]],Lookups2!AM:AN,2,FALSE)</f>
        <v>#N/A</v>
      </c>
      <c r="N16" s="64"/>
      <c r="O16" s="64"/>
      <c r="P16" s="64"/>
      <c r="Q16" s="64"/>
      <c r="R16" s="64"/>
      <c r="S16" s="64" t="s">
        <v>387</v>
      </c>
      <c r="T16" s="64"/>
      <c r="U16" s="64"/>
      <c r="V16" s="64"/>
      <c r="W16" s="64"/>
      <c r="X16" s="64"/>
      <c r="Y16" s="72"/>
    </row>
    <row r="17" spans="1:25" x14ac:dyDescent="0.2">
      <c r="A17" s="151" t="s">
        <v>3457</v>
      </c>
      <c r="B17" s="175" t="s">
        <v>303</v>
      </c>
      <c r="D17" s="209">
        <v>8</v>
      </c>
      <c r="E17" s="210" t="s">
        <v>3900</v>
      </c>
      <c r="F17" s="64"/>
      <c r="G17" s="64" t="s">
        <v>259</v>
      </c>
      <c r="H17" s="64"/>
      <c r="I17" s="64"/>
      <c r="J17" s="64"/>
      <c r="K17" s="64" t="s">
        <v>3901</v>
      </c>
      <c r="L17" s="211"/>
      <c r="M17" s="154" t="e">
        <f>VLOOKUP(Table214[[#This Row],[Data Element]],Lookups2!AM:AN,2,FALSE)</f>
        <v>#N/A</v>
      </c>
      <c r="N17" s="64"/>
      <c r="O17" s="64"/>
      <c r="P17" s="64"/>
      <c r="Q17" s="64"/>
      <c r="R17" s="64"/>
      <c r="S17" s="64" t="s">
        <v>387</v>
      </c>
      <c r="T17" s="64"/>
      <c r="U17" s="64"/>
      <c r="V17" s="64"/>
      <c r="W17" s="64"/>
      <c r="X17" s="64"/>
      <c r="Y17" s="72"/>
    </row>
    <row r="18" spans="1:25" x14ac:dyDescent="0.2">
      <c r="A18" s="151" t="s">
        <v>3458</v>
      </c>
      <c r="B18" s="175" t="s">
        <v>462</v>
      </c>
    </row>
    <row r="19" spans="1:25" ht="78" customHeight="1" x14ac:dyDescent="0.2">
      <c r="A19" s="71" t="s">
        <v>238</v>
      </c>
      <c r="B19" s="182" t="str">
        <f>VLOOKUP(B18,Lookups2!AI:AJ,2,0)</f>
        <v>Secondary market trading of common stocks, preferred stocks (centrally or bilaterally cleared)</v>
      </c>
    </row>
    <row r="20" spans="1:25" x14ac:dyDescent="0.2">
      <c r="A20" s="149"/>
      <c r="B20" s="26"/>
    </row>
    <row r="21" spans="1:25" x14ac:dyDescent="0.2">
      <c r="A21" s="150" t="s">
        <v>3459</v>
      </c>
      <c r="B21" s="69"/>
    </row>
    <row r="22" spans="1:25" x14ac:dyDescent="0.2">
      <c r="A22" s="151" t="s">
        <v>3460</v>
      </c>
      <c r="B22" s="84" t="s">
        <v>276</v>
      </c>
    </row>
    <row r="23" spans="1:25" x14ac:dyDescent="0.2">
      <c r="A23" s="151" t="s">
        <v>3461</v>
      </c>
      <c r="B23" s="84" t="s">
        <v>276</v>
      </c>
    </row>
    <row r="24" spans="1:25" x14ac:dyDescent="0.2">
      <c r="A24" s="151" t="s">
        <v>3462</v>
      </c>
      <c r="B24" s="84" t="s">
        <v>276</v>
      </c>
    </row>
    <row r="25" spans="1:25" x14ac:dyDescent="0.2">
      <c r="A25" s="151" t="s">
        <v>3463</v>
      </c>
      <c r="B25" s="84" t="s">
        <v>276</v>
      </c>
    </row>
    <row r="26" spans="1:25" x14ac:dyDescent="0.2">
      <c r="A26" s="151" t="s">
        <v>3464</v>
      </c>
      <c r="B26" s="84" t="s">
        <v>276</v>
      </c>
    </row>
    <row r="27" spans="1:25" x14ac:dyDescent="0.2">
      <c r="A27" s="173" t="s">
        <v>3465</v>
      </c>
      <c r="B27" s="84"/>
    </row>
    <row r="28" spans="1:25" x14ac:dyDescent="0.2">
      <c r="A28" s="149"/>
      <c r="B28" s="26"/>
    </row>
    <row r="29" spans="1:25" x14ac:dyDescent="0.2">
      <c r="A29" s="65" t="s">
        <v>3446</v>
      </c>
      <c r="B29" s="69"/>
    </row>
    <row r="30" spans="1:25" x14ac:dyDescent="0.2">
      <c r="A30" s="134" t="s">
        <v>3466</v>
      </c>
      <c r="B30" s="84" t="s">
        <v>387</v>
      </c>
    </row>
    <row r="31" spans="1:25" x14ac:dyDescent="0.2">
      <c r="A31" s="8"/>
      <c r="B31" s="9"/>
    </row>
    <row r="32" spans="1:25"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t="s">
        <v>3687</v>
      </c>
    </row>
    <row r="38" spans="1:2" x14ac:dyDescent="0.2">
      <c r="A38" s="136" t="s">
        <v>3470</v>
      </c>
      <c r="B38" s="68" t="s">
        <v>3687</v>
      </c>
    </row>
    <row r="40" spans="1:2" x14ac:dyDescent="0.2">
      <c r="A40" s="65" t="s">
        <v>3471</v>
      </c>
      <c r="B40" s="66"/>
    </row>
    <row r="41" spans="1:2" x14ac:dyDescent="0.2">
      <c r="A41" s="152" t="s">
        <v>3472</v>
      </c>
      <c r="B41" s="64" t="s">
        <v>3687</v>
      </c>
    </row>
    <row r="42" spans="1:2" x14ac:dyDescent="0.2">
      <c r="A42" s="152" t="s">
        <v>3473</v>
      </c>
      <c r="B42" s="64" t="s">
        <v>3687</v>
      </c>
    </row>
    <row r="44" spans="1:2" x14ac:dyDescent="0.2">
      <c r="A44" s="250" t="s">
        <v>3474</v>
      </c>
      <c r="B44" s="251"/>
    </row>
    <row r="45" spans="1:2" x14ac:dyDescent="0.2">
      <c r="A45" s="131" t="s">
        <v>3475</v>
      </c>
      <c r="B45" s="91" t="s">
        <v>255</v>
      </c>
    </row>
    <row r="46" spans="1:2" x14ac:dyDescent="0.2">
      <c r="A46" s="132" t="s">
        <v>3476</v>
      </c>
      <c r="B46" s="54" t="s">
        <v>411</v>
      </c>
    </row>
    <row r="47" spans="1:2" x14ac:dyDescent="0.2">
      <c r="A47" s="132" t="s">
        <v>3477</v>
      </c>
      <c r="B47" s="55" t="s">
        <v>3703</v>
      </c>
    </row>
    <row r="48" spans="1:2" x14ac:dyDescent="0.2">
      <c r="A48" s="133" t="s">
        <v>3478</v>
      </c>
      <c r="B48" s="50" t="s">
        <v>411</v>
      </c>
    </row>
    <row r="49" spans="1:2" x14ac:dyDescent="0.2">
      <c r="A49" s="133" t="s">
        <v>3479</v>
      </c>
      <c r="B49" s="55" t="s">
        <v>3703</v>
      </c>
    </row>
    <row r="50" spans="1:2" x14ac:dyDescent="0.2">
      <c r="A50" s="44" t="s">
        <v>3480</v>
      </c>
      <c r="B50" s="28" t="s">
        <v>3572</v>
      </c>
    </row>
    <row r="51" spans="1:2" x14ac:dyDescent="0.2">
      <c r="A51" s="192" t="s">
        <v>3481</v>
      </c>
      <c r="B51" s="356" t="s">
        <v>3798</v>
      </c>
    </row>
    <row r="52" spans="1:2" x14ac:dyDescent="0.2">
      <c r="A52" s="81"/>
      <c r="B52" s="357"/>
    </row>
    <row r="53" spans="1:2" x14ac:dyDescent="0.2">
      <c r="A53" s="81"/>
      <c r="B53" s="357"/>
    </row>
    <row r="54" spans="1:2" x14ac:dyDescent="0.2">
      <c r="A54" s="81"/>
      <c r="B54" s="357"/>
    </row>
    <row r="55" spans="1:2" x14ac:dyDescent="0.2">
      <c r="A55" s="81"/>
      <c r="B55" s="357"/>
    </row>
    <row r="56" spans="1:2" x14ac:dyDescent="0.2">
      <c r="A56" s="81"/>
      <c r="B56" s="357"/>
    </row>
    <row r="57" spans="1:2" x14ac:dyDescent="0.2">
      <c r="A57" s="81"/>
      <c r="B57" s="357"/>
    </row>
    <row r="58" spans="1:2" x14ac:dyDescent="0.2">
      <c r="A58" s="82"/>
      <c r="B58" s="358"/>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724" priority="37" operator="equal">
      <formula>"?"</formula>
    </cfRule>
  </conditionalFormatting>
  <conditionalFormatting sqref="B66">
    <cfRule type="cellIs" dxfId="723" priority="31" operator="equal">
      <formula>"&lt;unk.&gt;"</formula>
    </cfRule>
  </conditionalFormatting>
  <conditionalFormatting sqref="B64">
    <cfRule type="cellIs" dxfId="722" priority="30" operator="equal">
      <formula>"&lt;unk.&gt;"</formula>
    </cfRule>
  </conditionalFormatting>
  <conditionalFormatting sqref="B65">
    <cfRule type="cellIs" dxfId="721" priority="29" operator="equal">
      <formula>"&lt;unk.&gt;"</formula>
    </cfRule>
  </conditionalFormatting>
  <conditionalFormatting sqref="B92:B93">
    <cfRule type="cellIs" dxfId="720" priority="28" operator="equal">
      <formula>"&lt;unk.&gt;"</formula>
    </cfRule>
  </conditionalFormatting>
  <conditionalFormatting sqref="B90">
    <cfRule type="cellIs" dxfId="719" priority="27" operator="equal">
      <formula>"&lt;unk.&gt;"</formula>
    </cfRule>
  </conditionalFormatting>
  <conditionalFormatting sqref="B91">
    <cfRule type="cellIs" dxfId="718" priority="26" operator="equal">
      <formula>"&lt;unk.&gt;"</formula>
    </cfRule>
  </conditionalFormatting>
  <conditionalFormatting sqref="B94">
    <cfRule type="cellIs" dxfId="717" priority="25" operator="equal">
      <formula>"&lt;unk.&gt;"</formula>
    </cfRule>
  </conditionalFormatting>
  <conditionalFormatting sqref="B95">
    <cfRule type="cellIs" dxfId="716" priority="24" operator="equal">
      <formula>"&lt;unk.&gt;"</formula>
    </cfRule>
  </conditionalFormatting>
  <conditionalFormatting sqref="B84:B87">
    <cfRule type="cellIs" dxfId="715" priority="23" operator="equal">
      <formula>"&lt;unk.&gt;"</formula>
    </cfRule>
  </conditionalFormatting>
  <conditionalFormatting sqref="B22:B26">
    <cfRule type="cellIs" dxfId="714" priority="22" operator="equal">
      <formula>"&lt;unk.&gt;"</formula>
    </cfRule>
  </conditionalFormatting>
  <conditionalFormatting sqref="B27">
    <cfRule type="cellIs" dxfId="713" priority="21" operator="equal">
      <formula>"&lt;unk.&gt;"</formula>
    </cfRule>
  </conditionalFormatting>
  <conditionalFormatting sqref="B30">
    <cfRule type="cellIs" dxfId="712" priority="20" operator="equal">
      <formula>"&lt;unk.&gt;"</formula>
    </cfRule>
  </conditionalFormatting>
  <conditionalFormatting sqref="D10:D17">
    <cfRule type="expression" dxfId="711" priority="19">
      <formula>MOD(ROW(),2)=0</formula>
    </cfRule>
  </conditionalFormatting>
  <conditionalFormatting sqref="E10:E13">
    <cfRule type="expression" dxfId="710" priority="18">
      <formula>MOD(ROW(),2)=0</formula>
    </cfRule>
  </conditionalFormatting>
  <conditionalFormatting sqref="E11:E12">
    <cfRule type="expression" dxfId="709" priority="17">
      <formula>MOD(ROW(),2)=0</formula>
    </cfRule>
  </conditionalFormatting>
  <conditionalFormatting sqref="E13">
    <cfRule type="expression" dxfId="708" priority="16">
      <formula>MOD(ROW(),2)=0</formula>
    </cfRule>
  </conditionalFormatting>
  <conditionalFormatting sqref="E10:E11">
    <cfRule type="expression" dxfId="707" priority="15">
      <formula>MOD(ROW(),2)=0</formula>
    </cfRule>
  </conditionalFormatting>
  <conditionalFormatting sqref="E13">
    <cfRule type="expression" dxfId="706" priority="14">
      <formula>MOD(ROW(),2)=0</formula>
    </cfRule>
  </conditionalFormatting>
  <conditionalFormatting sqref="E12:E13">
    <cfRule type="expression" dxfId="705" priority="13">
      <formula>MOD(ROW(),2)=0</formula>
    </cfRule>
  </conditionalFormatting>
  <conditionalFormatting sqref="E14:E17">
    <cfRule type="expression" dxfId="704" priority="12">
      <formula>MOD(ROW(),2)=0</formula>
    </cfRule>
  </conditionalFormatting>
  <conditionalFormatting sqref="E17">
    <cfRule type="expression" dxfId="703" priority="11">
      <formula>MOD(ROW(),2)=0</formula>
    </cfRule>
  </conditionalFormatting>
  <conditionalFormatting sqref="E14:E15">
    <cfRule type="expression" dxfId="702" priority="10">
      <formula>MOD(ROW(),2)=0</formula>
    </cfRule>
  </conditionalFormatting>
  <conditionalFormatting sqref="E16:E17">
    <cfRule type="expression" dxfId="701" priority="9">
      <formula>MOD(ROW(),2)=0</formula>
    </cfRule>
  </conditionalFormatting>
  <conditionalFormatting sqref="I14:I15">
    <cfRule type="expression" dxfId="700" priority="8">
      <formula>MOD(ROW(),2)=0</formula>
    </cfRule>
  </conditionalFormatting>
  <conditionalFormatting sqref="I14:I15">
    <cfRule type="expression" dxfId="699" priority="7">
      <formula>MOD(ROW(),2)=0</formula>
    </cfRule>
  </conditionalFormatting>
  <conditionalFormatting sqref="K11:K17">
    <cfRule type="expression" dxfId="698" priority="6">
      <formula>MOD(ROW(),2)=0</formula>
    </cfRule>
  </conditionalFormatting>
  <conditionalFormatting sqref="B45">
    <cfRule type="cellIs" dxfId="697" priority="5" operator="equal">
      <formula>"&lt;unk.&gt;"</formula>
    </cfRule>
  </conditionalFormatting>
  <conditionalFormatting sqref="B47:B48">
    <cfRule type="cellIs" dxfId="696" priority="4" operator="equal">
      <formula>"&lt;unk.&gt;"</formula>
    </cfRule>
  </conditionalFormatting>
  <conditionalFormatting sqref="B46">
    <cfRule type="cellIs" dxfId="695" priority="3" operator="equal">
      <formula>"&lt;unk.&gt;"</formula>
    </cfRule>
  </conditionalFormatting>
  <conditionalFormatting sqref="B50">
    <cfRule type="cellIs" dxfId="694" priority="2" operator="equal">
      <formula>"&lt;unk.&gt;"</formula>
    </cfRule>
  </conditionalFormatting>
  <conditionalFormatting sqref="B49">
    <cfRule type="cellIs" dxfId="693" priority="1" operator="equal">
      <formula>"&lt;unk.&gt;"</formula>
    </cfRule>
  </conditionalFormatting>
  <dataValidations count="5">
    <dataValidation type="list" allowBlank="1" showInputMessage="1" showErrorMessage="1" sqref="B18" xr:uid="{00000000-0002-0000-1600-000000000000}">
      <formula1>INDIRECT(SUBSTITUTE(SUBSTITUTE(SUBSTITUTE(B17," ","_"),"&amp;",""),"/",""))</formula1>
    </dataValidation>
    <dataValidation type="list" allowBlank="1" showInputMessage="1" showErrorMessage="1" sqref="B22:B26" xr:uid="{00000000-0002-0000-1600-000001000000}">
      <formula1>LYesNo</formula1>
    </dataValidation>
    <dataValidation type="list" allowBlank="1" showInputMessage="1" showErrorMessage="1" sqref="Y10:Y17" xr:uid="{00000000-0002-0000-1600-000002000000}">
      <formula1>INDIRECT($X10)</formula1>
    </dataValidation>
    <dataValidation type="list" allowBlank="1" showInputMessage="1" showErrorMessage="1" sqref="B90 B64 B45" xr:uid="{00000000-0002-0000-1600-000003000000}">
      <formula1>LPeriods</formula1>
    </dataValidation>
    <dataValidation type="list" allowBlank="1" showInputMessage="1" showErrorMessage="1" sqref="B91 B93 B65 B46 B48" xr:uid="{00000000-0002-0000-1600-000004000000}">
      <formula1>LCals</formula1>
    </dataValidation>
  </dataValidations>
  <hyperlinks>
    <hyperlink ref="B12" r:id="rId2" xr:uid="{00000000-0004-0000-16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600-000005000000}">
          <x14:formula1>
            <xm:f>Lookups2!$K$28:$K$46</xm:f>
          </x14:formula1>
          <xm:sqref>U10:U17</xm:sqref>
        </x14:dataValidation>
        <x14:dataValidation type="list" showInputMessage="1" showErrorMessage="1" xr:uid="{00000000-0002-0000-1600-000006000000}">
          <x14:formula1>
            <xm:f>Lookups2!$AG$2:$AG$28</xm:f>
          </x14:formula1>
          <xm:sqref>B17</xm:sqref>
        </x14:dataValidation>
        <x14:dataValidation type="list" allowBlank="1" showInputMessage="1" showErrorMessage="1" xr:uid="{00000000-0002-0000-1600-000007000000}">
          <x14:formula1>
            <xm:f>Lookups2!$C$8:$C$11</xm:f>
          </x14:formula1>
          <xm:sqref>B30</xm:sqref>
        </x14:dataValidation>
        <x14:dataValidation type="list" allowBlank="1" showInputMessage="1" showErrorMessage="1" xr:uid="{00000000-0002-0000-1600-000008000000}">
          <x14:formula1>
            <xm:f>Lookups2!$Q$15:$Q$20</xm:f>
          </x14:formula1>
          <xm:sqref>G10:G17</xm:sqref>
        </x14:dataValidation>
        <x14:dataValidation type="list" allowBlank="1" showInputMessage="1" showErrorMessage="1" xr:uid="{00000000-0002-0000-1600-000009000000}">
          <x14:formula1>
            <xm:f>Lookups2!$M$35:$M$36</xm:f>
          </x14:formula1>
          <xm:sqref>V10:V17 H10:H17</xm:sqref>
        </x14:dataValidation>
        <x14:dataValidation type="list" allowBlank="1" showInputMessage="1" showErrorMessage="1" xr:uid="{00000000-0002-0000-1600-00000A000000}">
          <x14:formula1>
            <xm:f>EDOAlgo!$A$1:$R$1</xm:f>
          </x14:formula1>
          <xm:sqref>X10:X17</xm:sqref>
        </x14:dataValidation>
        <x14:dataValidation type="list" allowBlank="1" showInputMessage="1" showErrorMessage="1" xr:uid="{00000000-0002-0000-1600-00000B000000}">
          <x14:formula1>
            <xm:f>Lookups2!$M$41:$M$45</xm:f>
          </x14:formula1>
          <xm:sqref>S10:S17</xm:sqref>
        </x14:dataValidation>
        <x14:dataValidation type="list" allowBlank="1" showInputMessage="1" showErrorMessage="1" xr:uid="{00000000-0002-0000-1600-00000C000000}">
          <x14:formula1>
            <xm:f>INDIRECT(Lookups2!$K$9)</xm:f>
          </x14:formula1>
          <xm:sqref>T10:T17</xm:sqref>
        </x14:dataValidation>
        <x14:dataValidation type="list" allowBlank="1" showInputMessage="1" showErrorMessage="1" xr:uid="{00000000-0002-0000-1600-00000D000000}">
          <x14:formula1>
            <xm:f>Lookups2!$C$40:$C$45</xm:f>
          </x14:formula1>
          <xm:sqref>B78</xm:sqref>
        </x14:dataValidation>
        <x14:dataValidation type="list" allowBlank="1" showInputMessage="1" showErrorMessage="1" xr:uid="{00000000-0002-0000-1600-00000E000000}">
          <x14:formula1>
            <xm:f>Lookups2!$AC$2:$AC$3</xm:f>
          </x14:formula1>
          <xm:sqref>B14:B15</xm:sqref>
        </x14:dataValidation>
        <x14:dataValidation type="list" allowBlank="1" showInputMessage="1" showErrorMessage="1" xr:uid="{00000000-0002-0000-1600-00000F000000}">
          <x14:formula1>
            <xm:f>Lookups2!$Y$8:$Y$10</xm:f>
          </x14:formula1>
          <xm:sqref>B33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499984740745262"/>
  </sheetPr>
  <dimension ref="A1:AA110"/>
  <sheetViews>
    <sheetView showGridLines="0" zoomScaleNormal="100" workbookViewId="0">
      <pane xSplit="6" ySplit="9" topLeftCell="M10" activePane="bottomRight" state="frozen"/>
      <selection pane="topRight" activeCell="G1" sqref="G1"/>
      <selection pane="bottomLeft" activeCell="A11" sqref="A11"/>
      <selection pane="bottomRight" activeCell="B67" sqref="B67:B74"/>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reference_entity</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t="s">
        <v>3374</v>
      </c>
      <c r="C4" s="293"/>
      <c r="D4" s="293"/>
      <c r="E4" s="293"/>
      <c r="F4" s="293"/>
      <c r="G4" s="259"/>
      <c r="H4" s="259"/>
      <c r="K4" s="201" t="s">
        <v>239</v>
      </c>
      <c r="L4" s="202" t="s">
        <v>3424</v>
      </c>
      <c r="M4" s="23" t="s">
        <v>3425</v>
      </c>
    </row>
    <row r="5" spans="1:26" ht="71.25" customHeight="1" x14ac:dyDescent="0.2">
      <c r="A5" s="151" t="s">
        <v>3426</v>
      </c>
      <c r="B5" s="293" t="s">
        <v>3902</v>
      </c>
      <c r="C5" s="293"/>
      <c r="D5" s="293"/>
      <c r="E5" s="293"/>
      <c r="F5" s="293"/>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09">
        <v>1</v>
      </c>
      <c r="E10" s="207" t="s">
        <v>3903</v>
      </c>
      <c r="F10" s="64"/>
      <c r="G10" s="64" t="s">
        <v>259</v>
      </c>
      <c r="H10" s="64"/>
      <c r="I10" s="64"/>
      <c r="J10" s="64"/>
      <c r="K10" s="64" t="s">
        <v>3904</v>
      </c>
      <c r="L10" s="23"/>
      <c r="M10" s="154" t="e">
        <f>VLOOKUP(Table215[[#This Row],[Data Element]],Lookups2!AM:AN,2,FALSE)</f>
        <v>#N/A</v>
      </c>
      <c r="N10" s="64"/>
      <c r="O10" s="64"/>
      <c r="P10" s="64"/>
      <c r="Q10" s="64"/>
      <c r="R10" s="64"/>
      <c r="S10" s="64" t="s">
        <v>360</v>
      </c>
      <c r="T10" s="64"/>
      <c r="U10" s="64"/>
      <c r="V10" s="64"/>
      <c r="W10" s="64"/>
      <c r="X10" s="64"/>
      <c r="Y10" s="72"/>
      <c r="Z10" s="26"/>
    </row>
    <row r="11" spans="1:26" x14ac:dyDescent="0.2">
      <c r="A11" s="148" t="s">
        <v>153</v>
      </c>
      <c r="B11" s="23" t="s">
        <v>3374</v>
      </c>
      <c r="D11" s="209">
        <v>2</v>
      </c>
      <c r="E11" s="210" t="s">
        <v>3905</v>
      </c>
      <c r="F11" s="64"/>
      <c r="G11" s="64" t="s">
        <v>259</v>
      </c>
      <c r="H11" s="64"/>
      <c r="I11" s="64"/>
      <c r="J11" s="64"/>
      <c r="K11" s="64" t="s">
        <v>3906</v>
      </c>
      <c r="L11" s="211"/>
      <c r="M11" s="154" t="e">
        <f>VLOOKUP(Table215[[#This Row],[Data Element]],Lookups2!AM:AN,2,FALSE)</f>
        <v>#N/A</v>
      </c>
      <c r="N11" s="64"/>
      <c r="O11" s="64"/>
      <c r="P11" s="64"/>
      <c r="Q11" s="64"/>
      <c r="R11" s="64"/>
      <c r="S11" s="64" t="s">
        <v>375</v>
      </c>
      <c r="T11" s="64"/>
      <c r="U11" s="64"/>
      <c r="V11" s="64"/>
      <c r="W11" s="64"/>
      <c r="X11" s="64"/>
      <c r="Y11" s="72"/>
      <c r="Z11" s="26"/>
    </row>
    <row r="12" spans="1:26" x14ac:dyDescent="0.2">
      <c r="A12" s="194" t="s">
        <v>3454</v>
      </c>
      <c r="B12" s="208" t="s">
        <v>3375</v>
      </c>
      <c r="D12" s="209">
        <v>3</v>
      </c>
      <c r="E12" s="207" t="s">
        <v>3907</v>
      </c>
      <c r="F12" s="64"/>
      <c r="G12" s="64" t="s">
        <v>259</v>
      </c>
      <c r="H12" s="64"/>
      <c r="I12" s="64"/>
      <c r="J12" s="64"/>
      <c r="K12" s="64" t="s">
        <v>3908</v>
      </c>
      <c r="L12" s="211"/>
      <c r="M12" s="154" t="e">
        <f>VLOOKUP(Table215[[#This Row],[Data Element]],Lookups2!AM:AN,2,FALSE)</f>
        <v>#N/A</v>
      </c>
      <c r="N12" s="64"/>
      <c r="O12" s="64"/>
      <c r="P12" s="64"/>
      <c r="Q12" s="64"/>
      <c r="R12" s="64"/>
      <c r="S12" s="64" t="s">
        <v>387</v>
      </c>
      <c r="T12" s="64"/>
      <c r="U12" s="64"/>
      <c r="V12" s="64"/>
      <c r="W12" s="64"/>
      <c r="X12" s="64"/>
      <c r="Y12" s="72"/>
    </row>
    <row r="13" spans="1:26" x14ac:dyDescent="0.2">
      <c r="A13" s="195" t="s">
        <v>3455</v>
      </c>
      <c r="B13" s="62" t="s">
        <v>3684</v>
      </c>
      <c r="D13" s="209">
        <v>4</v>
      </c>
      <c r="E13" s="210" t="s">
        <v>3909</v>
      </c>
      <c r="F13" s="64"/>
      <c r="G13" s="64" t="s">
        <v>259</v>
      </c>
      <c r="H13" s="64"/>
      <c r="I13" s="64"/>
      <c r="J13" s="64"/>
      <c r="K13" s="64" t="s">
        <v>3910</v>
      </c>
      <c r="L13" s="211"/>
      <c r="M13" s="154" t="e">
        <f>VLOOKUP(Table215[[#This Row],[Data Element]],Lookups2!AM:AN,2,FALSE)</f>
        <v>#N/A</v>
      </c>
      <c r="N13" s="64"/>
      <c r="O13" s="64"/>
      <c r="P13" s="64"/>
      <c r="Q13" s="64"/>
      <c r="R13" s="64"/>
      <c r="S13" s="64" t="s">
        <v>387</v>
      </c>
      <c r="T13" s="64"/>
      <c r="U13" s="64"/>
      <c r="V13" s="64"/>
      <c r="W13" s="64"/>
      <c r="X13" s="64"/>
      <c r="Y13" s="72"/>
    </row>
    <row r="14" spans="1:26" x14ac:dyDescent="0.2">
      <c r="A14" s="196" t="s">
        <v>234</v>
      </c>
      <c r="B14" s="116" t="s">
        <v>250</v>
      </c>
      <c r="D14" s="209">
        <v>5</v>
      </c>
      <c r="E14" s="207" t="s">
        <v>3911</v>
      </c>
      <c r="F14" s="64"/>
      <c r="G14" s="64" t="s">
        <v>259</v>
      </c>
      <c r="H14" s="64"/>
      <c r="I14" s="64"/>
      <c r="J14" s="64"/>
      <c r="K14" s="64" t="s">
        <v>3912</v>
      </c>
      <c r="L14" s="211"/>
      <c r="M14" s="154" t="e">
        <f>VLOOKUP(Table215[[#This Row],[Data Element]],Lookups2!AM:AN,2,FALSE)</f>
        <v>#N/A</v>
      </c>
      <c r="N14" s="64"/>
      <c r="O14" s="64"/>
      <c r="P14" s="64"/>
      <c r="Q14" s="64"/>
      <c r="R14" s="64"/>
      <c r="S14" s="64" t="s">
        <v>387</v>
      </c>
      <c r="T14" s="64"/>
      <c r="U14" s="64"/>
      <c r="V14" s="64"/>
      <c r="W14" s="64"/>
      <c r="X14" s="64"/>
      <c r="Y14" s="72"/>
    </row>
    <row r="15" spans="1:26" x14ac:dyDescent="0.2">
      <c r="A15" s="149"/>
      <c r="B15" s="26"/>
      <c r="D15" s="209">
        <v>6</v>
      </c>
      <c r="E15" s="210" t="s">
        <v>3913</v>
      </c>
      <c r="F15" s="64"/>
      <c r="G15" s="64" t="s">
        <v>259</v>
      </c>
      <c r="H15" s="64"/>
      <c r="I15" s="64"/>
      <c r="J15" s="64"/>
      <c r="K15" s="64" t="s">
        <v>3756</v>
      </c>
      <c r="L15" s="211"/>
      <c r="M15" s="154" t="e">
        <f>VLOOKUP(Table215[[#This Row],[Data Element]],Lookups2!AM:AN,2,FALSE)</f>
        <v>#N/A</v>
      </c>
      <c r="N15" s="64"/>
      <c r="O15" s="64"/>
      <c r="P15" s="64"/>
      <c r="Q15" s="64"/>
      <c r="R15" s="64"/>
      <c r="S15" s="64" t="s">
        <v>387</v>
      </c>
      <c r="T15" s="64"/>
      <c r="U15" s="64"/>
      <c r="V15" s="64"/>
      <c r="W15" s="64"/>
      <c r="X15" s="64"/>
      <c r="Y15" s="72"/>
    </row>
    <row r="16" spans="1:26" x14ac:dyDescent="0.2">
      <c r="A16" s="150" t="s">
        <v>3456</v>
      </c>
      <c r="B16" s="69"/>
      <c r="D16" s="209">
        <v>7</v>
      </c>
      <c r="E16" s="207" t="s">
        <v>3683</v>
      </c>
      <c r="F16" s="64"/>
      <c r="G16" s="64" t="s">
        <v>10</v>
      </c>
      <c r="H16" s="64"/>
      <c r="I16" s="64" t="s">
        <v>3684</v>
      </c>
      <c r="J16" s="64"/>
      <c r="K16" s="64" t="s">
        <v>3914</v>
      </c>
      <c r="L16" s="211"/>
      <c r="M16" s="154" t="e">
        <f>VLOOKUP(Table215[[#This Row],[Data Element]],Lookups2!AM:AN,2,FALSE)</f>
        <v>#N/A</v>
      </c>
      <c r="N16" s="64"/>
      <c r="O16" s="64"/>
      <c r="P16" s="64"/>
      <c r="Q16" s="64"/>
      <c r="R16" s="64"/>
      <c r="S16" s="64" t="s">
        <v>387</v>
      </c>
      <c r="T16" s="64"/>
      <c r="U16" s="64"/>
      <c r="V16" s="64"/>
      <c r="W16" s="64"/>
      <c r="X16" s="64"/>
      <c r="Y16" s="72"/>
    </row>
    <row r="17" spans="1:25" x14ac:dyDescent="0.2">
      <c r="A17" s="151" t="s">
        <v>3457</v>
      </c>
      <c r="B17" s="175" t="s">
        <v>378</v>
      </c>
      <c r="D17" s="209">
        <v>8</v>
      </c>
      <c r="E17" s="210" t="s">
        <v>3915</v>
      </c>
      <c r="F17" s="64"/>
      <c r="G17" s="64" t="s">
        <v>259</v>
      </c>
      <c r="H17" s="64"/>
      <c r="I17" s="64"/>
      <c r="J17" s="64"/>
      <c r="K17" s="64" t="s">
        <v>3916</v>
      </c>
      <c r="L17" s="211"/>
      <c r="M17" s="154" t="e">
        <f>VLOOKUP(Table215[[#This Row],[Data Element]],Lookups2!AM:AN,2,FALSE)</f>
        <v>#N/A</v>
      </c>
      <c r="N17" s="64"/>
      <c r="O17" s="64"/>
      <c r="P17" s="64"/>
      <c r="Q17" s="64"/>
      <c r="R17" s="64"/>
      <c r="S17" s="64" t="s">
        <v>387</v>
      </c>
      <c r="T17" s="64"/>
      <c r="U17" s="64"/>
      <c r="V17" s="64"/>
      <c r="W17" s="64"/>
      <c r="X17" s="64"/>
      <c r="Y17" s="72"/>
    </row>
    <row r="18" spans="1:25" x14ac:dyDescent="0.2">
      <c r="A18" s="151" t="s">
        <v>3458</v>
      </c>
      <c r="B18" s="175" t="s">
        <v>663</v>
      </c>
      <c r="D18" s="209">
        <v>9</v>
      </c>
      <c r="E18" s="231" t="s">
        <v>3917</v>
      </c>
      <c r="F18" s="64"/>
      <c r="G18" s="64" t="s">
        <v>259</v>
      </c>
      <c r="H18" s="64"/>
      <c r="I18" s="64"/>
      <c r="J18" s="64"/>
      <c r="K18" s="64" t="s">
        <v>3918</v>
      </c>
      <c r="L18" s="211"/>
      <c r="M18" s="154" t="e">
        <f>VLOOKUP(Table215[[#This Row],[Data Element]],Lookups2!AM:AN,2,FALSE)</f>
        <v>#N/A</v>
      </c>
      <c r="N18" s="64"/>
      <c r="O18" s="64"/>
      <c r="P18" s="64"/>
      <c r="Q18" s="64"/>
      <c r="R18" s="64"/>
      <c r="S18" s="64" t="s">
        <v>375</v>
      </c>
      <c r="T18" s="64"/>
      <c r="U18" s="64"/>
      <c r="V18" s="64"/>
      <c r="W18" s="64"/>
      <c r="X18" s="64"/>
      <c r="Y18" s="72"/>
    </row>
    <row r="19" spans="1:25" ht="78" customHeight="1" x14ac:dyDescent="0.2">
      <c r="A19" s="71" t="s">
        <v>238</v>
      </c>
      <c r="B19" s="182" t="str">
        <f>VLOOKUP(B18,Lookups2!AI:AJ,2,0)</f>
        <v>Legal Entity represents information on ownership , jurisdiction , regulatory and tax information regarding an organizational part of Credit Suisse that is either a legal entity in its own right, or that can enter into legally binding obligations of Credit Suisse by virtue of permits, agreements or other contractually defined rights within a particular jurisdiction (for example, by virtue of a local banking license)</v>
      </c>
      <c r="D19" s="209">
        <v>10</v>
      </c>
      <c r="E19" s="231" t="s">
        <v>3919</v>
      </c>
      <c r="F19" s="64"/>
      <c r="G19" s="64" t="s">
        <v>259</v>
      </c>
      <c r="H19" s="64"/>
      <c r="I19" s="64"/>
      <c r="J19" s="64"/>
      <c r="K19" s="64" t="s">
        <v>3920</v>
      </c>
      <c r="L19" s="211"/>
      <c r="M19" s="154" t="e">
        <f>VLOOKUP(Table215[[#This Row],[Data Element]],Lookups2!AM:AN,2,FALSE)</f>
        <v>#N/A</v>
      </c>
      <c r="N19" s="64"/>
      <c r="O19" s="64"/>
      <c r="P19" s="64"/>
      <c r="Q19" s="64"/>
      <c r="R19" s="64"/>
      <c r="S19" s="64" t="s">
        <v>387</v>
      </c>
      <c r="T19" s="64"/>
      <c r="U19" s="64"/>
      <c r="V19" s="64"/>
      <c r="W19" s="64"/>
      <c r="X19" s="64"/>
      <c r="Y19" s="72"/>
    </row>
    <row r="20" spans="1:25" x14ac:dyDescent="0.2">
      <c r="A20" s="149"/>
      <c r="B20" s="26"/>
      <c r="D20" s="209">
        <v>11</v>
      </c>
      <c r="E20" s="231" t="s">
        <v>3921</v>
      </c>
      <c r="F20" s="64"/>
      <c r="G20" s="64" t="s">
        <v>259</v>
      </c>
      <c r="H20" s="64"/>
      <c r="I20" s="64"/>
      <c r="J20" s="64"/>
      <c r="K20" s="64" t="s">
        <v>3922</v>
      </c>
      <c r="L20" s="211"/>
      <c r="M20" s="154" t="e">
        <f>VLOOKUP(Table215[[#This Row],[Data Element]],Lookups2!AM:AN,2,FALSE)</f>
        <v>#N/A</v>
      </c>
      <c r="N20" s="64"/>
      <c r="O20" s="64"/>
      <c r="P20" s="64"/>
      <c r="Q20" s="64"/>
      <c r="R20" s="64"/>
      <c r="S20" s="64" t="s">
        <v>387</v>
      </c>
      <c r="T20" s="64"/>
      <c r="U20" s="64"/>
      <c r="V20" s="64"/>
      <c r="W20" s="64"/>
      <c r="X20" s="64"/>
      <c r="Y20" s="72"/>
    </row>
    <row r="21" spans="1:25" x14ac:dyDescent="0.2">
      <c r="A21" s="150" t="s">
        <v>3459</v>
      </c>
      <c r="B21" s="69"/>
    </row>
    <row r="22" spans="1:25" x14ac:dyDescent="0.2">
      <c r="A22" s="151" t="s">
        <v>3460</v>
      </c>
      <c r="B22" s="84" t="s">
        <v>276</v>
      </c>
    </row>
    <row r="23" spans="1:25" x14ac:dyDescent="0.2">
      <c r="A23" s="151" t="s">
        <v>3461</v>
      </c>
      <c r="B23" s="84" t="s">
        <v>276</v>
      </c>
    </row>
    <row r="24" spans="1:25" x14ac:dyDescent="0.2">
      <c r="A24" s="151" t="s">
        <v>3462</v>
      </c>
      <c r="B24" s="84" t="s">
        <v>276</v>
      </c>
    </row>
    <row r="25" spans="1:25" x14ac:dyDescent="0.2">
      <c r="A25" s="151" t="s">
        <v>3463</v>
      </c>
      <c r="B25" s="84" t="s">
        <v>276</v>
      </c>
    </row>
    <row r="26" spans="1:25" x14ac:dyDescent="0.2">
      <c r="A26" s="151" t="s">
        <v>3464</v>
      </c>
      <c r="B26" s="84" t="s">
        <v>276</v>
      </c>
    </row>
    <row r="27" spans="1:25" x14ac:dyDescent="0.2">
      <c r="A27" s="173" t="s">
        <v>3465</v>
      </c>
      <c r="B27" s="84"/>
    </row>
    <row r="28" spans="1:25" x14ac:dyDescent="0.2">
      <c r="A28" s="149"/>
      <c r="B28" s="26"/>
    </row>
    <row r="29" spans="1:25" x14ac:dyDescent="0.2">
      <c r="A29" s="65" t="s">
        <v>3446</v>
      </c>
      <c r="B29" s="69"/>
    </row>
    <row r="30" spans="1:25" x14ac:dyDescent="0.2">
      <c r="A30" s="134" t="s">
        <v>3466</v>
      </c>
      <c r="B30" s="84" t="s">
        <v>360</v>
      </c>
    </row>
    <row r="31" spans="1:25" x14ac:dyDescent="0.2">
      <c r="A31" s="8"/>
      <c r="B31" s="9"/>
    </row>
    <row r="32" spans="1:25"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t="s">
        <v>3687</v>
      </c>
    </row>
    <row r="38" spans="1:2" ht="14.25" x14ac:dyDescent="0.25">
      <c r="A38" s="136" t="s">
        <v>3470</v>
      </c>
      <c r="B38" s="70" t="s">
        <v>3687</v>
      </c>
    </row>
    <row r="40" spans="1:2" x14ac:dyDescent="0.2">
      <c r="A40" s="65" t="s">
        <v>3471</v>
      </c>
      <c r="B40" s="66"/>
    </row>
    <row r="41" spans="1:2" ht="14.25" x14ac:dyDescent="0.25">
      <c r="A41" s="152" t="s">
        <v>3472</v>
      </c>
      <c r="B41" s="70" t="s">
        <v>3687</v>
      </c>
    </row>
    <row r="42" spans="1:2" ht="14.25" x14ac:dyDescent="0.25">
      <c r="A42" s="152" t="s">
        <v>3473</v>
      </c>
      <c r="B42" s="70" t="s">
        <v>3687</v>
      </c>
    </row>
    <row r="44" spans="1:2" x14ac:dyDescent="0.2">
      <c r="A44" s="250" t="s">
        <v>3474</v>
      </c>
      <c r="B44" s="251"/>
    </row>
    <row r="45" spans="1:2" x14ac:dyDescent="0.2">
      <c r="A45" s="131" t="s">
        <v>3475</v>
      </c>
      <c r="B45" s="91" t="s">
        <v>255</v>
      </c>
    </row>
    <row r="46" spans="1:2" x14ac:dyDescent="0.2">
      <c r="A46" s="132" t="s">
        <v>3476</v>
      </c>
      <c r="B46" s="54" t="s">
        <v>411</v>
      </c>
    </row>
    <row r="47" spans="1:2" x14ac:dyDescent="0.2">
      <c r="A47" s="132" t="s">
        <v>3477</v>
      </c>
      <c r="B47" s="55" t="s">
        <v>3703</v>
      </c>
    </row>
    <row r="48" spans="1:2" x14ac:dyDescent="0.2">
      <c r="A48" s="133" t="s">
        <v>3478</v>
      </c>
      <c r="B48" s="50" t="s">
        <v>411</v>
      </c>
    </row>
    <row r="49" spans="1:2" x14ac:dyDescent="0.2">
      <c r="A49" s="133" t="s">
        <v>3479</v>
      </c>
      <c r="B49" s="55" t="s">
        <v>3703</v>
      </c>
    </row>
    <row r="50" spans="1:2" x14ac:dyDescent="0.2">
      <c r="A50" s="44" t="s">
        <v>3480</v>
      </c>
      <c r="B50" s="28" t="s">
        <v>3572</v>
      </c>
    </row>
    <row r="51" spans="1:2" x14ac:dyDescent="0.2">
      <c r="A51" s="192" t="s">
        <v>3481</v>
      </c>
      <c r="B51" s="356" t="s">
        <v>3798</v>
      </c>
    </row>
    <row r="52" spans="1:2" x14ac:dyDescent="0.2">
      <c r="A52" s="81"/>
      <c r="B52" s="357"/>
    </row>
    <row r="53" spans="1:2" x14ac:dyDescent="0.2">
      <c r="A53" s="81"/>
      <c r="B53" s="357"/>
    </row>
    <row r="54" spans="1:2" x14ac:dyDescent="0.2">
      <c r="A54" s="81"/>
      <c r="B54" s="357"/>
    </row>
    <row r="55" spans="1:2" x14ac:dyDescent="0.2">
      <c r="A55" s="81"/>
      <c r="B55" s="357"/>
    </row>
    <row r="56" spans="1:2" x14ac:dyDescent="0.2">
      <c r="A56" s="81"/>
      <c r="B56" s="357"/>
    </row>
    <row r="57" spans="1:2" x14ac:dyDescent="0.2">
      <c r="A57" s="81"/>
      <c r="B57" s="357"/>
    </row>
    <row r="58" spans="1:2" x14ac:dyDescent="0.2">
      <c r="A58" s="82"/>
      <c r="B58" s="358"/>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664" priority="36" operator="equal">
      <formula>"?"</formula>
    </cfRule>
  </conditionalFormatting>
  <conditionalFormatting sqref="B45">
    <cfRule type="cellIs" dxfId="663" priority="34" operator="equal">
      <formula>"&lt;unk.&gt;"</formula>
    </cfRule>
  </conditionalFormatting>
  <conditionalFormatting sqref="B66">
    <cfRule type="cellIs" dxfId="662" priority="30" operator="equal">
      <formula>"&lt;unk.&gt;"</formula>
    </cfRule>
  </conditionalFormatting>
  <conditionalFormatting sqref="B64">
    <cfRule type="cellIs" dxfId="661" priority="29" operator="equal">
      <formula>"&lt;unk.&gt;"</formula>
    </cfRule>
  </conditionalFormatting>
  <conditionalFormatting sqref="B65">
    <cfRule type="cellIs" dxfId="660" priority="28" operator="equal">
      <formula>"&lt;unk.&gt;"</formula>
    </cfRule>
  </conditionalFormatting>
  <conditionalFormatting sqref="B92:B93">
    <cfRule type="cellIs" dxfId="659" priority="27" operator="equal">
      <formula>"&lt;unk.&gt;"</formula>
    </cfRule>
  </conditionalFormatting>
  <conditionalFormatting sqref="B90">
    <cfRule type="cellIs" dxfId="658" priority="26" operator="equal">
      <formula>"&lt;unk.&gt;"</formula>
    </cfRule>
  </conditionalFormatting>
  <conditionalFormatting sqref="B91">
    <cfRule type="cellIs" dxfId="657" priority="25" operator="equal">
      <formula>"&lt;unk.&gt;"</formula>
    </cfRule>
  </conditionalFormatting>
  <conditionalFormatting sqref="B94">
    <cfRule type="cellIs" dxfId="656" priority="24" operator="equal">
      <formula>"&lt;unk.&gt;"</formula>
    </cfRule>
  </conditionalFormatting>
  <conditionalFormatting sqref="B95">
    <cfRule type="cellIs" dxfId="655" priority="23" operator="equal">
      <formula>"&lt;unk.&gt;"</formula>
    </cfRule>
  </conditionalFormatting>
  <conditionalFormatting sqref="B84:B87">
    <cfRule type="cellIs" dxfId="654" priority="22" operator="equal">
      <formula>"&lt;unk.&gt;"</formula>
    </cfRule>
  </conditionalFormatting>
  <conditionalFormatting sqref="B22:B26">
    <cfRule type="cellIs" dxfId="653" priority="21" operator="equal">
      <formula>"&lt;unk.&gt;"</formula>
    </cfRule>
  </conditionalFormatting>
  <conditionalFormatting sqref="B27">
    <cfRule type="cellIs" dxfId="652" priority="20" operator="equal">
      <formula>"&lt;unk.&gt;"</formula>
    </cfRule>
  </conditionalFormatting>
  <conditionalFormatting sqref="B30">
    <cfRule type="cellIs" dxfId="651" priority="19" operator="equal">
      <formula>"&lt;unk.&gt;"</formula>
    </cfRule>
  </conditionalFormatting>
  <conditionalFormatting sqref="D10:D20">
    <cfRule type="expression" dxfId="650" priority="18">
      <formula>MOD(ROW(),2)=0</formula>
    </cfRule>
  </conditionalFormatting>
  <conditionalFormatting sqref="E10:E13">
    <cfRule type="expression" dxfId="649" priority="17">
      <formula>MOD(ROW(),2)=0</formula>
    </cfRule>
  </conditionalFormatting>
  <conditionalFormatting sqref="E11:E12">
    <cfRule type="expression" dxfId="648" priority="16">
      <formula>MOD(ROW(),2)=0</formula>
    </cfRule>
  </conditionalFormatting>
  <conditionalFormatting sqref="E13">
    <cfRule type="expression" dxfId="647" priority="15">
      <formula>MOD(ROW(),2)=0</formula>
    </cfRule>
  </conditionalFormatting>
  <conditionalFormatting sqref="E10:E11">
    <cfRule type="expression" dxfId="646" priority="14">
      <formula>MOD(ROW(),2)=0</formula>
    </cfRule>
  </conditionalFormatting>
  <conditionalFormatting sqref="E13">
    <cfRule type="expression" dxfId="645" priority="13">
      <formula>MOD(ROW(),2)=0</formula>
    </cfRule>
  </conditionalFormatting>
  <conditionalFormatting sqref="E12:E13">
    <cfRule type="expression" dxfId="644" priority="12">
      <formula>MOD(ROW(),2)=0</formula>
    </cfRule>
  </conditionalFormatting>
  <conditionalFormatting sqref="E14:E17">
    <cfRule type="expression" dxfId="643" priority="11">
      <formula>MOD(ROW(),2)=0</formula>
    </cfRule>
  </conditionalFormatting>
  <conditionalFormatting sqref="E17">
    <cfRule type="expression" dxfId="642" priority="10">
      <formula>MOD(ROW(),2)=0</formula>
    </cfRule>
  </conditionalFormatting>
  <conditionalFormatting sqref="E14:E15">
    <cfRule type="expression" dxfId="641" priority="9">
      <formula>MOD(ROW(),2)=0</formula>
    </cfRule>
  </conditionalFormatting>
  <conditionalFormatting sqref="E16:E17">
    <cfRule type="expression" dxfId="640" priority="8">
      <formula>MOD(ROW(),2)=0</formula>
    </cfRule>
  </conditionalFormatting>
  <conditionalFormatting sqref="I16">
    <cfRule type="expression" dxfId="639" priority="7">
      <formula>MOD(ROW(),2)=0</formula>
    </cfRule>
  </conditionalFormatting>
  <conditionalFormatting sqref="I16">
    <cfRule type="expression" dxfId="638" priority="6">
      <formula>MOD(ROW(),2)=0</formula>
    </cfRule>
  </conditionalFormatting>
  <conditionalFormatting sqref="I16">
    <cfRule type="expression" dxfId="637" priority="5">
      <formula>MOD(ROW(),2)=0</formula>
    </cfRule>
  </conditionalFormatting>
  <conditionalFormatting sqref="B47:B48">
    <cfRule type="cellIs" dxfId="636" priority="4" operator="equal">
      <formula>"&lt;unk.&gt;"</formula>
    </cfRule>
  </conditionalFormatting>
  <conditionalFormatting sqref="B46">
    <cfRule type="cellIs" dxfId="635" priority="3" operator="equal">
      <formula>"&lt;unk.&gt;"</formula>
    </cfRule>
  </conditionalFormatting>
  <conditionalFormatting sqref="B50">
    <cfRule type="cellIs" dxfId="634" priority="2" operator="equal">
      <formula>"&lt;unk.&gt;"</formula>
    </cfRule>
  </conditionalFormatting>
  <conditionalFormatting sqref="B49">
    <cfRule type="cellIs" dxfId="633" priority="1" operator="equal">
      <formula>"&lt;unk.&gt;"</formula>
    </cfRule>
  </conditionalFormatting>
  <dataValidations count="5">
    <dataValidation type="list" allowBlank="1" showInputMessage="1" showErrorMessage="1" sqref="B18" xr:uid="{00000000-0002-0000-1700-000000000000}">
      <formula1>INDIRECT(SUBSTITUTE(SUBSTITUTE(SUBSTITUTE(B17," ","_"),"&amp;",""),"/",""))</formula1>
    </dataValidation>
    <dataValidation type="list" allowBlank="1" showInputMessage="1" showErrorMessage="1" sqref="B22:B26" xr:uid="{00000000-0002-0000-1700-000001000000}">
      <formula1>LYesNo</formula1>
    </dataValidation>
    <dataValidation type="list" allowBlank="1" showInputMessage="1" showErrorMessage="1" sqref="Y10:Y20" xr:uid="{00000000-0002-0000-1700-000002000000}">
      <formula1>INDIRECT($X10)</formula1>
    </dataValidation>
    <dataValidation type="list" allowBlank="1" showInputMessage="1" showErrorMessage="1" sqref="B45 B64 B90" xr:uid="{00000000-0002-0000-1700-000003000000}">
      <formula1>LPeriods</formula1>
    </dataValidation>
    <dataValidation type="list" allowBlank="1" showInputMessage="1" showErrorMessage="1" sqref="B91 B93 B65 B46 B48" xr:uid="{00000000-0002-0000-1700-000004000000}">
      <formula1>LCals</formula1>
    </dataValidation>
  </dataValidations>
  <hyperlinks>
    <hyperlink ref="B12" r:id="rId2" xr:uid="{00000000-0004-0000-17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700-000005000000}">
          <x14:formula1>
            <xm:f>Lookups2!$K$28:$K$46</xm:f>
          </x14:formula1>
          <xm:sqref>U10:U20</xm:sqref>
        </x14:dataValidation>
        <x14:dataValidation type="list" showInputMessage="1" showErrorMessage="1" xr:uid="{00000000-0002-0000-1700-000006000000}">
          <x14:formula1>
            <xm:f>Lookups2!$AG$2:$AG$28</xm:f>
          </x14:formula1>
          <xm:sqref>B17</xm:sqref>
        </x14:dataValidation>
        <x14:dataValidation type="list" allowBlank="1" showInputMessage="1" showErrorMessage="1" xr:uid="{00000000-0002-0000-1700-000007000000}">
          <x14:formula1>
            <xm:f>Lookups2!$C$8:$C$11</xm:f>
          </x14:formula1>
          <xm:sqref>B30</xm:sqref>
        </x14:dataValidation>
        <x14:dataValidation type="list" allowBlank="1" showInputMessage="1" showErrorMessage="1" xr:uid="{00000000-0002-0000-1700-000008000000}">
          <x14:formula1>
            <xm:f>Lookups2!$Q$15:$Q$20</xm:f>
          </x14:formula1>
          <xm:sqref>G10:G20</xm:sqref>
        </x14:dataValidation>
        <x14:dataValidation type="list" allowBlank="1" showInputMessage="1" showErrorMessage="1" xr:uid="{00000000-0002-0000-1700-000009000000}">
          <x14:formula1>
            <xm:f>Lookups2!$M$35:$M$36</xm:f>
          </x14:formula1>
          <xm:sqref>V10:V20 H10:H20</xm:sqref>
        </x14:dataValidation>
        <x14:dataValidation type="list" allowBlank="1" showInputMessage="1" showErrorMessage="1" xr:uid="{00000000-0002-0000-1700-00000A000000}">
          <x14:formula1>
            <xm:f>EDOAlgo!$A$1:$R$1</xm:f>
          </x14:formula1>
          <xm:sqref>X10:X20</xm:sqref>
        </x14:dataValidation>
        <x14:dataValidation type="list" allowBlank="1" showInputMessage="1" showErrorMessage="1" xr:uid="{00000000-0002-0000-1700-00000B000000}">
          <x14:formula1>
            <xm:f>Lookups2!$M$41:$M$45</xm:f>
          </x14:formula1>
          <xm:sqref>S10:S20</xm:sqref>
        </x14:dataValidation>
        <x14:dataValidation type="list" allowBlank="1" showInputMessage="1" showErrorMessage="1" xr:uid="{00000000-0002-0000-1700-00000C000000}">
          <x14:formula1>
            <xm:f>INDIRECT(Lookups2!$K$9)</xm:f>
          </x14:formula1>
          <xm:sqref>T10:T20</xm:sqref>
        </x14:dataValidation>
        <x14:dataValidation type="list" allowBlank="1" showInputMessage="1" showErrorMessage="1" xr:uid="{00000000-0002-0000-1700-00000D000000}">
          <x14:formula1>
            <xm:f>Lookups2!$C$40:$C$45</xm:f>
          </x14:formula1>
          <xm:sqref>B78</xm:sqref>
        </x14:dataValidation>
        <x14:dataValidation type="list" allowBlank="1" showInputMessage="1" showErrorMessage="1" xr:uid="{00000000-0002-0000-1700-00000E000000}">
          <x14:formula1>
            <xm:f>Lookups2!$AC$2:$AC$3</xm:f>
          </x14:formula1>
          <xm:sqref>B14:B15</xm:sqref>
        </x14:dataValidation>
        <x14:dataValidation type="list" allowBlank="1" showInputMessage="1" showErrorMessage="1" xr:uid="{00000000-0002-0000-1700-00000F000000}">
          <x14:formula1>
            <xm:f>Lookups2!$Y$8:$Y$10</xm:f>
          </x14:formula1>
          <xm:sqref>B33</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499984740745262"/>
  </sheetPr>
  <dimension ref="A1:AA110"/>
  <sheetViews>
    <sheetView showGridLines="0" zoomScaleNormal="100" workbookViewId="0">
      <pane xSplit="6" ySplit="9" topLeftCell="G10" activePane="bottomRight" state="frozen"/>
      <selection pane="topRight" activeCell="G1" sqref="G1"/>
      <selection pane="bottomLeft" activeCell="A11" sqref="A11"/>
      <selection pane="bottomRight" activeCell="G16" sqref="G16"/>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debt_bb_pr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51" t="s">
        <v>3923</v>
      </c>
      <c r="C4" s="352"/>
      <c r="D4" s="352"/>
      <c r="E4" s="352"/>
      <c r="F4" s="353"/>
      <c r="G4" s="259"/>
      <c r="H4" s="259"/>
      <c r="K4" s="201" t="s">
        <v>239</v>
      </c>
      <c r="L4" s="202" t="s">
        <v>3424</v>
      </c>
      <c r="M4" s="23" t="s">
        <v>3425</v>
      </c>
    </row>
    <row r="5" spans="1:26" ht="71.25" customHeight="1" x14ac:dyDescent="0.2">
      <c r="A5" s="151" t="s">
        <v>3426</v>
      </c>
      <c r="B5" s="351" t="s">
        <v>3924</v>
      </c>
      <c r="C5" s="352"/>
      <c r="D5" s="352"/>
      <c r="E5" s="352"/>
      <c r="F5" s="355"/>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17">
        <v>1</v>
      </c>
      <c r="E10" s="221" t="s">
        <v>3683</v>
      </c>
      <c r="F10" s="64"/>
      <c r="G10" s="64" t="s">
        <v>299</v>
      </c>
      <c r="H10" s="64"/>
      <c r="I10" s="220" t="s">
        <v>3852</v>
      </c>
      <c r="J10" s="64"/>
      <c r="K10" s="64" t="s">
        <v>3685</v>
      </c>
      <c r="L10" s="23"/>
      <c r="M10" s="154" t="e">
        <f>VLOOKUP(Table216[[#This Row],[Data Element]],Lookups2!AM:AN,2,FALSE)</f>
        <v>#N/A</v>
      </c>
      <c r="N10" s="64"/>
      <c r="O10" s="64"/>
      <c r="P10" s="64"/>
      <c r="Q10" s="64"/>
      <c r="R10" s="64"/>
      <c r="S10" s="64" t="s">
        <v>387</v>
      </c>
      <c r="T10" s="64"/>
      <c r="U10" s="64"/>
      <c r="V10" s="64"/>
      <c r="W10" s="64"/>
      <c r="X10" s="64"/>
      <c r="Y10" s="72"/>
      <c r="Z10" s="26"/>
    </row>
    <row r="11" spans="1:26" x14ac:dyDescent="0.2">
      <c r="A11" s="148" t="s">
        <v>153</v>
      </c>
      <c r="B11" s="23" t="s">
        <v>3377</v>
      </c>
      <c r="D11" s="217">
        <v>2</v>
      </c>
      <c r="E11" s="220" t="s">
        <v>3925</v>
      </c>
      <c r="F11" s="64"/>
      <c r="G11" s="64" t="s">
        <v>259</v>
      </c>
      <c r="H11" s="64"/>
      <c r="I11" s="220"/>
      <c r="J11" s="64"/>
      <c r="K11" s="64" t="s">
        <v>3926</v>
      </c>
      <c r="L11" s="211"/>
      <c r="M11" s="154" t="e">
        <f>VLOOKUP(Table216[[#This Row],[Data Element]],Lookups2!AM:AN,2,FALSE)</f>
        <v>#N/A</v>
      </c>
      <c r="N11" s="64"/>
      <c r="O11" s="64"/>
      <c r="P11" s="64"/>
      <c r="Q11" s="64"/>
      <c r="R11" s="64"/>
      <c r="S11" s="64" t="s">
        <v>387</v>
      </c>
      <c r="T11" s="64"/>
      <c r="U11" s="64"/>
      <c r="V11" s="64"/>
      <c r="W11" s="64"/>
      <c r="X11" s="64"/>
      <c r="Y11" s="72"/>
      <c r="Z11" s="26"/>
    </row>
    <row r="12" spans="1:26" x14ac:dyDescent="0.2">
      <c r="A12" s="194" t="s">
        <v>3454</v>
      </c>
      <c r="B12" s="213" t="s">
        <v>3378</v>
      </c>
      <c r="D12" s="217">
        <v>3</v>
      </c>
      <c r="E12" s="221" t="s">
        <v>3927</v>
      </c>
      <c r="F12" s="64"/>
      <c r="G12" s="64" t="s">
        <v>259</v>
      </c>
      <c r="H12" s="64"/>
      <c r="I12" s="220"/>
      <c r="J12" s="64"/>
      <c r="K12" s="64" t="s">
        <v>153</v>
      </c>
      <c r="L12" s="211"/>
      <c r="M12" s="154" t="e">
        <f>VLOOKUP(Table216[[#This Row],[Data Element]],Lookups2!AM:AN,2,FALSE)</f>
        <v>#N/A</v>
      </c>
      <c r="N12" s="64"/>
      <c r="O12" s="64"/>
      <c r="P12" s="64"/>
      <c r="Q12" s="64"/>
      <c r="R12" s="64"/>
      <c r="S12" s="64" t="s">
        <v>343</v>
      </c>
      <c r="T12" s="64"/>
      <c r="U12" s="64"/>
      <c r="V12" s="64"/>
      <c r="W12" s="64"/>
      <c r="X12" s="64"/>
      <c r="Y12" s="72"/>
    </row>
    <row r="13" spans="1:26" x14ac:dyDescent="0.2">
      <c r="A13" s="195" t="s">
        <v>3455</v>
      </c>
      <c r="B13" s="232" t="s">
        <v>3686</v>
      </c>
      <c r="D13" s="217">
        <v>4</v>
      </c>
      <c r="E13" s="220" t="s">
        <v>3838</v>
      </c>
      <c r="F13" s="64"/>
      <c r="G13" s="64" t="s">
        <v>259</v>
      </c>
      <c r="H13" s="64"/>
      <c r="I13" s="220"/>
      <c r="J13" s="64"/>
      <c r="K13" s="64" t="s">
        <v>3928</v>
      </c>
      <c r="L13" s="211"/>
      <c r="M13" s="154" t="e">
        <f>VLOOKUP(Table216[[#This Row],[Data Element]],Lookups2!AM:AN,2,FALSE)</f>
        <v>#N/A</v>
      </c>
      <c r="N13" s="64"/>
      <c r="O13" s="64"/>
      <c r="P13" s="64"/>
      <c r="Q13" s="64"/>
      <c r="R13" s="64"/>
      <c r="S13" s="64" t="s">
        <v>387</v>
      </c>
      <c r="T13" s="64"/>
      <c r="U13" s="64"/>
      <c r="V13" s="64"/>
      <c r="W13" s="64"/>
      <c r="X13" s="64"/>
      <c r="Y13" s="72"/>
    </row>
    <row r="14" spans="1:26" x14ac:dyDescent="0.2">
      <c r="A14" s="196" t="s">
        <v>234</v>
      </c>
      <c r="B14" s="116" t="s">
        <v>250</v>
      </c>
      <c r="D14" s="217">
        <v>5</v>
      </c>
      <c r="E14" s="221" t="s">
        <v>3929</v>
      </c>
      <c r="F14" s="64"/>
      <c r="G14" s="64" t="s">
        <v>259</v>
      </c>
      <c r="H14" s="64"/>
      <c r="I14" s="220"/>
      <c r="J14" s="64"/>
      <c r="K14" s="64" t="s">
        <v>3930</v>
      </c>
      <c r="L14" s="211"/>
      <c r="M14" s="154" t="e">
        <f>VLOOKUP(Table216[[#This Row],[Data Element]],Lookups2!AM:AN,2,FALSE)</f>
        <v>#N/A</v>
      </c>
      <c r="N14" s="64"/>
      <c r="O14" s="64"/>
      <c r="P14" s="64"/>
      <c r="Q14" s="64"/>
      <c r="R14" s="64"/>
      <c r="S14" s="64" t="s">
        <v>387</v>
      </c>
      <c r="T14" s="64"/>
      <c r="U14" s="64"/>
      <c r="V14" s="64"/>
      <c r="W14" s="64"/>
      <c r="X14" s="64"/>
      <c r="Y14" s="72"/>
    </row>
    <row r="15" spans="1:26" x14ac:dyDescent="0.2">
      <c r="A15" s="149"/>
      <c r="B15" s="26"/>
      <c r="D15" s="217">
        <v>6</v>
      </c>
      <c r="E15" s="220" t="s">
        <v>3931</v>
      </c>
      <c r="F15" s="64"/>
      <c r="G15" s="64" t="s">
        <v>299</v>
      </c>
      <c r="H15" s="64"/>
      <c r="I15" s="220" t="s">
        <v>3852</v>
      </c>
      <c r="J15" s="64"/>
      <c r="K15" s="64" t="s">
        <v>3932</v>
      </c>
      <c r="L15" s="211"/>
      <c r="M15" s="154" t="e">
        <f>VLOOKUP(Table216[[#This Row],[Data Element]],Lookups2!AM:AN,2,FALSE)</f>
        <v>#N/A</v>
      </c>
      <c r="N15" s="64"/>
      <c r="O15" s="64"/>
      <c r="P15" s="64"/>
      <c r="Q15" s="64"/>
      <c r="R15" s="64"/>
      <c r="S15" s="64" t="s">
        <v>387</v>
      </c>
      <c r="T15" s="64"/>
      <c r="U15" s="64"/>
      <c r="V15" s="64"/>
      <c r="W15" s="64"/>
      <c r="X15" s="64"/>
      <c r="Y15" s="72"/>
    </row>
    <row r="16" spans="1:26" x14ac:dyDescent="0.2">
      <c r="A16" s="150" t="s">
        <v>3456</v>
      </c>
      <c r="B16" s="69"/>
      <c r="D16" s="217">
        <v>7</v>
      </c>
      <c r="E16" s="221" t="s">
        <v>3933</v>
      </c>
      <c r="F16" s="64"/>
      <c r="G16" s="64" t="s">
        <v>299</v>
      </c>
      <c r="H16" s="64"/>
      <c r="I16" s="220"/>
      <c r="J16" s="64"/>
      <c r="K16" s="64" t="s">
        <v>3934</v>
      </c>
      <c r="L16" s="211"/>
      <c r="M16" s="154" t="e">
        <f>VLOOKUP(Table216[[#This Row],[Data Element]],Lookups2!AM:AN,2,FALSE)</f>
        <v>#N/A</v>
      </c>
      <c r="N16" s="64"/>
      <c r="O16" s="64"/>
      <c r="P16" s="64"/>
      <c r="Q16" s="64"/>
      <c r="R16" s="64"/>
      <c r="S16" s="64" t="s">
        <v>387</v>
      </c>
      <c r="T16" s="64"/>
      <c r="U16" s="64"/>
      <c r="V16" s="64"/>
      <c r="W16" s="64"/>
      <c r="X16" s="64"/>
      <c r="Y16" s="72"/>
    </row>
    <row r="17" spans="1:25" x14ac:dyDescent="0.2">
      <c r="A17" s="151" t="s">
        <v>3457</v>
      </c>
      <c r="B17" s="175" t="s">
        <v>303</v>
      </c>
      <c r="D17" s="217">
        <v>8</v>
      </c>
      <c r="E17" s="220" t="s">
        <v>3935</v>
      </c>
      <c r="F17" s="64"/>
      <c r="G17" s="64" t="s">
        <v>487</v>
      </c>
      <c r="H17" s="64"/>
      <c r="I17" s="220"/>
      <c r="J17" s="64"/>
      <c r="K17" s="64" t="s">
        <v>3936</v>
      </c>
      <c r="L17" s="211"/>
      <c r="M17" s="154" t="e">
        <f>VLOOKUP(Table216[[#This Row],[Data Element]],Lookups2!AM:AN,2,FALSE)</f>
        <v>#N/A</v>
      </c>
      <c r="N17" s="64"/>
      <c r="O17" s="64"/>
      <c r="P17" s="64"/>
      <c r="Q17" s="64"/>
      <c r="R17" s="64"/>
      <c r="S17" s="64" t="s">
        <v>387</v>
      </c>
      <c r="T17" s="64"/>
      <c r="U17" s="64"/>
      <c r="V17" s="64"/>
      <c r="W17" s="64"/>
      <c r="X17" s="64"/>
      <c r="Y17" s="72"/>
    </row>
    <row r="18" spans="1:25" x14ac:dyDescent="0.2">
      <c r="A18" s="151" t="s">
        <v>3458</v>
      </c>
      <c r="B18" s="175" t="s">
        <v>489</v>
      </c>
      <c r="D18" s="217">
        <v>9</v>
      </c>
      <c r="E18" s="221" t="s">
        <v>3937</v>
      </c>
      <c r="F18" s="64"/>
      <c r="G18" s="64" t="s">
        <v>487</v>
      </c>
      <c r="H18" s="64"/>
      <c r="I18" s="220"/>
      <c r="J18" s="64"/>
      <c r="K18" s="64" t="s">
        <v>3938</v>
      </c>
      <c r="L18" s="211"/>
      <c r="M18" s="154" t="e">
        <f>VLOOKUP(Table216[[#This Row],[Data Element]],Lookups2!AM:AN,2,FALSE)</f>
        <v>#N/A</v>
      </c>
      <c r="N18" s="64"/>
      <c r="O18" s="64"/>
      <c r="P18" s="64"/>
      <c r="Q18" s="64"/>
      <c r="R18" s="64"/>
      <c r="S18" s="64" t="s">
        <v>387</v>
      </c>
      <c r="T18" s="64"/>
      <c r="U18" s="64"/>
      <c r="V18" s="64"/>
      <c r="W18" s="64"/>
      <c r="X18" s="64"/>
      <c r="Y18" s="72"/>
    </row>
    <row r="19" spans="1:25" ht="78" customHeight="1" x14ac:dyDescent="0.2">
      <c r="A19" s="71" t="s">
        <v>238</v>
      </c>
      <c r="B19" s="182" t="str">
        <f>VLOOKUP(B18,Lookups2!AI:AJ,2,0)</f>
        <v>Corporate and government debts (centrally or bilaterally cleared)</v>
      </c>
      <c r="D19" s="217">
        <v>10</v>
      </c>
      <c r="E19" s="221" t="s">
        <v>3939</v>
      </c>
      <c r="F19" s="64"/>
      <c r="G19" s="64" t="s">
        <v>487</v>
      </c>
      <c r="H19" s="64"/>
      <c r="I19" s="220"/>
      <c r="J19" s="64"/>
      <c r="K19" s="220" t="s">
        <v>3940</v>
      </c>
      <c r="L19" s="211"/>
      <c r="M19" s="154" t="e">
        <f>VLOOKUP(Table216[[#This Row],[Data Element]],Lookups2!AM:AN,2,FALSE)</f>
        <v>#N/A</v>
      </c>
      <c r="N19" s="64"/>
      <c r="O19" s="64"/>
      <c r="P19" s="64"/>
      <c r="Q19" s="64"/>
      <c r="R19" s="64"/>
      <c r="S19" s="64" t="s">
        <v>387</v>
      </c>
      <c r="T19" s="64"/>
      <c r="U19" s="64"/>
      <c r="V19" s="64"/>
      <c r="W19" s="64"/>
      <c r="X19" s="64"/>
      <c r="Y19" s="72"/>
    </row>
    <row r="20" spans="1:25" x14ac:dyDescent="0.2">
      <c r="A20" s="149"/>
      <c r="B20" s="26"/>
      <c r="D20" s="217">
        <v>11</v>
      </c>
      <c r="E20" s="221" t="s">
        <v>3941</v>
      </c>
      <c r="F20" s="64"/>
      <c r="G20" s="64" t="s">
        <v>487</v>
      </c>
      <c r="H20" s="64"/>
      <c r="I20" s="220"/>
      <c r="J20" s="64"/>
      <c r="K20" s="220" t="s">
        <v>3942</v>
      </c>
      <c r="L20" s="211"/>
      <c r="M20" s="154" t="e">
        <f>VLOOKUP(Table216[[#This Row],[Data Element]],Lookups2!AM:AN,2,FALSE)</f>
        <v>#N/A</v>
      </c>
      <c r="N20" s="64"/>
      <c r="O20" s="64"/>
      <c r="P20" s="64"/>
      <c r="Q20" s="64"/>
      <c r="R20" s="64"/>
      <c r="S20" s="64" t="s">
        <v>387</v>
      </c>
      <c r="T20" s="64"/>
      <c r="U20" s="64"/>
      <c r="V20" s="64"/>
      <c r="W20" s="64"/>
      <c r="X20" s="64"/>
      <c r="Y20" s="72"/>
    </row>
    <row r="21" spans="1:25" x14ac:dyDescent="0.2">
      <c r="A21" s="150" t="s">
        <v>3459</v>
      </c>
      <c r="B21" s="69"/>
      <c r="D21" s="217">
        <v>12</v>
      </c>
      <c r="E21" s="221" t="s">
        <v>3943</v>
      </c>
      <c r="F21" s="64"/>
      <c r="G21" s="64" t="s">
        <v>487</v>
      </c>
      <c r="H21" s="64"/>
      <c r="I21" s="220"/>
      <c r="J21" s="64"/>
      <c r="K21" s="239" t="s">
        <v>3944</v>
      </c>
      <c r="L21" s="211"/>
      <c r="M21" s="154" t="e">
        <f>VLOOKUP(Table216[[#This Row],[Data Element]],Lookups2!AM:AN,2,FALSE)</f>
        <v>#N/A</v>
      </c>
      <c r="N21" s="64"/>
      <c r="O21" s="64"/>
      <c r="P21" s="64"/>
      <c r="Q21" s="64"/>
      <c r="R21" s="64"/>
      <c r="S21" s="64" t="s">
        <v>387</v>
      </c>
      <c r="T21" s="64"/>
      <c r="U21" s="64"/>
      <c r="V21" s="64"/>
      <c r="W21" s="64"/>
      <c r="X21" s="64"/>
      <c r="Y21" s="72"/>
    </row>
    <row r="22" spans="1:25" x14ac:dyDescent="0.2">
      <c r="A22" s="151" t="s">
        <v>3460</v>
      </c>
      <c r="B22" s="84" t="s">
        <v>276</v>
      </c>
      <c r="D22" s="217">
        <v>13</v>
      </c>
      <c r="E22" s="221" t="s">
        <v>3945</v>
      </c>
      <c r="F22" s="64"/>
      <c r="G22" s="64" t="s">
        <v>487</v>
      </c>
      <c r="H22" s="64"/>
      <c r="I22" s="220"/>
      <c r="J22" s="64"/>
      <c r="K22" s="64" t="s">
        <v>3946</v>
      </c>
      <c r="L22" s="211"/>
      <c r="M22" s="154" t="e">
        <f>VLOOKUP(Table216[[#This Row],[Data Element]],Lookups2!AM:AN,2,FALSE)</f>
        <v>#N/A</v>
      </c>
      <c r="N22" s="64"/>
      <c r="O22" s="64"/>
      <c r="P22" s="64"/>
      <c r="Q22" s="64"/>
      <c r="R22" s="64"/>
      <c r="S22" s="64" t="s">
        <v>387</v>
      </c>
      <c r="T22" s="64"/>
      <c r="U22" s="64"/>
      <c r="V22" s="64"/>
      <c r="W22" s="64"/>
      <c r="X22" s="64"/>
      <c r="Y22" s="72"/>
    </row>
    <row r="23" spans="1:25" x14ac:dyDescent="0.2">
      <c r="A23" s="151" t="s">
        <v>3461</v>
      </c>
      <c r="B23" s="84" t="s">
        <v>276</v>
      </c>
      <c r="D23" s="217">
        <v>14</v>
      </c>
      <c r="E23" s="221" t="s">
        <v>3947</v>
      </c>
      <c r="F23" s="64"/>
      <c r="G23" s="64" t="s">
        <v>487</v>
      </c>
      <c r="H23" s="64"/>
      <c r="I23" s="220"/>
      <c r="J23" s="64"/>
      <c r="K23" s="64" t="s">
        <v>3948</v>
      </c>
      <c r="L23" s="211"/>
      <c r="M23" s="154" t="e">
        <f>VLOOKUP(Table216[[#This Row],[Data Element]],Lookups2!AM:AN,2,FALSE)</f>
        <v>#N/A</v>
      </c>
      <c r="N23" s="64"/>
      <c r="O23" s="64"/>
      <c r="P23" s="64"/>
      <c r="Q23" s="64"/>
      <c r="R23" s="64"/>
      <c r="S23" s="64" t="s">
        <v>387</v>
      </c>
      <c r="T23" s="64"/>
      <c r="U23" s="64"/>
      <c r="V23" s="64"/>
      <c r="W23" s="64"/>
      <c r="X23" s="64"/>
      <c r="Y23" s="72"/>
    </row>
    <row r="24" spans="1:25" x14ac:dyDescent="0.2">
      <c r="A24" s="151" t="s">
        <v>3462</v>
      </c>
      <c r="B24" s="84" t="s">
        <v>276</v>
      </c>
      <c r="D24" s="217">
        <v>15</v>
      </c>
      <c r="E24" s="221" t="s">
        <v>3949</v>
      </c>
      <c r="F24" s="64"/>
      <c r="G24" s="64" t="s">
        <v>487</v>
      </c>
      <c r="H24" s="64"/>
      <c r="I24" s="220"/>
      <c r="J24" s="64"/>
      <c r="K24" s="64" t="s">
        <v>3950</v>
      </c>
      <c r="L24" s="211"/>
      <c r="M24" s="154" t="e">
        <f>VLOOKUP(Table216[[#This Row],[Data Element]],Lookups2!AM:AN,2,FALSE)</f>
        <v>#N/A</v>
      </c>
      <c r="N24" s="64"/>
      <c r="O24" s="64"/>
      <c r="P24" s="64"/>
      <c r="Q24" s="64"/>
      <c r="R24" s="64"/>
      <c r="S24" s="64" t="s">
        <v>387</v>
      </c>
      <c r="T24" s="64"/>
      <c r="U24" s="64"/>
      <c r="V24" s="64"/>
      <c r="W24" s="64"/>
      <c r="X24" s="64"/>
      <c r="Y24" s="72"/>
    </row>
    <row r="25" spans="1:25" x14ac:dyDescent="0.2">
      <c r="A25" s="151" t="s">
        <v>3463</v>
      </c>
      <c r="B25" s="84" t="s">
        <v>276</v>
      </c>
      <c r="D25" s="217">
        <v>16</v>
      </c>
      <c r="E25" s="221" t="s">
        <v>3951</v>
      </c>
      <c r="F25" s="64"/>
      <c r="G25" s="64" t="s">
        <v>299</v>
      </c>
      <c r="H25" s="64"/>
      <c r="I25" s="220" t="s">
        <v>3852</v>
      </c>
      <c r="J25" s="64"/>
      <c r="K25" s="64" t="s">
        <v>3952</v>
      </c>
      <c r="L25" s="211"/>
      <c r="M25" s="154" t="e">
        <f>VLOOKUP(Table216[[#This Row],[Data Element]],Lookups2!AM:AN,2,FALSE)</f>
        <v>#N/A</v>
      </c>
      <c r="N25" s="64"/>
      <c r="O25" s="64"/>
      <c r="P25" s="64"/>
      <c r="Q25" s="64"/>
      <c r="R25" s="64"/>
      <c r="S25" s="64" t="s">
        <v>387</v>
      </c>
      <c r="T25" s="64"/>
      <c r="U25" s="64"/>
      <c r="V25" s="64"/>
      <c r="W25" s="64"/>
      <c r="X25" s="64"/>
      <c r="Y25" s="72"/>
    </row>
    <row r="26" spans="1:25" x14ac:dyDescent="0.2">
      <c r="A26" s="151" t="s">
        <v>3464</v>
      </c>
      <c r="B26" s="84" t="s">
        <v>276</v>
      </c>
      <c r="D26" s="217">
        <v>17</v>
      </c>
      <c r="E26" s="221" t="s">
        <v>3953</v>
      </c>
      <c r="F26" s="64"/>
      <c r="G26" s="64" t="s">
        <v>487</v>
      </c>
      <c r="H26" s="64"/>
      <c r="I26" s="220"/>
      <c r="J26" s="64"/>
      <c r="K26" s="64" t="s">
        <v>3954</v>
      </c>
      <c r="L26" s="211"/>
      <c r="M26" s="154" t="e">
        <f>VLOOKUP(Table216[[#This Row],[Data Element]],Lookups2!AM:AN,2,FALSE)</f>
        <v>#N/A</v>
      </c>
      <c r="N26" s="64"/>
      <c r="O26" s="64"/>
      <c r="P26" s="64"/>
      <c r="Q26" s="64"/>
      <c r="R26" s="64"/>
      <c r="S26" s="64" t="s">
        <v>387</v>
      </c>
      <c r="T26" s="64"/>
      <c r="U26" s="64"/>
      <c r="V26" s="64"/>
      <c r="W26" s="64"/>
      <c r="X26" s="64"/>
      <c r="Y26" s="72"/>
    </row>
    <row r="27" spans="1:25" x14ac:dyDescent="0.2">
      <c r="A27" s="173" t="s">
        <v>3465</v>
      </c>
      <c r="B27" s="84"/>
      <c r="D27" s="217">
        <v>18</v>
      </c>
      <c r="E27" s="221" t="s">
        <v>3955</v>
      </c>
      <c r="F27" s="64"/>
      <c r="G27" s="64" t="s">
        <v>487</v>
      </c>
      <c r="H27" s="64"/>
      <c r="I27" s="220"/>
      <c r="J27" s="64"/>
      <c r="K27" s="64" t="s">
        <v>3956</v>
      </c>
      <c r="L27" s="211"/>
      <c r="M27" s="154" t="e">
        <f>VLOOKUP(Table216[[#This Row],[Data Element]],Lookups2!AM:AN,2,FALSE)</f>
        <v>#N/A</v>
      </c>
      <c r="N27" s="64"/>
      <c r="O27" s="64"/>
      <c r="P27" s="64"/>
      <c r="Q27" s="64"/>
      <c r="R27" s="64"/>
      <c r="S27" s="64" t="s">
        <v>387</v>
      </c>
      <c r="T27" s="64"/>
      <c r="U27" s="64"/>
      <c r="V27" s="64"/>
      <c r="W27" s="64"/>
      <c r="X27" s="64"/>
      <c r="Y27" s="72"/>
    </row>
    <row r="28" spans="1:25" x14ac:dyDescent="0.2">
      <c r="A28" s="149"/>
      <c r="B28" s="26"/>
      <c r="D28" s="217">
        <v>19</v>
      </c>
      <c r="E28" s="221" t="s">
        <v>3957</v>
      </c>
      <c r="F28" s="64"/>
      <c r="G28" s="64" t="s">
        <v>487</v>
      </c>
      <c r="H28" s="64"/>
      <c r="I28" s="220"/>
      <c r="J28" s="64"/>
      <c r="K28" s="64" t="s">
        <v>3958</v>
      </c>
      <c r="L28" s="211"/>
      <c r="M28" s="154" t="e">
        <f>VLOOKUP(Table216[[#This Row],[Data Element]],Lookups2!AM:AN,2,FALSE)</f>
        <v>#N/A</v>
      </c>
      <c r="N28" s="64"/>
      <c r="O28" s="64"/>
      <c r="P28" s="64"/>
      <c r="Q28" s="64"/>
      <c r="R28" s="64"/>
      <c r="S28" s="64" t="s">
        <v>387</v>
      </c>
      <c r="T28" s="64"/>
      <c r="U28" s="64"/>
      <c r="V28" s="64"/>
      <c r="W28" s="64"/>
      <c r="X28" s="64"/>
      <c r="Y28" s="72"/>
    </row>
    <row r="29" spans="1:25" x14ac:dyDescent="0.2">
      <c r="A29" s="65" t="s">
        <v>3446</v>
      </c>
      <c r="B29" s="69"/>
      <c r="D29" s="217">
        <v>20</v>
      </c>
      <c r="E29" s="221" t="s">
        <v>3959</v>
      </c>
      <c r="F29" s="64"/>
      <c r="G29" s="64" t="s">
        <v>487</v>
      </c>
      <c r="H29" s="64"/>
      <c r="I29" s="220"/>
      <c r="J29" s="64"/>
      <c r="K29" s="64" t="s">
        <v>3960</v>
      </c>
      <c r="L29" s="211"/>
      <c r="M29" s="154" t="e">
        <f>VLOOKUP(Table216[[#This Row],[Data Element]],Lookups2!AM:AN,2,FALSE)</f>
        <v>#N/A</v>
      </c>
      <c r="N29" s="64"/>
      <c r="O29" s="64"/>
      <c r="P29" s="64"/>
      <c r="Q29" s="64"/>
      <c r="R29" s="64"/>
      <c r="S29" s="64" t="s">
        <v>387</v>
      </c>
      <c r="T29" s="64"/>
      <c r="U29" s="64"/>
      <c r="V29" s="64"/>
      <c r="W29" s="64"/>
      <c r="X29" s="64"/>
      <c r="Y29" s="72"/>
    </row>
    <row r="30" spans="1:25" x14ac:dyDescent="0.2">
      <c r="A30" s="134" t="s">
        <v>3466</v>
      </c>
      <c r="B30" s="84" t="s">
        <v>343</v>
      </c>
      <c r="D30" s="217">
        <v>21</v>
      </c>
      <c r="E30" s="221" t="s">
        <v>3961</v>
      </c>
      <c r="F30" s="64"/>
      <c r="G30" s="64" t="s">
        <v>487</v>
      </c>
      <c r="H30" s="64"/>
      <c r="I30" s="220"/>
      <c r="J30" s="64"/>
      <c r="K30" s="64" t="s">
        <v>3962</v>
      </c>
      <c r="L30" s="211"/>
      <c r="M30" s="154" t="e">
        <f>VLOOKUP(Table216[[#This Row],[Data Element]],Lookups2!AM:AN,2,FALSE)</f>
        <v>#N/A</v>
      </c>
      <c r="N30" s="64"/>
      <c r="O30" s="64"/>
      <c r="P30" s="64"/>
      <c r="Q30" s="64"/>
      <c r="R30" s="64"/>
      <c r="S30" s="64" t="s">
        <v>387</v>
      </c>
      <c r="T30" s="64"/>
      <c r="U30" s="64"/>
      <c r="V30" s="64"/>
      <c r="W30" s="64"/>
      <c r="X30" s="64"/>
      <c r="Y30" s="72"/>
    </row>
    <row r="31" spans="1:25" x14ac:dyDescent="0.2">
      <c r="A31" s="8"/>
      <c r="B31" s="9"/>
      <c r="D31" s="217">
        <v>22</v>
      </c>
      <c r="E31" s="221" t="s">
        <v>3963</v>
      </c>
      <c r="F31" s="64"/>
      <c r="G31" s="64" t="s">
        <v>487</v>
      </c>
      <c r="H31" s="64"/>
      <c r="I31" s="220"/>
      <c r="J31" s="64"/>
      <c r="K31" s="64" t="s">
        <v>3964</v>
      </c>
      <c r="L31" s="211"/>
      <c r="M31" s="154" t="e">
        <f>VLOOKUP(Table216[[#This Row],[Data Element]],Lookups2!AM:AN,2,FALSE)</f>
        <v>#N/A</v>
      </c>
      <c r="N31" s="64"/>
      <c r="O31" s="64"/>
      <c r="P31" s="64"/>
      <c r="Q31" s="64"/>
      <c r="R31" s="64"/>
      <c r="S31" s="64" t="s">
        <v>387</v>
      </c>
      <c r="T31" s="64"/>
      <c r="U31" s="64"/>
      <c r="V31" s="64"/>
      <c r="W31" s="64"/>
      <c r="X31" s="64"/>
      <c r="Y31" s="72"/>
    </row>
    <row r="32" spans="1:25" x14ac:dyDescent="0.2">
      <c r="A32" s="65" t="s">
        <v>3467</v>
      </c>
      <c r="B32" s="69"/>
      <c r="D32" s="217">
        <v>23</v>
      </c>
      <c r="E32" s="221" t="s">
        <v>3965</v>
      </c>
      <c r="F32" s="64"/>
      <c r="G32" s="64" t="s">
        <v>487</v>
      </c>
      <c r="H32" s="64"/>
      <c r="I32" s="220"/>
      <c r="J32" s="64"/>
      <c r="K32" s="64" t="s">
        <v>3966</v>
      </c>
      <c r="L32" s="211"/>
      <c r="M32" s="154" t="e">
        <f>VLOOKUP(Table216[[#This Row],[Data Element]],Lookups2!AM:AN,2,FALSE)</f>
        <v>#N/A</v>
      </c>
      <c r="N32" s="64"/>
      <c r="O32" s="64"/>
      <c r="P32" s="64"/>
      <c r="Q32" s="64"/>
      <c r="R32" s="64"/>
      <c r="S32" s="64" t="s">
        <v>387</v>
      </c>
      <c r="T32" s="64"/>
      <c r="U32" s="64"/>
      <c r="V32" s="64"/>
      <c r="W32" s="64"/>
      <c r="X32" s="64"/>
      <c r="Y32" s="72"/>
    </row>
    <row r="33" spans="1:25" ht="14.25" x14ac:dyDescent="0.25">
      <c r="A33" s="134" t="s">
        <v>232</v>
      </c>
      <c r="B33" s="176" t="s">
        <v>377</v>
      </c>
      <c r="D33" s="217">
        <v>24</v>
      </c>
      <c r="E33" s="221" t="s">
        <v>3967</v>
      </c>
      <c r="F33" s="64"/>
      <c r="G33" s="64" t="s">
        <v>487</v>
      </c>
      <c r="H33" s="64"/>
      <c r="I33" s="220"/>
      <c r="J33" s="64"/>
      <c r="K33" s="64" t="s">
        <v>3968</v>
      </c>
      <c r="L33" s="211"/>
      <c r="M33" s="154" t="e">
        <f>VLOOKUP(Table216[[#This Row],[Data Element]],Lookups2!AM:AN,2,FALSE)</f>
        <v>#N/A</v>
      </c>
      <c r="N33" s="64"/>
      <c r="O33" s="64"/>
      <c r="P33" s="64"/>
      <c r="Q33" s="64"/>
      <c r="R33" s="64"/>
      <c r="S33" s="64" t="s">
        <v>387</v>
      </c>
      <c r="T33" s="64"/>
      <c r="U33" s="64"/>
      <c r="V33" s="64"/>
      <c r="W33" s="64"/>
      <c r="X33" s="64"/>
      <c r="Y33" s="72"/>
    </row>
    <row r="34" spans="1:25" x14ac:dyDescent="0.2">
      <c r="A34" s="67" t="s">
        <v>3468</v>
      </c>
      <c r="B34" s="68"/>
    </row>
    <row r="35" spans="1:25" ht="14.25" x14ac:dyDescent="0.25">
      <c r="A35" s="73"/>
      <c r="B35" s="73"/>
    </row>
    <row r="36" spans="1:25" x14ac:dyDescent="0.2">
      <c r="A36" s="65" t="s">
        <v>754</v>
      </c>
      <c r="B36" s="69"/>
    </row>
    <row r="37" spans="1:25" ht="14.25" x14ac:dyDescent="0.25">
      <c r="A37" s="135" t="s">
        <v>3469</v>
      </c>
      <c r="B37" s="70" t="s">
        <v>3687</v>
      </c>
    </row>
    <row r="38" spans="1:25" ht="14.25" x14ac:dyDescent="0.25">
      <c r="A38" s="136" t="s">
        <v>3470</v>
      </c>
      <c r="B38" s="70" t="s">
        <v>3687</v>
      </c>
    </row>
    <row r="40" spans="1:25" x14ac:dyDescent="0.2">
      <c r="A40" s="65" t="s">
        <v>3471</v>
      </c>
      <c r="B40" s="66"/>
    </row>
    <row r="41" spans="1:25" ht="14.25" x14ac:dyDescent="0.25">
      <c r="A41" s="152" t="s">
        <v>3472</v>
      </c>
      <c r="B41" s="70" t="s">
        <v>3687</v>
      </c>
    </row>
    <row r="42" spans="1:25" ht="14.25" x14ac:dyDescent="0.25">
      <c r="A42" s="152" t="s">
        <v>3473</v>
      </c>
      <c r="B42" s="70" t="s">
        <v>3687</v>
      </c>
    </row>
    <row r="44" spans="1:25" x14ac:dyDescent="0.2">
      <c r="A44" s="250" t="s">
        <v>3474</v>
      </c>
      <c r="B44" s="251"/>
    </row>
    <row r="45" spans="1:25" x14ac:dyDescent="0.2">
      <c r="A45" s="131" t="s">
        <v>3475</v>
      </c>
      <c r="B45" s="91" t="s">
        <v>255</v>
      </c>
    </row>
    <row r="46" spans="1:25" x14ac:dyDescent="0.2">
      <c r="A46" s="132" t="s">
        <v>3476</v>
      </c>
      <c r="B46" s="54" t="s">
        <v>411</v>
      </c>
    </row>
    <row r="47" spans="1:25" x14ac:dyDescent="0.2">
      <c r="A47" s="132" t="s">
        <v>3477</v>
      </c>
      <c r="B47" s="55" t="s">
        <v>3703</v>
      </c>
    </row>
    <row r="48" spans="1:25" x14ac:dyDescent="0.2">
      <c r="A48" s="133" t="s">
        <v>3478</v>
      </c>
      <c r="B48" s="50" t="s">
        <v>411</v>
      </c>
    </row>
    <row r="49" spans="1:2" x14ac:dyDescent="0.2">
      <c r="A49" s="133" t="s">
        <v>3479</v>
      </c>
      <c r="B49" s="55" t="s">
        <v>3703</v>
      </c>
    </row>
    <row r="50" spans="1:2" x14ac:dyDescent="0.2">
      <c r="A50" s="44" t="s">
        <v>3480</v>
      </c>
      <c r="B50" s="28" t="s">
        <v>3572</v>
      </c>
    </row>
    <row r="51" spans="1:2" x14ac:dyDescent="0.2">
      <c r="A51" s="192" t="s">
        <v>3481</v>
      </c>
      <c r="B51" s="356" t="s">
        <v>3798</v>
      </c>
    </row>
    <row r="52" spans="1:2" x14ac:dyDescent="0.2">
      <c r="A52" s="81"/>
      <c r="B52" s="357"/>
    </row>
    <row r="53" spans="1:2" x14ac:dyDescent="0.2">
      <c r="A53" s="81"/>
      <c r="B53" s="357"/>
    </row>
    <row r="54" spans="1:2" x14ac:dyDescent="0.2">
      <c r="A54" s="81"/>
      <c r="B54" s="357"/>
    </row>
    <row r="55" spans="1:2" x14ac:dyDescent="0.2">
      <c r="A55" s="81"/>
      <c r="B55" s="357"/>
    </row>
    <row r="56" spans="1:2" x14ac:dyDescent="0.2">
      <c r="A56" s="81"/>
      <c r="B56" s="357"/>
    </row>
    <row r="57" spans="1:2" x14ac:dyDescent="0.2">
      <c r="A57" s="81"/>
      <c r="B57" s="357"/>
    </row>
    <row r="58" spans="1:2" x14ac:dyDescent="0.2">
      <c r="A58" s="82"/>
      <c r="B58" s="358"/>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604" priority="43" operator="equal">
      <formula>"?"</formula>
    </cfRule>
  </conditionalFormatting>
  <conditionalFormatting sqref="B66">
    <cfRule type="cellIs" dxfId="603" priority="37" operator="equal">
      <formula>"&lt;unk.&gt;"</formula>
    </cfRule>
  </conditionalFormatting>
  <conditionalFormatting sqref="B64">
    <cfRule type="cellIs" dxfId="602" priority="36" operator="equal">
      <formula>"&lt;unk.&gt;"</formula>
    </cfRule>
  </conditionalFormatting>
  <conditionalFormatting sqref="B65">
    <cfRule type="cellIs" dxfId="601" priority="35" operator="equal">
      <formula>"&lt;unk.&gt;"</formula>
    </cfRule>
  </conditionalFormatting>
  <conditionalFormatting sqref="B92:B93">
    <cfRule type="cellIs" dxfId="600" priority="34" operator="equal">
      <formula>"&lt;unk.&gt;"</formula>
    </cfRule>
  </conditionalFormatting>
  <conditionalFormatting sqref="B90">
    <cfRule type="cellIs" dxfId="599" priority="33" operator="equal">
      <formula>"&lt;unk.&gt;"</formula>
    </cfRule>
  </conditionalFormatting>
  <conditionalFormatting sqref="B91">
    <cfRule type="cellIs" dxfId="598" priority="32" operator="equal">
      <formula>"&lt;unk.&gt;"</formula>
    </cfRule>
  </conditionalFormatting>
  <conditionalFormatting sqref="B94">
    <cfRule type="cellIs" dxfId="597" priority="31" operator="equal">
      <formula>"&lt;unk.&gt;"</formula>
    </cfRule>
  </conditionalFormatting>
  <conditionalFormatting sqref="B95">
    <cfRule type="cellIs" dxfId="596" priority="30" operator="equal">
      <formula>"&lt;unk.&gt;"</formula>
    </cfRule>
  </conditionalFormatting>
  <conditionalFormatting sqref="B84:B87">
    <cfRule type="cellIs" dxfId="595" priority="29" operator="equal">
      <formula>"&lt;unk.&gt;"</formula>
    </cfRule>
  </conditionalFormatting>
  <conditionalFormatting sqref="B22:B26">
    <cfRule type="cellIs" dxfId="594" priority="28" operator="equal">
      <formula>"&lt;unk.&gt;"</formula>
    </cfRule>
  </conditionalFormatting>
  <conditionalFormatting sqref="B27">
    <cfRule type="cellIs" dxfId="593" priority="27" operator="equal">
      <formula>"&lt;unk.&gt;"</formula>
    </cfRule>
  </conditionalFormatting>
  <conditionalFormatting sqref="B30">
    <cfRule type="cellIs" dxfId="592" priority="26" operator="equal">
      <formula>"&lt;unk.&gt;"</formula>
    </cfRule>
  </conditionalFormatting>
  <conditionalFormatting sqref="D10:D33">
    <cfRule type="expression" dxfId="591" priority="25">
      <formula>MOD(ROW(),2)=0</formula>
    </cfRule>
  </conditionalFormatting>
  <conditionalFormatting sqref="E10:E13">
    <cfRule type="expression" dxfId="590" priority="24">
      <formula>MOD(ROW(),2)=0</formula>
    </cfRule>
  </conditionalFormatting>
  <conditionalFormatting sqref="E11:E12">
    <cfRule type="expression" dxfId="589" priority="23">
      <formula>MOD(ROW(),2)=0</formula>
    </cfRule>
  </conditionalFormatting>
  <conditionalFormatting sqref="E13">
    <cfRule type="expression" dxfId="588" priority="22">
      <formula>MOD(ROW(),2)=0</formula>
    </cfRule>
  </conditionalFormatting>
  <conditionalFormatting sqref="E10:E11">
    <cfRule type="expression" dxfId="587" priority="21">
      <formula>MOD(ROW(),2)=0</formula>
    </cfRule>
  </conditionalFormatting>
  <conditionalFormatting sqref="E13">
    <cfRule type="expression" dxfId="586" priority="20">
      <formula>MOD(ROW(),2)=0</formula>
    </cfRule>
  </conditionalFormatting>
  <conditionalFormatting sqref="E12:E13">
    <cfRule type="expression" dxfId="585" priority="19">
      <formula>MOD(ROW(),2)=0</formula>
    </cfRule>
  </conditionalFormatting>
  <conditionalFormatting sqref="E14:E17">
    <cfRule type="expression" dxfId="584" priority="18">
      <formula>MOD(ROW(),2)=0</formula>
    </cfRule>
  </conditionalFormatting>
  <conditionalFormatting sqref="E17">
    <cfRule type="expression" dxfId="583" priority="17">
      <formula>MOD(ROW(),2)=0</formula>
    </cfRule>
  </conditionalFormatting>
  <conditionalFormatting sqref="E14:E15">
    <cfRule type="expression" dxfId="582" priority="16">
      <formula>MOD(ROW(),2)=0</formula>
    </cfRule>
  </conditionalFormatting>
  <conditionalFormatting sqref="E16:E17">
    <cfRule type="expression" dxfId="581" priority="15">
      <formula>MOD(ROW(),2)=0</formula>
    </cfRule>
  </conditionalFormatting>
  <conditionalFormatting sqref="I11:I14 I16:I24 I26:I33">
    <cfRule type="expression" dxfId="580" priority="14">
      <formula>MOD(ROW(),2)=0</formula>
    </cfRule>
  </conditionalFormatting>
  <conditionalFormatting sqref="I16">
    <cfRule type="expression" dxfId="579" priority="13">
      <formula>MOD(ROW(),2)=0</formula>
    </cfRule>
  </conditionalFormatting>
  <conditionalFormatting sqref="I11:I14 I16:I24 I26:I33">
    <cfRule type="expression" dxfId="578" priority="12">
      <formula>MOD(ROW(),2)=0</formula>
    </cfRule>
  </conditionalFormatting>
  <conditionalFormatting sqref="I11">
    <cfRule type="expression" dxfId="577" priority="11">
      <formula>MOD(ROW(),2)=0</formula>
    </cfRule>
  </conditionalFormatting>
  <conditionalFormatting sqref="I10">
    <cfRule type="expression" dxfId="576" priority="10">
      <formula>MOD(ROW(),2)=0</formula>
    </cfRule>
  </conditionalFormatting>
  <conditionalFormatting sqref="I15">
    <cfRule type="expression" dxfId="575" priority="9">
      <formula>MOD(ROW(),2)=0</formula>
    </cfRule>
  </conditionalFormatting>
  <conditionalFormatting sqref="I25">
    <cfRule type="expression" dxfId="574" priority="8">
      <formula>MOD(ROW(),2)=0</formula>
    </cfRule>
  </conditionalFormatting>
  <conditionalFormatting sqref="B45">
    <cfRule type="cellIs" dxfId="573" priority="7" operator="equal">
      <formula>"&lt;unk.&gt;"</formula>
    </cfRule>
  </conditionalFormatting>
  <conditionalFormatting sqref="B47:B48">
    <cfRule type="cellIs" dxfId="572" priority="6" operator="equal">
      <formula>"&lt;unk.&gt;"</formula>
    </cfRule>
  </conditionalFormatting>
  <conditionalFormatting sqref="B46">
    <cfRule type="cellIs" dxfId="571" priority="5" operator="equal">
      <formula>"&lt;unk.&gt;"</formula>
    </cfRule>
  </conditionalFormatting>
  <conditionalFormatting sqref="B50">
    <cfRule type="cellIs" dxfId="570" priority="4" operator="equal">
      <formula>"&lt;unk.&gt;"</formula>
    </cfRule>
  </conditionalFormatting>
  <conditionalFormatting sqref="B49">
    <cfRule type="cellIs" dxfId="569" priority="3" operator="equal">
      <formula>"&lt;unk.&gt;"</formula>
    </cfRule>
  </conditionalFormatting>
  <conditionalFormatting sqref="K19:K21">
    <cfRule type="expression" dxfId="568" priority="2">
      <formula>MOD(ROW(),2)=0</formula>
    </cfRule>
  </conditionalFormatting>
  <conditionalFormatting sqref="K19:K21">
    <cfRule type="expression" dxfId="567" priority="1">
      <formula>MOD(ROW(),2)=0</formula>
    </cfRule>
  </conditionalFormatting>
  <dataValidations count="5">
    <dataValidation type="list" allowBlank="1" showInputMessage="1" showErrorMessage="1" sqref="B18" xr:uid="{00000000-0002-0000-1800-000000000000}">
      <formula1>INDIRECT(SUBSTITUTE(SUBSTITUTE(SUBSTITUTE(B17," ","_"),"&amp;",""),"/",""))</formula1>
    </dataValidation>
    <dataValidation type="list" allowBlank="1" showInputMessage="1" showErrorMessage="1" sqref="B22:B26" xr:uid="{00000000-0002-0000-1800-000001000000}">
      <formula1>LYesNo</formula1>
    </dataValidation>
    <dataValidation type="list" allowBlank="1" showInputMessage="1" showErrorMessage="1" sqref="Y10:Y33" xr:uid="{00000000-0002-0000-1800-000002000000}">
      <formula1>INDIRECT($X10)</formula1>
    </dataValidation>
    <dataValidation type="list" allowBlank="1" showInputMessage="1" showErrorMessage="1" sqref="B90 B64 B45" xr:uid="{00000000-0002-0000-1800-000003000000}">
      <formula1>LPeriods</formula1>
    </dataValidation>
    <dataValidation type="list" allowBlank="1" showInputMessage="1" showErrorMessage="1" sqref="B91 B93 B65 B46 B48" xr:uid="{00000000-0002-0000-1800-000004000000}">
      <formula1>LCals</formula1>
    </dataValidation>
  </dataValidations>
  <hyperlinks>
    <hyperlink ref="B12" r:id="rId2" xr:uid="{00000000-0004-0000-18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800-000005000000}">
          <x14:formula1>
            <xm:f>Lookups2!$K$28:$K$46</xm:f>
          </x14:formula1>
          <xm:sqref>U10:U33</xm:sqref>
        </x14:dataValidation>
        <x14:dataValidation type="list" showInputMessage="1" showErrorMessage="1" xr:uid="{00000000-0002-0000-1800-000006000000}">
          <x14:formula1>
            <xm:f>Lookups2!$AG$2:$AG$28</xm:f>
          </x14:formula1>
          <xm:sqref>B17</xm:sqref>
        </x14:dataValidation>
        <x14:dataValidation type="list" allowBlank="1" showInputMessage="1" showErrorMessage="1" xr:uid="{00000000-0002-0000-1800-000007000000}">
          <x14:formula1>
            <xm:f>Lookups2!$C$8:$C$11</xm:f>
          </x14:formula1>
          <xm:sqref>B30</xm:sqref>
        </x14:dataValidation>
        <x14:dataValidation type="list" allowBlank="1" showInputMessage="1" showErrorMessage="1" xr:uid="{00000000-0002-0000-1800-000008000000}">
          <x14:formula1>
            <xm:f>Lookups2!$Q$15:$Q$20</xm:f>
          </x14:formula1>
          <xm:sqref>G10:G33</xm:sqref>
        </x14:dataValidation>
        <x14:dataValidation type="list" allowBlank="1" showInputMessage="1" showErrorMessage="1" xr:uid="{00000000-0002-0000-1800-000009000000}">
          <x14:formula1>
            <xm:f>Lookups2!$M$35:$M$36</xm:f>
          </x14:formula1>
          <xm:sqref>V10:V33 H10:H33</xm:sqref>
        </x14:dataValidation>
        <x14:dataValidation type="list" allowBlank="1" showInputMessage="1" showErrorMessage="1" xr:uid="{00000000-0002-0000-1800-00000A000000}">
          <x14:formula1>
            <xm:f>EDOAlgo!$A$1:$R$1</xm:f>
          </x14:formula1>
          <xm:sqref>X10:X33</xm:sqref>
        </x14:dataValidation>
        <x14:dataValidation type="list" allowBlank="1" showInputMessage="1" showErrorMessage="1" xr:uid="{00000000-0002-0000-1800-00000B000000}">
          <x14:formula1>
            <xm:f>Lookups2!$M$41:$M$45</xm:f>
          </x14:formula1>
          <xm:sqref>S10:S33</xm:sqref>
        </x14:dataValidation>
        <x14:dataValidation type="list" allowBlank="1" showInputMessage="1" showErrorMessage="1" xr:uid="{00000000-0002-0000-1800-00000C000000}">
          <x14:formula1>
            <xm:f>INDIRECT(Lookups2!$K$9)</xm:f>
          </x14:formula1>
          <xm:sqref>T10:T33</xm:sqref>
        </x14:dataValidation>
        <x14:dataValidation type="list" allowBlank="1" showInputMessage="1" showErrorMessage="1" xr:uid="{00000000-0002-0000-1800-00000D000000}">
          <x14:formula1>
            <xm:f>Lookups2!$C$40:$C$45</xm:f>
          </x14:formula1>
          <xm:sqref>B78</xm:sqref>
        </x14:dataValidation>
        <x14:dataValidation type="list" allowBlank="1" showInputMessage="1" showErrorMessage="1" xr:uid="{00000000-0002-0000-1800-00000E000000}">
          <x14:formula1>
            <xm:f>Lookups2!$AC$2:$AC$3</xm:f>
          </x14:formula1>
          <xm:sqref>B14:B15</xm:sqref>
        </x14:dataValidation>
        <x14:dataValidation type="list" allowBlank="1" showInputMessage="1" showErrorMessage="1" xr:uid="{00000000-0002-0000-1800-00000F000000}">
          <x14:formula1>
            <xm:f>Lookups2!$Y$8:$Y$10</xm:f>
          </x14:formula1>
          <xm:sqref>B33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4" tint="-0.499984740745262"/>
  </sheetPr>
  <dimension ref="A1:AA110"/>
  <sheetViews>
    <sheetView showGridLines="0" zoomScaleNormal="100" workbookViewId="0">
      <pane xSplit="6" ySplit="9" topLeftCell="G10" activePane="bottomRight" state="frozen"/>
      <selection pane="topRight" activeCell="G1" sqref="G1"/>
      <selection pane="bottomLeft" activeCell="A11" sqref="A11"/>
      <selection pane="bottomRight" activeCell="E13" sqref="E13:G14"/>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entity_csid</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51" t="s">
        <v>3380</v>
      </c>
      <c r="C4" s="352"/>
      <c r="D4" s="352"/>
      <c r="E4" s="352"/>
      <c r="F4" s="353"/>
      <c r="G4" s="259"/>
      <c r="H4" s="259"/>
      <c r="K4" s="201" t="s">
        <v>239</v>
      </c>
      <c r="L4" s="202" t="s">
        <v>3424</v>
      </c>
      <c r="M4" s="23" t="s">
        <v>3425</v>
      </c>
    </row>
    <row r="5" spans="1:26" ht="71.25" customHeight="1" x14ac:dyDescent="0.2">
      <c r="A5" s="151" t="s">
        <v>3426</v>
      </c>
      <c r="B5" s="354" t="s">
        <v>3969</v>
      </c>
      <c r="C5" s="362"/>
      <c r="D5" s="362"/>
      <c r="E5" s="362"/>
      <c r="F5" s="363"/>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17">
        <v>1</v>
      </c>
      <c r="E10" s="221" t="s">
        <v>3903</v>
      </c>
      <c r="F10" s="64"/>
      <c r="G10" s="64" t="s">
        <v>259</v>
      </c>
      <c r="H10" s="64"/>
      <c r="I10" s="64"/>
      <c r="J10" s="64"/>
      <c r="K10" s="220" t="s">
        <v>3970</v>
      </c>
      <c r="L10" s="23"/>
      <c r="M10" s="154" t="e">
        <f>VLOOKUP(Table217[[#This Row],[Data Element]],Lookups2!AM:AN,2,FALSE)</f>
        <v>#N/A</v>
      </c>
      <c r="N10" s="64"/>
      <c r="O10" s="64"/>
      <c r="P10" s="64"/>
      <c r="Q10" s="64"/>
      <c r="R10" s="64"/>
      <c r="S10" s="64" t="s">
        <v>360</v>
      </c>
      <c r="T10" s="64"/>
      <c r="U10" s="64"/>
      <c r="V10" s="64"/>
      <c r="W10" s="64"/>
      <c r="X10" s="64"/>
      <c r="Y10" s="72"/>
      <c r="Z10" s="26"/>
    </row>
    <row r="11" spans="1:26" x14ac:dyDescent="0.2">
      <c r="A11" s="148" t="s">
        <v>153</v>
      </c>
      <c r="B11" s="23" t="s">
        <v>3380</v>
      </c>
      <c r="D11" s="217">
        <v>2</v>
      </c>
      <c r="E11" s="220" t="s">
        <v>3913</v>
      </c>
      <c r="F11" s="64"/>
      <c r="G11" s="64" t="s">
        <v>259</v>
      </c>
      <c r="H11" s="64"/>
      <c r="I11" s="64"/>
      <c r="J11" s="64"/>
      <c r="K11" s="220" t="s">
        <v>3971</v>
      </c>
      <c r="L11" s="211"/>
      <c r="M11" s="154" t="e">
        <f>VLOOKUP(Table217[[#This Row],[Data Element]],Lookups2!AM:AN,2,FALSE)</f>
        <v>#N/A</v>
      </c>
      <c r="N11" s="64"/>
      <c r="O11" s="64"/>
      <c r="P11" s="64"/>
      <c r="Q11" s="64"/>
      <c r="R11" s="64"/>
      <c r="S11" s="64" t="s">
        <v>387</v>
      </c>
      <c r="T11" s="64"/>
      <c r="U11" s="64"/>
      <c r="V11" s="64"/>
      <c r="W11" s="64"/>
      <c r="X11" s="64"/>
      <c r="Y11" s="72"/>
      <c r="Z11" s="26"/>
    </row>
    <row r="12" spans="1:26" x14ac:dyDescent="0.2">
      <c r="A12" s="194" t="s">
        <v>3454</v>
      </c>
      <c r="B12" s="213" t="s">
        <v>3381</v>
      </c>
      <c r="D12" s="217">
        <v>3</v>
      </c>
      <c r="E12" s="221" t="s">
        <v>3972</v>
      </c>
      <c r="F12" s="64"/>
      <c r="G12" s="64" t="s">
        <v>259</v>
      </c>
      <c r="H12" s="64"/>
      <c r="I12" s="64"/>
      <c r="J12" s="64"/>
      <c r="K12" s="220" t="s">
        <v>3973</v>
      </c>
      <c r="L12" s="211"/>
      <c r="M12" s="154" t="e">
        <f>VLOOKUP(Table217[[#This Row],[Data Element]],Lookups2!AM:AN,2,FALSE)</f>
        <v>#N/A</v>
      </c>
      <c r="N12" s="64"/>
      <c r="O12" s="64"/>
      <c r="P12" s="64"/>
      <c r="Q12" s="64"/>
      <c r="R12" s="64"/>
      <c r="S12" s="64" t="s">
        <v>360</v>
      </c>
      <c r="T12" s="64"/>
      <c r="U12" s="64"/>
      <c r="V12" s="64"/>
      <c r="W12" s="64"/>
      <c r="X12" s="64"/>
      <c r="Y12" s="72"/>
    </row>
    <row r="13" spans="1:26" x14ac:dyDescent="0.2">
      <c r="A13" s="195" t="s">
        <v>3455</v>
      </c>
      <c r="B13" s="232" t="s">
        <v>3974</v>
      </c>
      <c r="D13" s="217">
        <v>4</v>
      </c>
      <c r="E13" s="220" t="s">
        <v>3975</v>
      </c>
      <c r="F13" s="64"/>
      <c r="G13" s="64" t="s">
        <v>259</v>
      </c>
      <c r="H13" s="64"/>
      <c r="I13" s="64"/>
      <c r="J13" s="64"/>
      <c r="K13" s="220" t="s">
        <v>3976</v>
      </c>
      <c r="L13" s="211"/>
      <c r="M13" s="154" t="e">
        <f>VLOOKUP(Table217[[#This Row],[Data Element]],Lookups2!AM:AN,2,FALSE)</f>
        <v>#N/A</v>
      </c>
      <c r="N13" s="64"/>
      <c r="O13" s="64"/>
      <c r="P13" s="64"/>
      <c r="Q13" s="64"/>
      <c r="R13" s="64"/>
      <c r="S13" s="64" t="s">
        <v>343</v>
      </c>
      <c r="T13" s="64" t="s">
        <v>400</v>
      </c>
      <c r="U13" s="64"/>
      <c r="V13" s="64"/>
      <c r="W13" s="64"/>
      <c r="X13" s="64"/>
      <c r="Y13" s="72"/>
    </row>
    <row r="14" spans="1:26" x14ac:dyDescent="0.2">
      <c r="A14" s="196" t="s">
        <v>234</v>
      </c>
      <c r="B14" s="116" t="s">
        <v>250</v>
      </c>
      <c r="D14" s="217">
        <v>5</v>
      </c>
      <c r="E14" s="221" t="s">
        <v>3977</v>
      </c>
      <c r="F14" s="64"/>
      <c r="G14" s="64" t="s">
        <v>259</v>
      </c>
      <c r="H14" s="64"/>
      <c r="I14" s="64"/>
      <c r="J14" s="64"/>
      <c r="K14" s="220" t="s">
        <v>3978</v>
      </c>
      <c r="L14" s="211"/>
      <c r="M14" s="154" t="e">
        <f>VLOOKUP(Table217[[#This Row],[Data Element]],Lookups2!AM:AN,2,FALSE)</f>
        <v>#N/A</v>
      </c>
      <c r="N14" s="64"/>
      <c r="O14" s="64"/>
      <c r="P14" s="64"/>
      <c r="Q14" s="64"/>
      <c r="R14" s="64"/>
      <c r="S14" s="64" t="s">
        <v>343</v>
      </c>
      <c r="T14" s="64" t="s">
        <v>400</v>
      </c>
      <c r="U14" s="64"/>
      <c r="V14" s="64"/>
      <c r="W14" s="64"/>
      <c r="X14" s="64"/>
      <c r="Y14" s="72"/>
    </row>
    <row r="15" spans="1:26" x14ac:dyDescent="0.2">
      <c r="A15" s="149"/>
      <c r="B15" s="26"/>
      <c r="D15" s="217">
        <v>6</v>
      </c>
      <c r="E15" s="220" t="s">
        <v>3979</v>
      </c>
      <c r="F15" s="64"/>
      <c r="G15" s="64" t="s">
        <v>259</v>
      </c>
      <c r="H15" s="64"/>
      <c r="I15" s="64"/>
      <c r="J15" s="64"/>
      <c r="K15" s="220" t="s">
        <v>3980</v>
      </c>
      <c r="L15" s="211"/>
      <c r="M15" s="154" t="e">
        <f>VLOOKUP(Table217[[#This Row],[Data Element]],Lookups2!AM:AN,2,FALSE)</f>
        <v>#N/A</v>
      </c>
      <c r="N15" s="64"/>
      <c r="O15" s="64"/>
      <c r="P15" s="64"/>
      <c r="Q15" s="64"/>
      <c r="R15" s="64"/>
      <c r="S15" s="64" t="s">
        <v>343</v>
      </c>
      <c r="T15" s="64" t="s">
        <v>400</v>
      </c>
      <c r="U15" s="64"/>
      <c r="V15" s="64"/>
      <c r="W15" s="64"/>
      <c r="X15" s="64"/>
      <c r="Y15" s="72"/>
    </row>
    <row r="16" spans="1:26" x14ac:dyDescent="0.2">
      <c r="A16" s="150" t="s">
        <v>3456</v>
      </c>
      <c r="B16" s="69"/>
      <c r="D16" s="217">
        <v>7</v>
      </c>
      <c r="E16" s="221" t="s">
        <v>3981</v>
      </c>
      <c r="F16" s="64"/>
      <c r="G16" s="64" t="s">
        <v>10</v>
      </c>
      <c r="H16" s="64"/>
      <c r="I16" s="64" t="s">
        <v>3684</v>
      </c>
      <c r="J16" s="64"/>
      <c r="K16" s="220" t="s">
        <v>3982</v>
      </c>
      <c r="L16" s="211"/>
      <c r="M16" s="154" t="e">
        <f>VLOOKUP(Table217[[#This Row],[Data Element]],Lookups2!AM:AN,2,FALSE)</f>
        <v>#N/A</v>
      </c>
      <c r="N16" s="64"/>
      <c r="O16" s="64"/>
      <c r="P16" s="64"/>
      <c r="Q16" s="64"/>
      <c r="R16" s="64"/>
      <c r="S16" s="64" t="s">
        <v>387</v>
      </c>
      <c r="T16" s="64"/>
      <c r="U16" s="64"/>
      <c r="V16" s="64"/>
      <c r="W16" s="64"/>
      <c r="X16" s="64"/>
      <c r="Y16" s="72"/>
    </row>
    <row r="17" spans="1:25" x14ac:dyDescent="0.2">
      <c r="A17" s="151" t="s">
        <v>3457</v>
      </c>
      <c r="B17" s="175" t="s">
        <v>378</v>
      </c>
      <c r="D17" s="217">
        <v>8</v>
      </c>
      <c r="E17" s="220" t="s">
        <v>3917</v>
      </c>
      <c r="F17" s="64"/>
      <c r="G17" s="64" t="s">
        <v>259</v>
      </c>
      <c r="H17" s="64"/>
      <c r="I17" s="64"/>
      <c r="J17" s="64"/>
      <c r="K17" s="220" t="s">
        <v>3983</v>
      </c>
      <c r="L17" s="211"/>
      <c r="M17" s="154" t="e">
        <f>VLOOKUP(Table217[[#This Row],[Data Element]],Lookups2!AM:AN,2,FALSE)</f>
        <v>#N/A</v>
      </c>
      <c r="N17" s="64"/>
      <c r="O17" s="64"/>
      <c r="P17" s="64"/>
      <c r="Q17" s="64"/>
      <c r="R17" s="64"/>
      <c r="S17" s="64" t="s">
        <v>387</v>
      </c>
      <c r="T17" s="64"/>
      <c r="U17" s="64"/>
      <c r="V17" s="64"/>
      <c r="W17" s="64"/>
      <c r="X17" s="64"/>
      <c r="Y17" s="72"/>
    </row>
    <row r="18" spans="1:25" x14ac:dyDescent="0.2">
      <c r="A18" s="151" t="s">
        <v>3458</v>
      </c>
      <c r="B18" s="175" t="s">
        <v>663</v>
      </c>
      <c r="D18" s="217">
        <v>9</v>
      </c>
      <c r="E18" s="221" t="s">
        <v>3984</v>
      </c>
      <c r="F18" s="64"/>
      <c r="G18" s="64" t="s">
        <v>10</v>
      </c>
      <c r="H18" s="64"/>
      <c r="I18" s="64" t="s">
        <v>3684</v>
      </c>
      <c r="J18" s="64"/>
      <c r="K18" s="220" t="s">
        <v>3985</v>
      </c>
      <c r="L18" s="211"/>
      <c r="M18" s="154" t="e">
        <f>VLOOKUP(Table217[[#This Row],[Data Element]],Lookups2!AM:AN,2,FALSE)</f>
        <v>#N/A</v>
      </c>
      <c r="N18" s="64"/>
      <c r="O18" s="64"/>
      <c r="P18" s="64"/>
      <c r="Q18" s="64"/>
      <c r="R18" s="64"/>
      <c r="S18" s="64" t="s">
        <v>387</v>
      </c>
      <c r="T18" s="64"/>
      <c r="U18" s="64"/>
      <c r="V18" s="64"/>
      <c r="W18" s="64"/>
      <c r="X18" s="64"/>
      <c r="Y18" s="72"/>
    </row>
    <row r="19" spans="1:25" ht="78" customHeight="1" x14ac:dyDescent="0.2">
      <c r="A19" s="71" t="s">
        <v>238</v>
      </c>
      <c r="B19" s="182" t="str">
        <f>VLOOKUP(B18,Lookups2!AI:AJ,2,0)</f>
        <v>Legal Entity represents information on ownership , jurisdiction , regulatory and tax information regarding an organizational part of Credit Suisse that is either a legal entity in its own right, or that can enter into legally binding obligations of Credit Suisse by virtue of permits, agreements or other contractually defined rights within a particular jurisdiction (for example, by virtue of a local banking license)</v>
      </c>
    </row>
    <row r="20" spans="1:25" x14ac:dyDescent="0.2">
      <c r="A20" s="149"/>
      <c r="B20" s="26"/>
    </row>
    <row r="21" spans="1:25" x14ac:dyDescent="0.2">
      <c r="A21" s="150" t="s">
        <v>3459</v>
      </c>
      <c r="B21" s="69"/>
    </row>
    <row r="22" spans="1:25" x14ac:dyDescent="0.2">
      <c r="A22" s="151" t="s">
        <v>3460</v>
      </c>
      <c r="B22" s="84" t="s">
        <v>276</v>
      </c>
    </row>
    <row r="23" spans="1:25" x14ac:dyDescent="0.2">
      <c r="A23" s="151" t="s">
        <v>3461</v>
      </c>
      <c r="B23" s="84" t="s">
        <v>276</v>
      </c>
    </row>
    <row r="24" spans="1:25" x14ac:dyDescent="0.2">
      <c r="A24" s="151" t="s">
        <v>3462</v>
      </c>
      <c r="B24" s="84" t="s">
        <v>276</v>
      </c>
    </row>
    <row r="25" spans="1:25" x14ac:dyDescent="0.2">
      <c r="A25" s="151" t="s">
        <v>3463</v>
      </c>
      <c r="B25" s="84" t="s">
        <v>276</v>
      </c>
    </row>
    <row r="26" spans="1:25" x14ac:dyDescent="0.2">
      <c r="A26" s="151" t="s">
        <v>3464</v>
      </c>
      <c r="B26" s="84" t="s">
        <v>276</v>
      </c>
    </row>
    <row r="27" spans="1:25" x14ac:dyDescent="0.2">
      <c r="A27" s="173" t="s">
        <v>3465</v>
      </c>
      <c r="B27" s="84"/>
    </row>
    <row r="28" spans="1:25" x14ac:dyDescent="0.2">
      <c r="A28" s="149"/>
      <c r="B28" s="26"/>
    </row>
    <row r="29" spans="1:25" x14ac:dyDescent="0.2">
      <c r="A29" s="65" t="s">
        <v>3446</v>
      </c>
      <c r="B29" s="69"/>
    </row>
    <row r="30" spans="1:25" x14ac:dyDescent="0.2">
      <c r="A30" s="134" t="s">
        <v>3466</v>
      </c>
      <c r="B30" s="84" t="s">
        <v>343</v>
      </c>
    </row>
    <row r="31" spans="1:25" x14ac:dyDescent="0.2">
      <c r="A31" s="8"/>
      <c r="B31" s="9"/>
    </row>
    <row r="32" spans="1:25"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t="s">
        <v>3687</v>
      </c>
    </row>
    <row r="38" spans="1:2" ht="14.25" x14ac:dyDescent="0.25">
      <c r="A38" s="136" t="s">
        <v>3470</v>
      </c>
      <c r="B38" s="70" t="s">
        <v>3687</v>
      </c>
    </row>
    <row r="40" spans="1:2" x14ac:dyDescent="0.2">
      <c r="A40" s="65" t="s">
        <v>3471</v>
      </c>
      <c r="B40" s="66"/>
    </row>
    <row r="41" spans="1:2" ht="14.25" x14ac:dyDescent="0.25">
      <c r="A41" s="152" t="s">
        <v>3472</v>
      </c>
      <c r="B41" s="70" t="s">
        <v>3687</v>
      </c>
    </row>
    <row r="42" spans="1:2" ht="14.25" x14ac:dyDescent="0.25">
      <c r="A42" s="152" t="s">
        <v>3473</v>
      </c>
      <c r="B42" s="70" t="s">
        <v>3687</v>
      </c>
    </row>
    <row r="44" spans="1:2" x14ac:dyDescent="0.2">
      <c r="A44" s="250" t="s">
        <v>3474</v>
      </c>
      <c r="B44" s="251"/>
    </row>
    <row r="45" spans="1:2" x14ac:dyDescent="0.2">
      <c r="A45" s="131" t="s">
        <v>3475</v>
      </c>
      <c r="B45" s="234" t="s">
        <v>255</v>
      </c>
    </row>
    <row r="46" spans="1:2" x14ac:dyDescent="0.2">
      <c r="A46" s="132" t="s">
        <v>3476</v>
      </c>
      <c r="B46" s="235" t="s">
        <v>411</v>
      </c>
    </row>
    <row r="47" spans="1:2" x14ac:dyDescent="0.2">
      <c r="A47" s="132" t="s">
        <v>3477</v>
      </c>
      <c r="B47" s="236" t="s">
        <v>3703</v>
      </c>
    </row>
    <row r="48" spans="1:2" x14ac:dyDescent="0.2">
      <c r="A48" s="133" t="s">
        <v>3478</v>
      </c>
      <c r="B48" s="237" t="s">
        <v>411</v>
      </c>
    </row>
    <row r="49" spans="1:2" x14ac:dyDescent="0.2">
      <c r="A49" s="133" t="s">
        <v>3479</v>
      </c>
      <c r="B49" s="236" t="s">
        <v>3703</v>
      </c>
    </row>
    <row r="50" spans="1:2" x14ac:dyDescent="0.2">
      <c r="A50" s="44" t="s">
        <v>3480</v>
      </c>
      <c r="B50" s="238">
        <f>'1.Data Source'!B55</f>
        <v>0</v>
      </c>
    </row>
    <row r="51" spans="1:2" x14ac:dyDescent="0.2">
      <c r="A51" s="192" t="s">
        <v>3481</v>
      </c>
      <c r="B51" s="359" t="s">
        <v>3986</v>
      </c>
    </row>
    <row r="52" spans="1:2" x14ac:dyDescent="0.2">
      <c r="A52" s="81"/>
      <c r="B52" s="360"/>
    </row>
    <row r="53" spans="1:2" x14ac:dyDescent="0.2">
      <c r="A53" s="81"/>
      <c r="B53" s="360"/>
    </row>
    <row r="54" spans="1:2" x14ac:dyDescent="0.2">
      <c r="A54" s="81"/>
      <c r="B54" s="360"/>
    </row>
    <row r="55" spans="1:2" x14ac:dyDescent="0.2">
      <c r="A55" s="81"/>
      <c r="B55" s="360"/>
    </row>
    <row r="56" spans="1:2" x14ac:dyDescent="0.2">
      <c r="A56" s="81"/>
      <c r="B56" s="360"/>
    </row>
    <row r="57" spans="1:2" x14ac:dyDescent="0.2">
      <c r="A57" s="81"/>
      <c r="B57" s="360"/>
    </row>
    <row r="58" spans="1:2" x14ac:dyDescent="0.2">
      <c r="A58" s="82"/>
      <c r="B58" s="361"/>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538" priority="42" operator="equal">
      <formula>"?"</formula>
    </cfRule>
  </conditionalFormatting>
  <conditionalFormatting sqref="B66">
    <cfRule type="cellIs" dxfId="537" priority="36" operator="equal">
      <formula>"&lt;unk.&gt;"</formula>
    </cfRule>
  </conditionalFormatting>
  <conditionalFormatting sqref="B64">
    <cfRule type="cellIs" dxfId="536" priority="35" operator="equal">
      <formula>"&lt;unk.&gt;"</formula>
    </cfRule>
  </conditionalFormatting>
  <conditionalFormatting sqref="B65">
    <cfRule type="cellIs" dxfId="535" priority="34" operator="equal">
      <formula>"&lt;unk.&gt;"</formula>
    </cfRule>
  </conditionalFormatting>
  <conditionalFormatting sqref="B92:B93">
    <cfRule type="cellIs" dxfId="534" priority="33" operator="equal">
      <formula>"&lt;unk.&gt;"</formula>
    </cfRule>
  </conditionalFormatting>
  <conditionalFormatting sqref="B90">
    <cfRule type="cellIs" dxfId="533" priority="32" operator="equal">
      <formula>"&lt;unk.&gt;"</formula>
    </cfRule>
  </conditionalFormatting>
  <conditionalFormatting sqref="B91">
    <cfRule type="cellIs" dxfId="532" priority="31" operator="equal">
      <formula>"&lt;unk.&gt;"</formula>
    </cfRule>
  </conditionalFormatting>
  <conditionalFormatting sqref="B94">
    <cfRule type="cellIs" dxfId="531" priority="30" operator="equal">
      <formula>"&lt;unk.&gt;"</formula>
    </cfRule>
  </conditionalFormatting>
  <conditionalFormatting sqref="B95">
    <cfRule type="cellIs" dxfId="530" priority="29" operator="equal">
      <formula>"&lt;unk.&gt;"</formula>
    </cfRule>
  </conditionalFormatting>
  <conditionalFormatting sqref="B84:B87">
    <cfRule type="cellIs" dxfId="529" priority="28" operator="equal">
      <formula>"&lt;unk.&gt;"</formula>
    </cfRule>
  </conditionalFormatting>
  <conditionalFormatting sqref="B22:B26">
    <cfRule type="cellIs" dxfId="528" priority="27" operator="equal">
      <formula>"&lt;unk.&gt;"</formula>
    </cfRule>
  </conditionalFormatting>
  <conditionalFormatting sqref="B27">
    <cfRule type="cellIs" dxfId="527" priority="26" operator="equal">
      <formula>"&lt;unk.&gt;"</formula>
    </cfRule>
  </conditionalFormatting>
  <conditionalFormatting sqref="B30">
    <cfRule type="cellIs" dxfId="526" priority="25" operator="equal">
      <formula>"&lt;unk.&gt;"</formula>
    </cfRule>
  </conditionalFormatting>
  <conditionalFormatting sqref="D10:D18">
    <cfRule type="expression" dxfId="525" priority="24">
      <formula>MOD(ROW(),2)=0</formula>
    </cfRule>
  </conditionalFormatting>
  <conditionalFormatting sqref="E10:E13">
    <cfRule type="expression" dxfId="524" priority="23">
      <formula>MOD(ROW(),2)=0</formula>
    </cfRule>
  </conditionalFormatting>
  <conditionalFormatting sqref="E11:E12">
    <cfRule type="expression" dxfId="523" priority="22">
      <formula>MOD(ROW(),2)=0</formula>
    </cfRule>
  </conditionalFormatting>
  <conditionalFormatting sqref="E13">
    <cfRule type="expression" dxfId="522" priority="21">
      <formula>MOD(ROW(),2)=0</formula>
    </cfRule>
  </conditionalFormatting>
  <conditionalFormatting sqref="E10:E11">
    <cfRule type="expression" dxfId="521" priority="20">
      <formula>MOD(ROW(),2)=0</formula>
    </cfRule>
  </conditionalFormatting>
  <conditionalFormatting sqref="E13">
    <cfRule type="expression" dxfId="520" priority="19">
      <formula>MOD(ROW(),2)=0</formula>
    </cfRule>
  </conditionalFormatting>
  <conditionalFormatting sqref="E12:E13">
    <cfRule type="expression" dxfId="519" priority="18">
      <formula>MOD(ROW(),2)=0</formula>
    </cfRule>
  </conditionalFormatting>
  <conditionalFormatting sqref="E14:E17">
    <cfRule type="expression" dxfId="518" priority="17">
      <formula>MOD(ROW(),2)=0</formula>
    </cfRule>
  </conditionalFormatting>
  <conditionalFormatting sqref="E17">
    <cfRule type="expression" dxfId="517" priority="16">
      <formula>MOD(ROW(),2)=0</formula>
    </cfRule>
  </conditionalFormatting>
  <conditionalFormatting sqref="E14:E15">
    <cfRule type="expression" dxfId="516" priority="15">
      <formula>MOD(ROW(),2)=0</formula>
    </cfRule>
  </conditionalFormatting>
  <conditionalFormatting sqref="E16:E17">
    <cfRule type="expression" dxfId="515" priority="14">
      <formula>MOD(ROW(),2)=0</formula>
    </cfRule>
  </conditionalFormatting>
  <conditionalFormatting sqref="I18">
    <cfRule type="expression" dxfId="514" priority="13">
      <formula>MOD(ROW(),2)=0</formula>
    </cfRule>
  </conditionalFormatting>
  <conditionalFormatting sqref="I18">
    <cfRule type="expression" dxfId="513" priority="12">
      <formula>MOD(ROW(),2)=0</formula>
    </cfRule>
  </conditionalFormatting>
  <conditionalFormatting sqref="I18">
    <cfRule type="expression" dxfId="512" priority="11">
      <formula>MOD(ROW(),2)=0</formula>
    </cfRule>
  </conditionalFormatting>
  <conditionalFormatting sqref="I16">
    <cfRule type="expression" dxfId="511" priority="10">
      <formula>MOD(ROW(),2)=0</formula>
    </cfRule>
  </conditionalFormatting>
  <conditionalFormatting sqref="I16">
    <cfRule type="expression" dxfId="510" priority="9">
      <formula>MOD(ROW(),2)=0</formula>
    </cfRule>
  </conditionalFormatting>
  <conditionalFormatting sqref="I16">
    <cfRule type="expression" dxfId="509" priority="8">
      <formula>MOD(ROW(),2)=0</formula>
    </cfRule>
  </conditionalFormatting>
  <conditionalFormatting sqref="K10:K18">
    <cfRule type="expression" dxfId="508" priority="7">
      <formula>MOD(ROW(),2)=0</formula>
    </cfRule>
  </conditionalFormatting>
  <conditionalFormatting sqref="K10:K18">
    <cfRule type="expression" dxfId="507" priority="6">
      <formula>MOD(ROW(),2)=0</formula>
    </cfRule>
  </conditionalFormatting>
  <conditionalFormatting sqref="B47:B48">
    <cfRule type="cellIs" dxfId="506" priority="5" operator="equal">
      <formula>"&lt;unk.&gt;"</formula>
    </cfRule>
  </conditionalFormatting>
  <conditionalFormatting sqref="B45">
    <cfRule type="cellIs" dxfId="505" priority="4" operator="equal">
      <formula>"&lt;unk.&gt;"</formula>
    </cfRule>
  </conditionalFormatting>
  <conditionalFormatting sqref="B46">
    <cfRule type="cellIs" dxfId="504" priority="3" operator="equal">
      <formula>"&lt;unk.&gt;"</formula>
    </cfRule>
  </conditionalFormatting>
  <conditionalFormatting sqref="B50">
    <cfRule type="cellIs" dxfId="503" priority="2" operator="equal">
      <formula>"&lt;unk.&gt;"</formula>
    </cfRule>
  </conditionalFormatting>
  <conditionalFormatting sqref="B49">
    <cfRule type="cellIs" dxfId="502" priority="1" operator="equal">
      <formula>"&lt;unk.&gt;"</formula>
    </cfRule>
  </conditionalFormatting>
  <dataValidations count="5">
    <dataValidation type="list" allowBlank="1" showInputMessage="1" showErrorMessage="1" sqref="B18" xr:uid="{00000000-0002-0000-1900-000000000000}">
      <formula1>INDIRECT(SUBSTITUTE(SUBSTITUTE(SUBSTITUTE(B17," ","_"),"&amp;",""),"/",""))</formula1>
    </dataValidation>
    <dataValidation type="list" allowBlank="1" showInputMessage="1" showErrorMessage="1" sqref="B22:B26" xr:uid="{00000000-0002-0000-1900-000001000000}">
      <formula1>LYesNo</formula1>
    </dataValidation>
    <dataValidation type="list" allowBlank="1" showInputMessage="1" showErrorMessage="1" sqref="Y10:Y18" xr:uid="{00000000-0002-0000-1900-000002000000}">
      <formula1>INDIRECT($X10)</formula1>
    </dataValidation>
    <dataValidation type="list" allowBlank="1" showInputMessage="1" showErrorMessage="1" sqref="B90 B64 B45" xr:uid="{00000000-0002-0000-1900-000003000000}">
      <formula1>LPeriods</formula1>
    </dataValidation>
    <dataValidation type="list" allowBlank="1" showInputMessage="1" showErrorMessage="1" sqref="B91 B93 B65 B46 B48" xr:uid="{00000000-0002-0000-1900-000004000000}">
      <formula1>LCals</formula1>
    </dataValidation>
  </dataValidations>
  <pageMargins left="0.7" right="0.7" top="0.75" bottom="0.75" header="0.3" footer="0.3"/>
  <pageSetup paperSize="9" orientation="portrait" r:id="rId2"/>
  <legacyDrawing r:id="rId3"/>
  <tableParts count="1">
    <tablePart r:id="rId4"/>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900-000005000000}">
          <x14:formula1>
            <xm:f>Lookups2!$K$28:$K$46</xm:f>
          </x14:formula1>
          <xm:sqref>U10:U18</xm:sqref>
        </x14:dataValidation>
        <x14:dataValidation type="list" showInputMessage="1" showErrorMessage="1" xr:uid="{00000000-0002-0000-1900-000006000000}">
          <x14:formula1>
            <xm:f>Lookups2!$AG$2:$AG$28</xm:f>
          </x14:formula1>
          <xm:sqref>B17</xm:sqref>
        </x14:dataValidation>
        <x14:dataValidation type="list" allowBlank="1" showInputMessage="1" showErrorMessage="1" xr:uid="{00000000-0002-0000-1900-000007000000}">
          <x14:formula1>
            <xm:f>Lookups2!$C$8:$C$11</xm:f>
          </x14:formula1>
          <xm:sqref>B30</xm:sqref>
        </x14:dataValidation>
        <x14:dataValidation type="list" allowBlank="1" showInputMessage="1" showErrorMessage="1" xr:uid="{00000000-0002-0000-1900-000008000000}">
          <x14:formula1>
            <xm:f>Lookups2!$Q$15:$Q$20</xm:f>
          </x14:formula1>
          <xm:sqref>G10:G18</xm:sqref>
        </x14:dataValidation>
        <x14:dataValidation type="list" allowBlank="1" showInputMessage="1" showErrorMessage="1" xr:uid="{00000000-0002-0000-1900-000009000000}">
          <x14:formula1>
            <xm:f>Lookups2!$M$35:$M$36</xm:f>
          </x14:formula1>
          <xm:sqref>V10:V18 H10:H18</xm:sqref>
        </x14:dataValidation>
        <x14:dataValidation type="list" allowBlank="1" showInputMessage="1" showErrorMessage="1" xr:uid="{00000000-0002-0000-1900-00000A000000}">
          <x14:formula1>
            <xm:f>EDOAlgo!$A$1:$R$1</xm:f>
          </x14:formula1>
          <xm:sqref>X10:X18</xm:sqref>
        </x14:dataValidation>
        <x14:dataValidation type="list" allowBlank="1" showInputMessage="1" showErrorMessage="1" xr:uid="{00000000-0002-0000-1900-00000B000000}">
          <x14:formula1>
            <xm:f>Lookups2!$M$41:$M$45</xm:f>
          </x14:formula1>
          <xm:sqref>S10:S18</xm:sqref>
        </x14:dataValidation>
        <x14:dataValidation type="list" allowBlank="1" showInputMessage="1" showErrorMessage="1" xr:uid="{00000000-0002-0000-1900-00000C000000}">
          <x14:formula1>
            <xm:f>INDIRECT(Lookups2!$K$9)</xm:f>
          </x14:formula1>
          <xm:sqref>T10:T18</xm:sqref>
        </x14:dataValidation>
        <x14:dataValidation type="list" allowBlank="1" showInputMessage="1" showErrorMessage="1" xr:uid="{00000000-0002-0000-1900-00000D000000}">
          <x14:formula1>
            <xm:f>Lookups2!$C$40:$C$45</xm:f>
          </x14:formula1>
          <xm:sqref>B78</xm:sqref>
        </x14:dataValidation>
        <x14:dataValidation type="list" allowBlank="1" showInputMessage="1" showErrorMessage="1" xr:uid="{00000000-0002-0000-1900-00000E000000}">
          <x14:formula1>
            <xm:f>Lookups2!$AC$2:$AC$3</xm:f>
          </x14:formula1>
          <xm:sqref>B14:B15</xm:sqref>
        </x14:dataValidation>
        <x14:dataValidation type="list" allowBlank="1" showInputMessage="1" showErrorMessage="1" xr:uid="{00000000-0002-0000-1900-00000F000000}">
          <x14:formula1>
            <xm:f>Lookups2!$Y$8:$Y$10</xm:f>
          </x14:formula1>
          <xm:sqref>B33</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499984740745262"/>
  </sheetPr>
  <dimension ref="A1:AA110"/>
  <sheetViews>
    <sheetView showGridLines="0" zoomScaleNormal="100" workbookViewId="0">
      <pane xSplit="6" ySplit="9" topLeftCell="G10" activePane="bottomRight" state="frozen"/>
      <selection pane="topRight" activeCell="G1" sqref="G1"/>
      <selection pane="bottomLeft" activeCell="A11" sqref="A11"/>
      <selection pane="bottomRight" activeCell="B19" sqref="B19"/>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fx_zur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351" t="s">
        <v>3383</v>
      </c>
      <c r="C4" s="352"/>
      <c r="D4" s="352"/>
      <c r="E4" s="352"/>
      <c r="F4" s="353"/>
      <c r="G4" s="259"/>
      <c r="H4" s="259"/>
      <c r="K4" s="201" t="s">
        <v>239</v>
      </c>
      <c r="L4" s="202" t="s">
        <v>3424</v>
      </c>
      <c r="M4" s="23" t="s">
        <v>3425</v>
      </c>
    </row>
    <row r="5" spans="1:26" ht="71.25" customHeight="1" x14ac:dyDescent="0.2">
      <c r="A5" s="151" t="s">
        <v>3426</v>
      </c>
      <c r="B5" s="367" t="s">
        <v>3987</v>
      </c>
      <c r="C5" s="368"/>
      <c r="D5" s="368"/>
      <c r="E5" s="368"/>
      <c r="F5" s="369"/>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233">
        <v>1</v>
      </c>
      <c r="E10" s="216" t="s">
        <v>3988</v>
      </c>
      <c r="F10" s="64">
        <v>1</v>
      </c>
      <c r="G10" s="64" t="s">
        <v>259</v>
      </c>
      <c r="H10" s="64"/>
      <c r="I10" s="64"/>
      <c r="J10" s="64"/>
      <c r="K10" s="220" t="s">
        <v>3989</v>
      </c>
      <c r="L10" s="23"/>
      <c r="M10" s="154" t="e">
        <f>VLOOKUP(Table218[[#This Row],[Data Element]],Lookups2!AM:AN,2,FALSE)</f>
        <v>#N/A</v>
      </c>
      <c r="N10" s="64"/>
      <c r="O10" s="64"/>
      <c r="P10" s="64"/>
      <c r="Q10" s="64"/>
      <c r="R10" s="64"/>
      <c r="S10" s="64" t="s">
        <v>387</v>
      </c>
      <c r="T10" s="64"/>
      <c r="U10" s="64"/>
      <c r="V10" s="64"/>
      <c r="W10" s="64"/>
      <c r="X10" s="64"/>
      <c r="Y10" s="72"/>
      <c r="Z10" s="26"/>
    </row>
    <row r="11" spans="1:26" x14ac:dyDescent="0.2">
      <c r="A11" s="148" t="s">
        <v>153</v>
      </c>
      <c r="B11" s="23" t="s">
        <v>3383</v>
      </c>
      <c r="D11" s="233">
        <v>2</v>
      </c>
      <c r="E11" s="214" t="s">
        <v>3724</v>
      </c>
      <c r="F11" s="64">
        <v>1</v>
      </c>
      <c r="G11" s="64" t="s">
        <v>487</v>
      </c>
      <c r="H11" s="64"/>
      <c r="I11" s="64"/>
      <c r="J11" s="64"/>
      <c r="K11" s="220" t="s">
        <v>3940</v>
      </c>
      <c r="L11" s="211"/>
      <c r="M11" s="154" t="e">
        <f>VLOOKUP(Table218[[#This Row],[Data Element]],Lookups2!AM:AN,2,FALSE)</f>
        <v>#N/A</v>
      </c>
      <c r="N11" s="64"/>
      <c r="O11" s="64"/>
      <c r="P11" s="64"/>
      <c r="Q11" s="64"/>
      <c r="R11" s="64"/>
      <c r="S11" s="64" t="s">
        <v>387</v>
      </c>
      <c r="T11" s="64"/>
      <c r="U11" s="64"/>
      <c r="V11" s="64"/>
      <c r="W11" s="64"/>
      <c r="X11" s="64"/>
      <c r="Y11" s="72"/>
      <c r="Z11" s="26"/>
    </row>
    <row r="12" spans="1:26" x14ac:dyDescent="0.2">
      <c r="A12" s="194" t="s">
        <v>3454</v>
      </c>
      <c r="B12" s="208" t="s">
        <v>3384</v>
      </c>
      <c r="D12" s="233">
        <v>3</v>
      </c>
      <c r="E12" s="214" t="s">
        <v>3805</v>
      </c>
      <c r="F12" s="64">
        <v>1</v>
      </c>
      <c r="G12" s="64" t="s">
        <v>487</v>
      </c>
      <c r="H12" s="64"/>
      <c r="I12" s="64"/>
      <c r="J12" s="64"/>
      <c r="K12" s="220" t="s">
        <v>3942</v>
      </c>
      <c r="L12" s="211"/>
      <c r="M12" s="154" t="e">
        <f>VLOOKUP(Table218[[#This Row],[Data Element]],Lookups2!AM:AN,2,FALSE)</f>
        <v>#N/A</v>
      </c>
      <c r="N12" s="64"/>
      <c r="O12" s="64"/>
      <c r="P12" s="64"/>
      <c r="Q12" s="64"/>
      <c r="R12" s="64"/>
      <c r="S12" s="64" t="s">
        <v>387</v>
      </c>
      <c r="T12" s="64"/>
      <c r="U12" s="64"/>
      <c r="V12" s="64"/>
      <c r="W12" s="64"/>
      <c r="X12" s="64"/>
      <c r="Y12" s="72"/>
    </row>
    <row r="13" spans="1:26" x14ac:dyDescent="0.2">
      <c r="A13" s="195" t="s">
        <v>3455</v>
      </c>
      <c r="B13" s="232" t="s">
        <v>3974</v>
      </c>
      <c r="D13" s="233">
        <v>4</v>
      </c>
      <c r="E13" s="214" t="s">
        <v>3807</v>
      </c>
      <c r="F13" s="64">
        <v>1</v>
      </c>
      <c r="G13" s="64" t="s">
        <v>487</v>
      </c>
      <c r="H13" s="64"/>
      <c r="I13" s="64"/>
      <c r="J13" s="64"/>
      <c r="K13" s="239" t="s">
        <v>3944</v>
      </c>
      <c r="L13" s="211"/>
      <c r="M13" s="154" t="e">
        <f>VLOOKUP(Table218[[#This Row],[Data Element]],Lookups2!AM:AN,2,FALSE)</f>
        <v>#N/A</v>
      </c>
      <c r="N13" s="64"/>
      <c r="O13" s="64"/>
      <c r="P13" s="64"/>
      <c r="Q13" s="64"/>
      <c r="R13" s="64"/>
      <c r="S13" s="64" t="s">
        <v>387</v>
      </c>
      <c r="T13" s="64"/>
      <c r="U13" s="64"/>
      <c r="V13" s="64"/>
      <c r="W13" s="64"/>
      <c r="X13" s="64"/>
      <c r="Y13" s="72"/>
    </row>
    <row r="14" spans="1:26" x14ac:dyDescent="0.2">
      <c r="A14" s="196" t="s">
        <v>234</v>
      </c>
      <c r="B14" s="116" t="s">
        <v>250</v>
      </c>
      <c r="D14" s="233">
        <v>5</v>
      </c>
      <c r="E14" s="214" t="s">
        <v>3715</v>
      </c>
      <c r="F14" s="64">
        <v>1</v>
      </c>
      <c r="G14" s="64" t="s">
        <v>10</v>
      </c>
      <c r="H14" s="64"/>
      <c r="I14" s="64" t="s">
        <v>3875</v>
      </c>
      <c r="J14" s="64"/>
      <c r="K14" s="220" t="s">
        <v>3990</v>
      </c>
      <c r="L14" s="211"/>
      <c r="M14" s="154" t="e">
        <f>VLOOKUP(Table218[[#This Row],[Data Element]],Lookups2!AM:AN,2,FALSE)</f>
        <v>#N/A</v>
      </c>
      <c r="N14" s="64"/>
      <c r="O14" s="64"/>
      <c r="P14" s="64"/>
      <c r="Q14" s="64"/>
      <c r="R14" s="64"/>
      <c r="S14" s="64" t="s">
        <v>387</v>
      </c>
      <c r="T14" s="64"/>
      <c r="U14" s="64"/>
      <c r="V14" s="64"/>
      <c r="W14" s="64"/>
      <c r="X14" s="64"/>
      <c r="Y14" s="72"/>
    </row>
    <row r="15" spans="1:26" x14ac:dyDescent="0.2">
      <c r="A15" s="149"/>
      <c r="B15" s="26"/>
      <c r="D15" s="233">
        <v>6</v>
      </c>
      <c r="E15" s="214" t="s">
        <v>3991</v>
      </c>
      <c r="F15" s="64">
        <v>1</v>
      </c>
      <c r="G15" s="64" t="s">
        <v>259</v>
      </c>
      <c r="H15" s="64"/>
      <c r="I15" s="64"/>
      <c r="J15" s="64"/>
      <c r="K15" s="220" t="s">
        <v>3992</v>
      </c>
      <c r="L15" s="211"/>
      <c r="M15" s="154" t="e">
        <f>VLOOKUP(Table218[[#This Row],[Data Element]],Lookups2!AM:AN,2,FALSE)</f>
        <v>#N/A</v>
      </c>
      <c r="N15" s="64"/>
      <c r="O15" s="64"/>
      <c r="P15" s="64"/>
      <c r="Q15" s="64"/>
      <c r="R15" s="64"/>
      <c r="S15" s="64" t="s">
        <v>387</v>
      </c>
      <c r="T15" s="64"/>
      <c r="U15" s="64"/>
      <c r="V15" s="64"/>
      <c r="W15" s="64"/>
      <c r="X15" s="64"/>
      <c r="Y15" s="72"/>
    </row>
    <row r="16" spans="1:26" x14ac:dyDescent="0.2">
      <c r="A16" s="150" t="s">
        <v>3456</v>
      </c>
      <c r="B16" s="69"/>
    </row>
    <row r="17" spans="1:2" x14ac:dyDescent="0.2">
      <c r="A17" s="151" t="s">
        <v>3457</v>
      </c>
      <c r="B17" s="175" t="s">
        <v>303</v>
      </c>
    </row>
    <row r="18" spans="1:2" x14ac:dyDescent="0.2">
      <c r="A18" s="151" t="s">
        <v>3458</v>
      </c>
      <c r="B18" s="175" t="s">
        <v>513</v>
      </c>
    </row>
    <row r="19" spans="1:2" ht="78" customHeight="1" x14ac:dyDescent="0.2">
      <c r="A19" s="71" t="s">
        <v>238</v>
      </c>
      <c r="B19" s="182" t="str">
        <f>VLOOKUP(B18,Lookups2!AI:AJ,2,0)</f>
        <v>Conversion of one currency into another currency</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t="s">
        <v>3687</v>
      </c>
    </row>
    <row r="38" spans="1:2" ht="14.25" x14ac:dyDescent="0.25">
      <c r="A38" s="136" t="s">
        <v>3470</v>
      </c>
      <c r="B38" s="70" t="s">
        <v>3687</v>
      </c>
    </row>
    <row r="40" spans="1:2" x14ac:dyDescent="0.2">
      <c r="A40" s="65" t="s">
        <v>3471</v>
      </c>
      <c r="B40" s="66"/>
    </row>
    <row r="41" spans="1:2" ht="14.25" x14ac:dyDescent="0.25">
      <c r="A41" s="152" t="s">
        <v>3472</v>
      </c>
      <c r="B41" s="70" t="s">
        <v>3687</v>
      </c>
    </row>
    <row r="42" spans="1:2" ht="14.25" x14ac:dyDescent="0.25">
      <c r="A42" s="152" t="s">
        <v>3473</v>
      </c>
      <c r="B42" s="70" t="s">
        <v>3687</v>
      </c>
    </row>
    <row r="44" spans="1:2" x14ac:dyDescent="0.2">
      <c r="A44" s="250" t="s">
        <v>3474</v>
      </c>
      <c r="B44" s="251"/>
    </row>
    <row r="45" spans="1:2" x14ac:dyDescent="0.2">
      <c r="A45" s="131" t="s">
        <v>3475</v>
      </c>
      <c r="B45" s="234" t="s">
        <v>255</v>
      </c>
    </row>
    <row r="46" spans="1:2" x14ac:dyDescent="0.2">
      <c r="A46" s="132" t="s">
        <v>3476</v>
      </c>
      <c r="B46" s="235" t="s">
        <v>411</v>
      </c>
    </row>
    <row r="47" spans="1:2" x14ac:dyDescent="0.2">
      <c r="A47" s="132" t="s">
        <v>3477</v>
      </c>
      <c r="B47" s="236" t="s">
        <v>3703</v>
      </c>
    </row>
    <row r="48" spans="1:2" x14ac:dyDescent="0.2">
      <c r="A48" s="133" t="s">
        <v>3478</v>
      </c>
      <c r="B48" s="237" t="s">
        <v>411</v>
      </c>
    </row>
    <row r="49" spans="1:2" x14ac:dyDescent="0.2">
      <c r="A49" s="133" t="s">
        <v>3479</v>
      </c>
      <c r="B49" s="236" t="s">
        <v>3703</v>
      </c>
    </row>
    <row r="50" spans="1:2" x14ac:dyDescent="0.2">
      <c r="A50" s="44" t="s">
        <v>3480</v>
      </c>
      <c r="B50" s="238">
        <f>'1.Data Source'!B55</f>
        <v>0</v>
      </c>
    </row>
    <row r="51" spans="1:2" x14ac:dyDescent="0.2">
      <c r="A51" s="192" t="s">
        <v>3481</v>
      </c>
      <c r="B51" s="364" t="s">
        <v>3993</v>
      </c>
    </row>
    <row r="52" spans="1:2" x14ac:dyDescent="0.2">
      <c r="A52" s="81"/>
      <c r="B52" s="365"/>
    </row>
    <row r="53" spans="1:2" x14ac:dyDescent="0.2">
      <c r="A53" s="81"/>
      <c r="B53" s="365"/>
    </row>
    <row r="54" spans="1:2" x14ac:dyDescent="0.2">
      <c r="A54" s="81"/>
      <c r="B54" s="365"/>
    </row>
    <row r="55" spans="1:2" x14ac:dyDescent="0.2">
      <c r="A55" s="81"/>
      <c r="B55" s="365"/>
    </row>
    <row r="56" spans="1:2" x14ac:dyDescent="0.2">
      <c r="A56" s="81"/>
      <c r="B56" s="365"/>
    </row>
    <row r="57" spans="1:2" x14ac:dyDescent="0.2">
      <c r="A57" s="81"/>
      <c r="B57" s="365"/>
    </row>
    <row r="58" spans="1:2" x14ac:dyDescent="0.2">
      <c r="A58" s="82"/>
      <c r="B58" s="366"/>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t="s">
        <v>255</v>
      </c>
    </row>
    <row r="65" spans="1:2" x14ac:dyDescent="0.2">
      <c r="A65" s="198" t="s">
        <v>3476</v>
      </c>
      <c r="B65" s="92" t="s">
        <v>411</v>
      </c>
    </row>
    <row r="66" spans="1:2" x14ac:dyDescent="0.2">
      <c r="A66" s="198" t="s">
        <v>3477</v>
      </c>
      <c r="B66" s="55" t="s">
        <v>3994</v>
      </c>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473" priority="27" operator="equal">
      <formula>"?"</formula>
    </cfRule>
  </conditionalFormatting>
  <conditionalFormatting sqref="B66">
    <cfRule type="cellIs" dxfId="472" priority="21" operator="equal">
      <formula>"&lt;unk.&gt;"</formula>
    </cfRule>
  </conditionalFormatting>
  <conditionalFormatting sqref="B64">
    <cfRule type="cellIs" dxfId="471" priority="20" operator="equal">
      <formula>"&lt;unk.&gt;"</formula>
    </cfRule>
  </conditionalFormatting>
  <conditionalFormatting sqref="B65">
    <cfRule type="cellIs" dxfId="470" priority="19" operator="equal">
      <formula>"&lt;unk.&gt;"</formula>
    </cfRule>
  </conditionalFormatting>
  <conditionalFormatting sqref="B92:B93">
    <cfRule type="cellIs" dxfId="469" priority="18" operator="equal">
      <formula>"&lt;unk.&gt;"</formula>
    </cfRule>
  </conditionalFormatting>
  <conditionalFormatting sqref="B90">
    <cfRule type="cellIs" dxfId="468" priority="17" operator="equal">
      <formula>"&lt;unk.&gt;"</formula>
    </cfRule>
  </conditionalFormatting>
  <conditionalFormatting sqref="B91">
    <cfRule type="cellIs" dxfId="467" priority="16" operator="equal">
      <formula>"&lt;unk.&gt;"</formula>
    </cfRule>
  </conditionalFormatting>
  <conditionalFormatting sqref="B94">
    <cfRule type="cellIs" dxfId="466" priority="15" operator="equal">
      <formula>"&lt;unk.&gt;"</formula>
    </cfRule>
  </conditionalFormatting>
  <conditionalFormatting sqref="B95">
    <cfRule type="cellIs" dxfId="465" priority="14" operator="equal">
      <formula>"&lt;unk.&gt;"</formula>
    </cfRule>
  </conditionalFormatting>
  <conditionalFormatting sqref="B84:B87">
    <cfRule type="cellIs" dxfId="464" priority="13" operator="equal">
      <formula>"&lt;unk.&gt;"</formula>
    </cfRule>
  </conditionalFormatting>
  <conditionalFormatting sqref="B22:B26">
    <cfRule type="cellIs" dxfId="463" priority="12" operator="equal">
      <formula>"&lt;unk.&gt;"</formula>
    </cfRule>
  </conditionalFormatting>
  <conditionalFormatting sqref="B27">
    <cfRule type="cellIs" dxfId="462" priority="11" operator="equal">
      <formula>"&lt;unk.&gt;"</formula>
    </cfRule>
  </conditionalFormatting>
  <conditionalFormatting sqref="B30">
    <cfRule type="cellIs" dxfId="461" priority="10" operator="equal">
      <formula>"&lt;unk.&gt;"</formula>
    </cfRule>
  </conditionalFormatting>
  <conditionalFormatting sqref="D10:D15">
    <cfRule type="expression" dxfId="460" priority="9">
      <formula>MOD(ROW(),2)=0</formula>
    </cfRule>
  </conditionalFormatting>
  <conditionalFormatting sqref="I14">
    <cfRule type="expression" dxfId="459" priority="8">
      <formula>MOD(ROW(),2)=0</formula>
    </cfRule>
  </conditionalFormatting>
  <conditionalFormatting sqref="K10:K15">
    <cfRule type="expression" dxfId="458" priority="7">
      <formula>MOD(ROW(),2)=0</formula>
    </cfRule>
  </conditionalFormatting>
  <conditionalFormatting sqref="K10:K15">
    <cfRule type="expression" dxfId="457" priority="6">
      <formula>MOD(ROW(),2)=0</formula>
    </cfRule>
  </conditionalFormatting>
  <conditionalFormatting sqref="B47:B48">
    <cfRule type="cellIs" dxfId="456" priority="5" operator="equal">
      <formula>"&lt;unk.&gt;"</formula>
    </cfRule>
  </conditionalFormatting>
  <conditionalFormatting sqref="B45">
    <cfRule type="cellIs" dxfId="455" priority="4" operator="equal">
      <formula>"&lt;unk.&gt;"</formula>
    </cfRule>
  </conditionalFormatting>
  <conditionalFormatting sqref="B46">
    <cfRule type="cellIs" dxfId="454" priority="3" operator="equal">
      <formula>"&lt;unk.&gt;"</formula>
    </cfRule>
  </conditionalFormatting>
  <conditionalFormatting sqref="B50">
    <cfRule type="cellIs" dxfId="453" priority="2" operator="equal">
      <formula>"&lt;unk.&gt;"</formula>
    </cfRule>
  </conditionalFormatting>
  <conditionalFormatting sqref="B49">
    <cfRule type="cellIs" dxfId="452" priority="1" operator="equal">
      <formula>"&lt;unk.&gt;"</formula>
    </cfRule>
  </conditionalFormatting>
  <dataValidations count="5">
    <dataValidation type="list" allowBlank="1" showInputMessage="1" showErrorMessage="1" sqref="B18" xr:uid="{00000000-0002-0000-1A00-000000000000}">
      <formula1>INDIRECT(SUBSTITUTE(SUBSTITUTE(SUBSTITUTE(B17," ","_"),"&amp;",""),"/",""))</formula1>
    </dataValidation>
    <dataValidation type="list" allowBlank="1" showInputMessage="1" showErrorMessage="1" sqref="B22:B26" xr:uid="{00000000-0002-0000-1A00-000001000000}">
      <formula1>LYesNo</formula1>
    </dataValidation>
    <dataValidation type="list" allowBlank="1" showInputMessage="1" showErrorMessage="1" sqref="Y10:Y15" xr:uid="{00000000-0002-0000-1A00-000002000000}">
      <formula1>INDIRECT($X10)</formula1>
    </dataValidation>
    <dataValidation type="list" allowBlank="1" showInputMessage="1" showErrorMessage="1" sqref="B90 B64 B45" xr:uid="{00000000-0002-0000-1A00-000003000000}">
      <formula1>LPeriods</formula1>
    </dataValidation>
    <dataValidation type="list" allowBlank="1" showInputMessage="1" showErrorMessage="1" sqref="B91 B93 B65 B46 B48" xr:uid="{00000000-0002-0000-1A00-000004000000}">
      <formula1>LCals</formula1>
    </dataValidation>
  </dataValidations>
  <hyperlinks>
    <hyperlink ref="B5:F5" r:id="rId2" display="https://mdsnav.csintra.net/?class=FX&amp;qual=ZUR&amp;cat=R&amp;mds=ny_mds_prd1.fir.fbc.com_33300_service" xr:uid="{00000000-0004-0000-1A00-000000000000}"/>
    <hyperlink ref="B12" r:id="rId3" xr:uid="{00000000-0004-0000-1A00-000001000000}"/>
  </hyperlinks>
  <pageMargins left="0.7" right="0.7" top="0.75" bottom="0.75" header="0.3" footer="0.3"/>
  <pageSetup paperSize="9" orientation="portrait" r:id="rId4"/>
  <legacyDrawing r:id="rId5"/>
  <tableParts count="1">
    <tablePart r:id="rId6"/>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A00-000005000000}">
          <x14:formula1>
            <xm:f>Lookups2!$K$28:$K$46</xm:f>
          </x14:formula1>
          <xm:sqref>U10:U15</xm:sqref>
        </x14:dataValidation>
        <x14:dataValidation type="list" showInputMessage="1" showErrorMessage="1" xr:uid="{00000000-0002-0000-1A00-000006000000}">
          <x14:formula1>
            <xm:f>Lookups2!$AG$2:$AG$28</xm:f>
          </x14:formula1>
          <xm:sqref>B17</xm:sqref>
        </x14:dataValidation>
        <x14:dataValidation type="list" allowBlank="1" showInputMessage="1" showErrorMessage="1" xr:uid="{00000000-0002-0000-1A00-000007000000}">
          <x14:formula1>
            <xm:f>Lookups2!$C$8:$C$11</xm:f>
          </x14:formula1>
          <xm:sqref>B30</xm:sqref>
        </x14:dataValidation>
        <x14:dataValidation type="list" allowBlank="1" showInputMessage="1" showErrorMessage="1" xr:uid="{00000000-0002-0000-1A00-000008000000}">
          <x14:formula1>
            <xm:f>Lookups2!$Q$15:$Q$20</xm:f>
          </x14:formula1>
          <xm:sqref>G10:G15</xm:sqref>
        </x14:dataValidation>
        <x14:dataValidation type="list" allowBlank="1" showInputMessage="1" showErrorMessage="1" xr:uid="{00000000-0002-0000-1A00-000009000000}">
          <x14:formula1>
            <xm:f>Lookups2!$M$35:$M$36</xm:f>
          </x14:formula1>
          <xm:sqref>V10:V15 H10:H15</xm:sqref>
        </x14:dataValidation>
        <x14:dataValidation type="list" allowBlank="1" showInputMessage="1" showErrorMessage="1" xr:uid="{00000000-0002-0000-1A00-00000A000000}">
          <x14:formula1>
            <xm:f>EDOAlgo!$A$1:$R$1</xm:f>
          </x14:formula1>
          <xm:sqref>X10:X15</xm:sqref>
        </x14:dataValidation>
        <x14:dataValidation type="list" allowBlank="1" showInputMessage="1" showErrorMessage="1" xr:uid="{00000000-0002-0000-1A00-00000B000000}">
          <x14:formula1>
            <xm:f>Lookups2!$M$41:$M$45</xm:f>
          </x14:formula1>
          <xm:sqref>S10:S15</xm:sqref>
        </x14:dataValidation>
        <x14:dataValidation type="list" allowBlank="1" showInputMessage="1" showErrorMessage="1" xr:uid="{00000000-0002-0000-1A00-00000C000000}">
          <x14:formula1>
            <xm:f>INDIRECT(Lookups2!$K$9)</xm:f>
          </x14:formula1>
          <xm:sqref>T10:T15</xm:sqref>
        </x14:dataValidation>
        <x14:dataValidation type="list" allowBlank="1" showInputMessage="1" showErrorMessage="1" xr:uid="{00000000-0002-0000-1A00-00000D000000}">
          <x14:formula1>
            <xm:f>Lookups2!$C$40:$C$45</xm:f>
          </x14:formula1>
          <xm:sqref>B78</xm:sqref>
        </x14:dataValidation>
        <x14:dataValidation type="list" allowBlank="1" showInputMessage="1" showErrorMessage="1" xr:uid="{00000000-0002-0000-1A00-00000E000000}">
          <x14:formula1>
            <xm:f>Lookups2!$AC$2:$AC$3</xm:f>
          </x14:formula1>
          <xm:sqref>B14:B15</xm:sqref>
        </x14:dataValidation>
        <x14:dataValidation type="list" allowBlank="1" showInputMessage="1" showErrorMessage="1" xr:uid="{00000000-0002-0000-1A00-00000F000000}">
          <x14:formula1>
            <xm:f>Lookups2!$Y$8:$Y$10</xm:f>
          </x14:formula1>
          <xm:sqref>B33</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499984740745262"/>
  </sheetPr>
  <dimension ref="A1:AA110"/>
  <sheetViews>
    <sheetView showGridLines="0" zoomScaleNormal="100" workbookViewId="0">
      <pane xSplit="6" ySplit="9" topLeftCell="Q10" activePane="bottomRight" state="frozen"/>
      <selection pane="topRight" activeCell="G1" sqref="G1"/>
      <selection pane="bottomLeft" activeCell="A11" sqref="A11"/>
      <selection pane="bottomRight" activeCell="S16" sqref="S16"/>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trader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t="s">
        <v>3995</v>
      </c>
      <c r="C4" s="293"/>
      <c r="D4" s="293"/>
      <c r="E4" s="293"/>
      <c r="F4" s="293"/>
      <c r="G4" s="259"/>
      <c r="H4" s="259"/>
      <c r="K4" s="201" t="s">
        <v>239</v>
      </c>
      <c r="L4" s="202" t="s">
        <v>3424</v>
      </c>
      <c r="M4" s="23" t="s">
        <v>3425</v>
      </c>
    </row>
    <row r="5" spans="1:26" ht="71.25" customHeight="1" x14ac:dyDescent="0.2">
      <c r="A5" s="151" t="s">
        <v>3426</v>
      </c>
      <c r="B5" s="370" t="s">
        <v>3996</v>
      </c>
      <c r="C5" s="293"/>
      <c r="D5" s="293"/>
      <c r="E5" s="293"/>
      <c r="F5" s="293"/>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127">
        <v>1</v>
      </c>
      <c r="E10" s="130" t="s">
        <v>3997</v>
      </c>
      <c r="F10" s="64">
        <v>1</v>
      </c>
      <c r="G10" s="64" t="s">
        <v>259</v>
      </c>
      <c r="H10" s="64" t="s">
        <v>662</v>
      </c>
      <c r="I10" s="64"/>
      <c r="J10" s="64"/>
      <c r="K10" s="64"/>
      <c r="L10" s="23"/>
      <c r="M10" s="154" t="e">
        <f>VLOOKUP(Table219[[#This Row],[Data Element]],Lookups2!AM:AN,2,FALSE)</f>
        <v>#N/A</v>
      </c>
      <c r="N10" s="64"/>
      <c r="O10" s="64"/>
      <c r="P10" s="64"/>
      <c r="Q10" s="64"/>
      <c r="R10" s="64"/>
      <c r="S10" s="225" t="s">
        <v>734</v>
      </c>
      <c r="T10" s="64"/>
      <c r="U10" s="64"/>
      <c r="V10" s="64"/>
      <c r="W10" s="64"/>
      <c r="X10" s="64"/>
      <c r="Y10" s="72"/>
      <c r="Z10" s="26"/>
    </row>
    <row r="11" spans="1:26" x14ac:dyDescent="0.2">
      <c r="A11" s="148" t="s">
        <v>153</v>
      </c>
      <c r="B11" s="23" t="s">
        <v>3386</v>
      </c>
      <c r="D11" s="205">
        <v>2</v>
      </c>
      <c r="E11" s="242" t="s">
        <v>3927</v>
      </c>
      <c r="F11" s="225">
        <v>1</v>
      </c>
      <c r="G11" s="225" t="s">
        <v>259</v>
      </c>
      <c r="H11" s="225" t="s">
        <v>662</v>
      </c>
      <c r="I11" s="225"/>
      <c r="J11" s="225"/>
      <c r="K11" s="225" t="s">
        <v>3998</v>
      </c>
      <c r="L11" s="243"/>
      <c r="M11" s="244" t="e">
        <f>VLOOKUP(Table219[[#This Row],[Data Element]],Lookups2!AM:AN,2,FALSE)</f>
        <v>#N/A</v>
      </c>
      <c r="N11" s="225"/>
      <c r="O11" s="225"/>
      <c r="P11" s="225"/>
      <c r="Q11" s="225"/>
      <c r="R11" s="225"/>
      <c r="S11" s="225" t="s">
        <v>734</v>
      </c>
      <c r="T11" s="225" t="s">
        <v>473</v>
      </c>
      <c r="U11" s="225" t="s">
        <v>652</v>
      </c>
      <c r="V11" s="225" t="s">
        <v>653</v>
      </c>
      <c r="W11" s="225"/>
      <c r="X11" s="225" t="s">
        <v>11</v>
      </c>
      <c r="Y11" s="245" t="s">
        <v>37</v>
      </c>
      <c r="Z11" s="26"/>
    </row>
    <row r="12" spans="1:26" x14ac:dyDescent="0.2">
      <c r="A12" s="194" t="s">
        <v>3454</v>
      </c>
      <c r="B12" s="224" t="s">
        <v>3387</v>
      </c>
    </row>
    <row r="13" spans="1:26" x14ac:dyDescent="0.2">
      <c r="A13" s="195" t="s">
        <v>3455</v>
      </c>
      <c r="B13" s="232" t="s">
        <v>3974</v>
      </c>
    </row>
    <row r="14" spans="1:26" x14ac:dyDescent="0.2">
      <c r="A14" s="196" t="s">
        <v>234</v>
      </c>
      <c r="B14" s="116" t="s">
        <v>250</v>
      </c>
    </row>
    <row r="15" spans="1:26" x14ac:dyDescent="0.2">
      <c r="A15" s="149"/>
      <c r="B15" s="26"/>
    </row>
    <row r="16" spans="1:26" x14ac:dyDescent="0.2">
      <c r="A16" s="150" t="s">
        <v>3456</v>
      </c>
      <c r="B16" s="69"/>
    </row>
    <row r="17" spans="1:2" x14ac:dyDescent="0.2">
      <c r="A17" s="151" t="s">
        <v>3457</v>
      </c>
      <c r="B17" s="175"/>
    </row>
    <row r="18" spans="1:2" x14ac:dyDescent="0.2">
      <c r="A18" s="151" t="s">
        <v>3458</v>
      </c>
      <c r="B18" s="175"/>
    </row>
    <row r="19" spans="1:2" ht="78" customHeight="1" x14ac:dyDescent="0.2">
      <c r="A19" s="71" t="s">
        <v>238</v>
      </c>
      <c r="B19" s="182" t="s">
        <v>3999</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253</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343</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row>
    <row r="38" spans="1:2" x14ac:dyDescent="0.2">
      <c r="A38" s="136" t="s">
        <v>3470</v>
      </c>
      <c r="B38" s="68"/>
    </row>
    <row r="40" spans="1:2" x14ac:dyDescent="0.2">
      <c r="A40" s="65" t="s">
        <v>3471</v>
      </c>
      <c r="B40" s="66"/>
    </row>
    <row r="41" spans="1:2" x14ac:dyDescent="0.2">
      <c r="A41" s="152" t="s">
        <v>3472</v>
      </c>
      <c r="B41" s="64"/>
    </row>
    <row r="42" spans="1:2" x14ac:dyDescent="0.2">
      <c r="A42" s="152" t="s">
        <v>3473</v>
      </c>
      <c r="B42" s="64"/>
    </row>
    <row r="44" spans="1:2" x14ac:dyDescent="0.2">
      <c r="A44" s="250" t="s">
        <v>3474</v>
      </c>
      <c r="B44" s="251"/>
    </row>
    <row r="45" spans="1:2" x14ac:dyDescent="0.2">
      <c r="A45" s="131" t="s">
        <v>3475</v>
      </c>
      <c r="B45" s="234" t="s">
        <v>255</v>
      </c>
    </row>
    <row r="46" spans="1:2" x14ac:dyDescent="0.2">
      <c r="A46" s="132" t="s">
        <v>3476</v>
      </c>
      <c r="B46" s="235" t="s">
        <v>411</v>
      </c>
    </row>
    <row r="47" spans="1:2" x14ac:dyDescent="0.2">
      <c r="A47" s="132" t="s">
        <v>3477</v>
      </c>
      <c r="B47" s="236" t="s">
        <v>3703</v>
      </c>
    </row>
    <row r="48" spans="1:2" x14ac:dyDescent="0.2">
      <c r="A48" s="133" t="s">
        <v>3478</v>
      </c>
      <c r="B48" s="237" t="s">
        <v>411</v>
      </c>
    </row>
    <row r="49" spans="1:2" x14ac:dyDescent="0.2">
      <c r="A49" s="133" t="s">
        <v>3479</v>
      </c>
      <c r="B49" s="236" t="s">
        <v>3703</v>
      </c>
    </row>
    <row r="50" spans="1:2" x14ac:dyDescent="0.2">
      <c r="A50" s="44" t="s">
        <v>3480</v>
      </c>
      <c r="B50" s="238">
        <f>'1.Data Source'!B55</f>
        <v>0</v>
      </c>
    </row>
    <row r="51" spans="1:2" ht="12.75" customHeight="1" x14ac:dyDescent="0.2">
      <c r="A51" s="192" t="s">
        <v>3481</v>
      </c>
      <c r="B51" s="359" t="s">
        <v>3986</v>
      </c>
    </row>
    <row r="52" spans="1:2" x14ac:dyDescent="0.2">
      <c r="A52" s="81"/>
      <c r="B52" s="360"/>
    </row>
    <row r="53" spans="1:2" x14ac:dyDescent="0.2">
      <c r="A53" s="81"/>
      <c r="B53" s="360"/>
    </row>
    <row r="54" spans="1:2" x14ac:dyDescent="0.2">
      <c r="A54" s="81"/>
      <c r="B54" s="360"/>
    </row>
    <row r="55" spans="1:2" x14ac:dyDescent="0.2">
      <c r="A55" s="81"/>
      <c r="B55" s="360"/>
    </row>
    <row r="56" spans="1:2" x14ac:dyDescent="0.2">
      <c r="A56" s="81"/>
      <c r="B56" s="360"/>
    </row>
    <row r="57" spans="1:2" x14ac:dyDescent="0.2">
      <c r="A57" s="81"/>
      <c r="B57" s="360"/>
    </row>
    <row r="58" spans="1:2" x14ac:dyDescent="0.2">
      <c r="A58" s="82"/>
      <c r="B58" s="361"/>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K8:M8"/>
    <mergeCell ref="N8:R8"/>
    <mergeCell ref="V8:Y8"/>
    <mergeCell ref="B51:B58"/>
    <mergeCell ref="B67:B74"/>
    <mergeCell ref="B96:B103"/>
    <mergeCell ref="G2:I2"/>
    <mergeCell ref="A3:F3"/>
    <mergeCell ref="B4:F4"/>
    <mergeCell ref="B5:F5"/>
    <mergeCell ref="B6:F6"/>
    <mergeCell ref="G8:J8"/>
  </mergeCells>
  <conditionalFormatting sqref="B31">
    <cfRule type="cellIs" dxfId="423" priority="29" operator="equal">
      <formula>"?"</formula>
    </cfRule>
  </conditionalFormatting>
  <conditionalFormatting sqref="B66">
    <cfRule type="cellIs" dxfId="422" priority="23" operator="equal">
      <formula>"&lt;unk.&gt;"</formula>
    </cfRule>
  </conditionalFormatting>
  <conditionalFormatting sqref="B64">
    <cfRule type="cellIs" dxfId="421" priority="22" operator="equal">
      <formula>"&lt;unk.&gt;"</formula>
    </cfRule>
  </conditionalFormatting>
  <conditionalFormatting sqref="B65">
    <cfRule type="cellIs" dxfId="420" priority="21" operator="equal">
      <formula>"&lt;unk.&gt;"</formula>
    </cfRule>
  </conditionalFormatting>
  <conditionalFormatting sqref="B92:B93">
    <cfRule type="cellIs" dxfId="419" priority="20" operator="equal">
      <formula>"&lt;unk.&gt;"</formula>
    </cfRule>
  </conditionalFormatting>
  <conditionalFormatting sqref="B90">
    <cfRule type="cellIs" dxfId="418" priority="19" operator="equal">
      <formula>"&lt;unk.&gt;"</formula>
    </cfRule>
  </conditionalFormatting>
  <conditionalFormatting sqref="B91">
    <cfRule type="cellIs" dxfId="417" priority="18" operator="equal">
      <formula>"&lt;unk.&gt;"</formula>
    </cfRule>
  </conditionalFormatting>
  <conditionalFormatting sqref="B94">
    <cfRule type="cellIs" dxfId="416" priority="17" operator="equal">
      <formula>"&lt;unk.&gt;"</formula>
    </cfRule>
  </conditionalFormatting>
  <conditionalFormatting sqref="B95">
    <cfRule type="cellIs" dxfId="415" priority="16" operator="equal">
      <formula>"&lt;unk.&gt;"</formula>
    </cfRule>
  </conditionalFormatting>
  <conditionalFormatting sqref="B84:B87">
    <cfRule type="cellIs" dxfId="414" priority="15" operator="equal">
      <formula>"&lt;unk.&gt;"</formula>
    </cfRule>
  </conditionalFormatting>
  <conditionalFormatting sqref="B22:B26">
    <cfRule type="cellIs" dxfId="413" priority="14" operator="equal">
      <formula>"&lt;unk.&gt;"</formula>
    </cfRule>
  </conditionalFormatting>
  <conditionalFormatting sqref="B27">
    <cfRule type="cellIs" dxfId="412" priority="13" operator="equal">
      <formula>"&lt;unk.&gt;"</formula>
    </cfRule>
  </conditionalFormatting>
  <conditionalFormatting sqref="B30">
    <cfRule type="cellIs" dxfId="411" priority="12" operator="equal">
      <formula>"&lt;unk.&gt;"</formula>
    </cfRule>
  </conditionalFormatting>
  <conditionalFormatting sqref="B47:B48">
    <cfRule type="cellIs" dxfId="410" priority="5" operator="equal">
      <formula>"&lt;unk.&gt;"</formula>
    </cfRule>
  </conditionalFormatting>
  <conditionalFormatting sqref="B45">
    <cfRule type="cellIs" dxfId="409" priority="4" operator="equal">
      <formula>"&lt;unk.&gt;"</formula>
    </cfRule>
  </conditionalFormatting>
  <conditionalFormatting sqref="B46">
    <cfRule type="cellIs" dxfId="408" priority="3" operator="equal">
      <formula>"&lt;unk.&gt;"</formula>
    </cfRule>
  </conditionalFormatting>
  <conditionalFormatting sqref="B50">
    <cfRule type="cellIs" dxfId="407" priority="2" operator="equal">
      <formula>"&lt;unk.&gt;"</formula>
    </cfRule>
  </conditionalFormatting>
  <conditionalFormatting sqref="B49">
    <cfRule type="cellIs" dxfId="406" priority="1" operator="equal">
      <formula>"&lt;unk.&gt;"</formula>
    </cfRule>
  </conditionalFormatting>
  <dataValidations count="5">
    <dataValidation type="list" allowBlank="1" showInputMessage="1" showErrorMessage="1" sqref="B18" xr:uid="{00000000-0002-0000-1B00-000000000000}">
      <formula1>INDIRECT(SUBSTITUTE(SUBSTITUTE(SUBSTITUTE(B17," ","_"),"&amp;",""),"/",""))</formula1>
    </dataValidation>
    <dataValidation type="list" allowBlank="1" showInputMessage="1" showErrorMessage="1" sqref="B22:B26" xr:uid="{00000000-0002-0000-1B00-000001000000}">
      <formula1>LYesNo</formula1>
    </dataValidation>
    <dataValidation type="list" allowBlank="1" showInputMessage="1" showErrorMessage="1" sqref="Y10:Y11" xr:uid="{00000000-0002-0000-1B00-000002000000}">
      <formula1>INDIRECT($X10)</formula1>
    </dataValidation>
    <dataValidation type="list" allowBlank="1" showInputMessage="1" showErrorMessage="1" sqref="B90 B64 B45" xr:uid="{00000000-0002-0000-1B00-000003000000}">
      <formula1>LPeriods</formula1>
    </dataValidation>
    <dataValidation type="list" allowBlank="1" showInputMessage="1" showErrorMessage="1" sqref="B91 B93 B65 B46 B48" xr:uid="{00000000-0002-0000-1B00-000004000000}">
      <formula1>LCals</formula1>
    </dataValidation>
  </dataValidations>
  <hyperlinks>
    <hyperlink ref="B12" r:id="rId2" xr:uid="{00000000-0004-0000-1B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B00-000005000000}">
          <x14:formula1>
            <xm:f>Lookups2!$K$28:$K$46</xm:f>
          </x14:formula1>
          <xm:sqref>U10:U11</xm:sqref>
        </x14:dataValidation>
        <x14:dataValidation type="list" showInputMessage="1" showErrorMessage="1" xr:uid="{00000000-0002-0000-1B00-000006000000}">
          <x14:formula1>
            <xm:f>Lookups2!$AG$2:$AG$28</xm:f>
          </x14:formula1>
          <xm:sqref>B17</xm:sqref>
        </x14:dataValidation>
        <x14:dataValidation type="list" allowBlank="1" showInputMessage="1" showErrorMessage="1" xr:uid="{00000000-0002-0000-1B00-000007000000}">
          <x14:formula1>
            <xm:f>Lookups2!$C$8:$C$11</xm:f>
          </x14:formula1>
          <xm:sqref>B30</xm:sqref>
        </x14:dataValidation>
        <x14:dataValidation type="list" allowBlank="1" showInputMessage="1" showErrorMessage="1" xr:uid="{00000000-0002-0000-1B00-000008000000}">
          <x14:formula1>
            <xm:f>Lookups2!$Q$15:$Q$20</xm:f>
          </x14:formula1>
          <xm:sqref>G10:G11</xm:sqref>
        </x14:dataValidation>
        <x14:dataValidation type="list" allowBlank="1" showInputMessage="1" showErrorMessage="1" xr:uid="{00000000-0002-0000-1B00-000009000000}">
          <x14:formula1>
            <xm:f>Lookups2!$M$35:$M$36</xm:f>
          </x14:formula1>
          <xm:sqref>V10:V11 H10:H11</xm:sqref>
        </x14:dataValidation>
        <x14:dataValidation type="list" allowBlank="1" showInputMessage="1" showErrorMessage="1" xr:uid="{00000000-0002-0000-1B00-00000A000000}">
          <x14:formula1>
            <xm:f>EDOAlgo!$A$1:$R$1</xm:f>
          </x14:formula1>
          <xm:sqref>X10:X11</xm:sqref>
        </x14:dataValidation>
        <x14:dataValidation type="list" allowBlank="1" showInputMessage="1" showErrorMessage="1" xr:uid="{00000000-0002-0000-1B00-00000B000000}">
          <x14:formula1>
            <xm:f>Lookups2!$M$41:$M$45</xm:f>
          </x14:formula1>
          <xm:sqref>S10:S11</xm:sqref>
        </x14:dataValidation>
        <x14:dataValidation type="list" allowBlank="1" showInputMessage="1" showErrorMessage="1" xr:uid="{00000000-0002-0000-1B00-00000C000000}">
          <x14:formula1>
            <xm:f>INDIRECT(Lookups2!$K$9)</xm:f>
          </x14:formula1>
          <xm:sqref>T10:T11</xm:sqref>
        </x14:dataValidation>
        <x14:dataValidation type="list" allowBlank="1" showInputMessage="1" showErrorMessage="1" xr:uid="{00000000-0002-0000-1B00-00000D000000}">
          <x14:formula1>
            <xm:f>Lookups2!$C$40:$C$45</xm:f>
          </x14:formula1>
          <xm:sqref>B78</xm:sqref>
        </x14:dataValidation>
        <x14:dataValidation type="list" allowBlank="1" showInputMessage="1" showErrorMessage="1" xr:uid="{00000000-0002-0000-1B00-00000E000000}">
          <x14:formula1>
            <xm:f>Lookups2!$AC$2:$AC$3</xm:f>
          </x14:formula1>
          <xm:sqref>B14:B15</xm:sqref>
        </x14:dataValidation>
        <x14:dataValidation type="list" allowBlank="1" showInputMessage="1" showErrorMessage="1" xr:uid="{00000000-0002-0000-1B00-00000F000000}">
          <x14:formula1>
            <xm:f>Lookups2!$Y$8:$Y$10</xm:f>
          </x14:formula1>
          <xm:sqref>B33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499984740745262"/>
  </sheetPr>
  <dimension ref="A1:AA110"/>
  <sheetViews>
    <sheetView showGridLines="0" zoomScaleNormal="100" workbookViewId="0">
      <pane xSplit="6" ySplit="9" topLeftCell="Q10" activePane="bottomRight" state="frozen"/>
      <selection pane="topRight" activeCell="G1" sqref="G1"/>
      <selection pane="bottomLeft" activeCell="A11" sqref="A11"/>
      <selection pane="bottomRight" activeCell="S13" sqref="S13"/>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fbtrader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t="s">
        <v>4000</v>
      </c>
      <c r="C4" s="293"/>
      <c r="D4" s="293"/>
      <c r="E4" s="293"/>
      <c r="F4" s="293"/>
      <c r="G4" s="259"/>
      <c r="H4" s="259"/>
      <c r="K4" s="201" t="s">
        <v>239</v>
      </c>
      <c r="L4" s="202" t="s">
        <v>3424</v>
      </c>
      <c r="M4" s="23" t="s">
        <v>3425</v>
      </c>
    </row>
    <row r="5" spans="1:26" ht="71.25" customHeight="1" x14ac:dyDescent="0.2">
      <c r="A5" s="151" t="s">
        <v>3426</v>
      </c>
      <c r="B5" s="370" t="s">
        <v>4001</v>
      </c>
      <c r="C5" s="293"/>
      <c r="D5" s="293"/>
      <c r="E5" s="293"/>
      <c r="F5" s="293"/>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127">
        <v>1</v>
      </c>
      <c r="E10" s="130" t="s">
        <v>3997</v>
      </c>
      <c r="F10" s="64">
        <v>1</v>
      </c>
      <c r="G10" s="64" t="s">
        <v>259</v>
      </c>
      <c r="H10" s="64" t="s">
        <v>662</v>
      </c>
      <c r="I10" s="64"/>
      <c r="J10" s="64"/>
      <c r="K10" s="64"/>
      <c r="L10" s="23"/>
      <c r="M10" s="154" t="e">
        <f>VLOOKUP(Table219[[#This Row],[Data Element]],Lookups2!AM:AN,2,FALSE)</f>
        <v>#N/A</v>
      </c>
      <c r="N10" s="64"/>
      <c r="O10" s="64"/>
      <c r="P10" s="64"/>
      <c r="Q10" s="64"/>
      <c r="R10" s="64"/>
      <c r="S10" s="64" t="s">
        <v>734</v>
      </c>
      <c r="T10" s="64"/>
      <c r="U10" s="64"/>
      <c r="V10" s="64"/>
      <c r="W10" s="64"/>
      <c r="X10" s="64"/>
      <c r="Y10" s="72"/>
      <c r="Z10" s="26"/>
    </row>
    <row r="11" spans="1:26" x14ac:dyDescent="0.2">
      <c r="A11" s="148" t="s">
        <v>153</v>
      </c>
      <c r="B11" s="23" t="s">
        <v>3389</v>
      </c>
      <c r="D11" s="209">
        <v>2</v>
      </c>
      <c r="E11" s="242" t="s">
        <v>3927</v>
      </c>
      <c r="F11" s="225">
        <v>1</v>
      </c>
      <c r="G11" s="225" t="s">
        <v>259</v>
      </c>
      <c r="H11" s="225" t="s">
        <v>662</v>
      </c>
      <c r="I11" s="225"/>
      <c r="J11" s="225"/>
      <c r="K11" s="225" t="s">
        <v>3998</v>
      </c>
      <c r="L11" s="243"/>
      <c r="M11" s="244" t="e">
        <f>VLOOKUP(Table219[[#This Row],[Data Element]],Lookups2!AM:AN,2,FALSE)</f>
        <v>#N/A</v>
      </c>
      <c r="N11" s="225"/>
      <c r="O11" s="225"/>
      <c r="P11" s="225"/>
      <c r="Q11" s="225"/>
      <c r="R11" s="225"/>
      <c r="S11" s="64" t="s">
        <v>734</v>
      </c>
      <c r="T11" s="225" t="s">
        <v>473</v>
      </c>
      <c r="U11" s="225" t="s">
        <v>652</v>
      </c>
      <c r="V11" s="225" t="s">
        <v>653</v>
      </c>
      <c r="W11" s="225"/>
      <c r="X11" s="225" t="s">
        <v>11</v>
      </c>
      <c r="Y11" s="245" t="s">
        <v>37</v>
      </c>
      <c r="Z11" s="26"/>
    </row>
    <row r="12" spans="1:26" x14ac:dyDescent="0.2">
      <c r="A12" s="194" t="s">
        <v>3454</v>
      </c>
      <c r="B12" s="224" t="s">
        <v>3390</v>
      </c>
    </row>
    <row r="13" spans="1:26" x14ac:dyDescent="0.2">
      <c r="A13" s="195" t="s">
        <v>3455</v>
      </c>
      <c r="B13" s="232" t="s">
        <v>3974</v>
      </c>
    </row>
    <row r="14" spans="1:26" x14ac:dyDescent="0.2">
      <c r="A14" s="196" t="s">
        <v>234</v>
      </c>
      <c r="B14" s="116" t="s">
        <v>250</v>
      </c>
    </row>
    <row r="15" spans="1:26" x14ac:dyDescent="0.2">
      <c r="A15" s="149"/>
      <c r="B15" s="26"/>
    </row>
    <row r="16" spans="1:26" x14ac:dyDescent="0.2">
      <c r="A16" s="150" t="s">
        <v>3456</v>
      </c>
      <c r="B16" s="69"/>
    </row>
    <row r="17" spans="1:2" x14ac:dyDescent="0.2">
      <c r="A17" s="151" t="s">
        <v>3457</v>
      </c>
      <c r="B17" s="175"/>
    </row>
    <row r="18" spans="1:2" x14ac:dyDescent="0.2">
      <c r="A18" s="151" t="s">
        <v>3458</v>
      </c>
      <c r="B18" s="175"/>
    </row>
    <row r="19" spans="1:2" ht="78" customHeight="1" x14ac:dyDescent="0.2">
      <c r="A19" s="71" t="s">
        <v>238</v>
      </c>
      <c r="B19" s="182" t="e">
        <f>VLOOKUP(B18,Lookups2!AI:AJ,2,0)</f>
        <v>#N/A</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253</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343</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row>
    <row r="38" spans="1:2" x14ac:dyDescent="0.2">
      <c r="A38" s="136" t="s">
        <v>3470</v>
      </c>
      <c r="B38" s="68"/>
    </row>
    <row r="40" spans="1:2" x14ac:dyDescent="0.2">
      <c r="A40" s="65" t="s">
        <v>3471</v>
      </c>
      <c r="B40" s="66"/>
    </row>
    <row r="41" spans="1:2" x14ac:dyDescent="0.2">
      <c r="A41" s="152" t="s">
        <v>3472</v>
      </c>
      <c r="B41" s="64"/>
    </row>
    <row r="42" spans="1:2" x14ac:dyDescent="0.2">
      <c r="A42" s="152" t="s">
        <v>3473</v>
      </c>
      <c r="B42" s="64"/>
    </row>
    <row r="44" spans="1:2" x14ac:dyDescent="0.2">
      <c r="A44" s="250" t="s">
        <v>3474</v>
      </c>
      <c r="B44" s="251"/>
    </row>
    <row r="45" spans="1:2" x14ac:dyDescent="0.2">
      <c r="A45" s="131" t="s">
        <v>3475</v>
      </c>
      <c r="B45" s="234" t="s">
        <v>255</v>
      </c>
    </row>
    <row r="46" spans="1:2" x14ac:dyDescent="0.2">
      <c r="A46" s="132" t="s">
        <v>3476</v>
      </c>
      <c r="B46" s="235" t="s">
        <v>411</v>
      </c>
    </row>
    <row r="47" spans="1:2" x14ac:dyDescent="0.2">
      <c r="A47" s="132" t="s">
        <v>3477</v>
      </c>
      <c r="B47" s="236" t="s">
        <v>3703</v>
      </c>
    </row>
    <row r="48" spans="1:2" x14ac:dyDescent="0.2">
      <c r="A48" s="133" t="s">
        <v>3478</v>
      </c>
      <c r="B48" s="237" t="s">
        <v>411</v>
      </c>
    </row>
    <row r="49" spans="1:2" x14ac:dyDescent="0.2">
      <c r="A49" s="133" t="s">
        <v>3479</v>
      </c>
      <c r="B49" s="236" t="s">
        <v>3703</v>
      </c>
    </row>
    <row r="50" spans="1:2" x14ac:dyDescent="0.2">
      <c r="A50" s="44" t="s">
        <v>3480</v>
      </c>
      <c r="B50" s="238">
        <f>'1.Data Source'!B55</f>
        <v>0</v>
      </c>
    </row>
    <row r="51" spans="1:2" ht="12.75" customHeight="1" x14ac:dyDescent="0.2">
      <c r="A51" s="192" t="s">
        <v>3481</v>
      </c>
      <c r="B51" s="359" t="s">
        <v>3986</v>
      </c>
    </row>
    <row r="52" spans="1:2" x14ac:dyDescent="0.2">
      <c r="A52" s="81"/>
      <c r="B52" s="360"/>
    </row>
    <row r="53" spans="1:2" x14ac:dyDescent="0.2">
      <c r="A53" s="81"/>
      <c r="B53" s="360"/>
    </row>
    <row r="54" spans="1:2" x14ac:dyDescent="0.2">
      <c r="A54" s="81"/>
      <c r="B54" s="360"/>
    </row>
    <row r="55" spans="1:2" x14ac:dyDescent="0.2">
      <c r="A55" s="81"/>
      <c r="B55" s="360"/>
    </row>
    <row r="56" spans="1:2" x14ac:dyDescent="0.2">
      <c r="A56" s="81"/>
      <c r="B56" s="360"/>
    </row>
    <row r="57" spans="1:2" x14ac:dyDescent="0.2">
      <c r="A57" s="81"/>
      <c r="B57" s="360"/>
    </row>
    <row r="58" spans="1:2" x14ac:dyDescent="0.2">
      <c r="A58" s="82"/>
      <c r="B58" s="361"/>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K8:M8"/>
    <mergeCell ref="N8:R8"/>
    <mergeCell ref="V8:Y8"/>
    <mergeCell ref="B51:B58"/>
    <mergeCell ref="B67:B74"/>
    <mergeCell ref="B96:B103"/>
    <mergeCell ref="G2:I2"/>
    <mergeCell ref="A3:F3"/>
    <mergeCell ref="B4:F4"/>
    <mergeCell ref="B5:F5"/>
    <mergeCell ref="B6:F6"/>
    <mergeCell ref="G8:J8"/>
  </mergeCells>
  <conditionalFormatting sqref="B31">
    <cfRule type="cellIs" dxfId="377" priority="26" operator="equal">
      <formula>"?"</formula>
    </cfRule>
  </conditionalFormatting>
  <conditionalFormatting sqref="B66">
    <cfRule type="cellIs" dxfId="376" priority="20" operator="equal">
      <formula>"&lt;unk.&gt;"</formula>
    </cfRule>
  </conditionalFormatting>
  <conditionalFormatting sqref="B64">
    <cfRule type="cellIs" dxfId="375" priority="19" operator="equal">
      <formula>"&lt;unk.&gt;"</formula>
    </cfRule>
  </conditionalFormatting>
  <conditionalFormatting sqref="B65">
    <cfRule type="cellIs" dxfId="374" priority="18" operator="equal">
      <formula>"&lt;unk.&gt;"</formula>
    </cfRule>
  </conditionalFormatting>
  <conditionalFormatting sqref="B92:B93">
    <cfRule type="cellIs" dxfId="373" priority="17" operator="equal">
      <formula>"&lt;unk.&gt;"</formula>
    </cfRule>
  </conditionalFormatting>
  <conditionalFormatting sqref="B90">
    <cfRule type="cellIs" dxfId="372" priority="16" operator="equal">
      <formula>"&lt;unk.&gt;"</formula>
    </cfRule>
  </conditionalFormatting>
  <conditionalFormatting sqref="B91">
    <cfRule type="cellIs" dxfId="371" priority="15" operator="equal">
      <formula>"&lt;unk.&gt;"</formula>
    </cfRule>
  </conditionalFormatting>
  <conditionalFormatting sqref="B94">
    <cfRule type="cellIs" dxfId="370" priority="14" operator="equal">
      <formula>"&lt;unk.&gt;"</formula>
    </cfRule>
  </conditionalFormatting>
  <conditionalFormatting sqref="B95">
    <cfRule type="cellIs" dxfId="369" priority="13" operator="equal">
      <formula>"&lt;unk.&gt;"</formula>
    </cfRule>
  </conditionalFormatting>
  <conditionalFormatting sqref="B84:B87">
    <cfRule type="cellIs" dxfId="368" priority="12" operator="equal">
      <formula>"&lt;unk.&gt;"</formula>
    </cfRule>
  </conditionalFormatting>
  <conditionalFormatting sqref="B27">
    <cfRule type="cellIs" dxfId="367" priority="10" operator="equal">
      <formula>"&lt;unk.&gt;"</formula>
    </cfRule>
  </conditionalFormatting>
  <conditionalFormatting sqref="B30">
    <cfRule type="cellIs" dxfId="366" priority="9" operator="equal">
      <formula>"&lt;unk.&gt;"</formula>
    </cfRule>
  </conditionalFormatting>
  <conditionalFormatting sqref="B22:B26">
    <cfRule type="cellIs" dxfId="365" priority="8" operator="equal">
      <formula>"&lt;unk.&gt;"</formula>
    </cfRule>
  </conditionalFormatting>
  <conditionalFormatting sqref="B47:B48">
    <cfRule type="cellIs" dxfId="364" priority="5" operator="equal">
      <formula>"&lt;unk.&gt;"</formula>
    </cfRule>
  </conditionalFormatting>
  <conditionalFormatting sqref="B45">
    <cfRule type="cellIs" dxfId="363" priority="4" operator="equal">
      <formula>"&lt;unk.&gt;"</formula>
    </cfRule>
  </conditionalFormatting>
  <conditionalFormatting sqref="B46">
    <cfRule type="cellIs" dxfId="362" priority="3" operator="equal">
      <formula>"&lt;unk.&gt;"</formula>
    </cfRule>
  </conditionalFormatting>
  <conditionalFormatting sqref="B50">
    <cfRule type="cellIs" dxfId="361" priority="2" operator="equal">
      <formula>"&lt;unk.&gt;"</formula>
    </cfRule>
  </conditionalFormatting>
  <conditionalFormatting sqref="B49">
    <cfRule type="cellIs" dxfId="360" priority="1" operator="equal">
      <formula>"&lt;unk.&gt;"</formula>
    </cfRule>
  </conditionalFormatting>
  <dataValidations count="5">
    <dataValidation type="list" allowBlank="1" showInputMessage="1" showErrorMessage="1" sqref="B18" xr:uid="{00000000-0002-0000-1C00-000000000000}">
      <formula1>INDIRECT(SUBSTITUTE(SUBSTITUTE(SUBSTITUTE(B17," ","_"),"&amp;",""),"/",""))</formula1>
    </dataValidation>
    <dataValidation type="list" allowBlank="1" showInputMessage="1" showErrorMessage="1" sqref="B22:B26" xr:uid="{00000000-0002-0000-1C00-000001000000}">
      <formula1>LYesNo</formula1>
    </dataValidation>
    <dataValidation type="list" allowBlank="1" showInputMessage="1" showErrorMessage="1" sqref="Y10:Y11" xr:uid="{00000000-0002-0000-1C00-000002000000}">
      <formula1>INDIRECT($X10)</formula1>
    </dataValidation>
    <dataValidation type="list" allowBlank="1" showInputMessage="1" showErrorMessage="1" sqref="B90 B64 B45" xr:uid="{00000000-0002-0000-1C00-000003000000}">
      <formula1>LPeriods</formula1>
    </dataValidation>
    <dataValidation type="list" allowBlank="1" showInputMessage="1" showErrorMessage="1" sqref="B91 B93 B65 B46 B48" xr:uid="{00000000-0002-0000-1C00-000004000000}">
      <formula1>LCals</formula1>
    </dataValidation>
  </dataValidations>
  <hyperlinks>
    <hyperlink ref="B12" r:id="rId2" xr:uid="{00000000-0004-0000-1C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C00-000005000000}">
          <x14:formula1>
            <xm:f>Lookups2!$K$28:$K$46</xm:f>
          </x14:formula1>
          <xm:sqref>U10:U11</xm:sqref>
        </x14:dataValidation>
        <x14:dataValidation type="list" showInputMessage="1" showErrorMessage="1" xr:uid="{00000000-0002-0000-1C00-000006000000}">
          <x14:formula1>
            <xm:f>Lookups2!$AG$2:$AG$28</xm:f>
          </x14:formula1>
          <xm:sqref>B17</xm:sqref>
        </x14:dataValidation>
        <x14:dataValidation type="list" allowBlank="1" showInputMessage="1" showErrorMessage="1" xr:uid="{00000000-0002-0000-1C00-000007000000}">
          <x14:formula1>
            <xm:f>Lookups2!$C$8:$C$11</xm:f>
          </x14:formula1>
          <xm:sqref>B30</xm:sqref>
        </x14:dataValidation>
        <x14:dataValidation type="list" allowBlank="1" showInputMessage="1" showErrorMessage="1" xr:uid="{00000000-0002-0000-1C00-000008000000}">
          <x14:formula1>
            <xm:f>Lookups2!$Q$15:$Q$20</xm:f>
          </x14:formula1>
          <xm:sqref>G10:G11</xm:sqref>
        </x14:dataValidation>
        <x14:dataValidation type="list" allowBlank="1" showInputMessage="1" showErrorMessage="1" xr:uid="{00000000-0002-0000-1C00-000009000000}">
          <x14:formula1>
            <xm:f>Lookups2!$M$35:$M$36</xm:f>
          </x14:formula1>
          <xm:sqref>V10:V11 H10:H11</xm:sqref>
        </x14:dataValidation>
        <x14:dataValidation type="list" allowBlank="1" showInputMessage="1" showErrorMessage="1" xr:uid="{00000000-0002-0000-1C00-00000A000000}">
          <x14:formula1>
            <xm:f>EDOAlgo!$A$1:$R$1</xm:f>
          </x14:formula1>
          <xm:sqref>X10:X11</xm:sqref>
        </x14:dataValidation>
        <x14:dataValidation type="list" allowBlank="1" showInputMessage="1" showErrorMessage="1" xr:uid="{00000000-0002-0000-1C00-00000B000000}">
          <x14:formula1>
            <xm:f>Lookups2!$M$41:$M$45</xm:f>
          </x14:formula1>
          <xm:sqref>S10:S11</xm:sqref>
        </x14:dataValidation>
        <x14:dataValidation type="list" allowBlank="1" showInputMessage="1" showErrorMessage="1" xr:uid="{00000000-0002-0000-1C00-00000C000000}">
          <x14:formula1>
            <xm:f>INDIRECT(Lookups2!$K$9)</xm:f>
          </x14:formula1>
          <xm:sqref>T10:T11</xm:sqref>
        </x14:dataValidation>
        <x14:dataValidation type="list" allowBlank="1" showInputMessage="1" showErrorMessage="1" xr:uid="{00000000-0002-0000-1C00-00000D000000}">
          <x14:formula1>
            <xm:f>Lookups2!$C$40:$C$45</xm:f>
          </x14:formula1>
          <xm:sqref>B78</xm:sqref>
        </x14:dataValidation>
        <x14:dataValidation type="list" allowBlank="1" showInputMessage="1" showErrorMessage="1" xr:uid="{00000000-0002-0000-1C00-00000E000000}">
          <x14:formula1>
            <xm:f>Lookups2!$AC$2:$AC$3</xm:f>
          </x14:formula1>
          <xm:sqref>B14:B15</xm:sqref>
        </x14:dataValidation>
        <x14:dataValidation type="list" allowBlank="1" showInputMessage="1" showErrorMessage="1" xr:uid="{00000000-0002-0000-1C00-00000F000000}">
          <x14:formula1>
            <xm:f>Lookups2!$Y$8:$Y$10</xm:f>
          </x14:formula1>
          <xm:sqref>B33</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499984740745262"/>
  </sheetPr>
  <dimension ref="A1:AA110"/>
  <sheetViews>
    <sheetView showGridLines="0" zoomScaleNormal="100" workbookViewId="0">
      <pane xSplit="6" ySplit="9" topLeftCell="K10" activePane="bottomRight" state="frozen"/>
      <selection pane="topRight" activeCell="G1" sqref="G1"/>
      <selection pane="bottomLeft" activeCell="A11" sqref="A11"/>
      <selection pane="bottomRight" activeCell="F67" sqref="A1:F74"/>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contoption</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t="s">
        <v>4002</v>
      </c>
      <c r="C4" s="293"/>
      <c r="D4" s="293"/>
      <c r="E4" s="293"/>
      <c r="F4" s="293"/>
      <c r="G4" s="259"/>
      <c r="H4" s="259"/>
      <c r="K4" s="201" t="s">
        <v>239</v>
      </c>
      <c r="L4" s="202" t="s">
        <v>3424</v>
      </c>
      <c r="M4" s="23" t="s">
        <v>3425</v>
      </c>
    </row>
    <row r="5" spans="1:26" ht="71.25" customHeight="1" x14ac:dyDescent="0.2">
      <c r="A5" s="151" t="s">
        <v>3426</v>
      </c>
      <c r="B5" s="293" t="s">
        <v>4003</v>
      </c>
      <c r="C5" s="293"/>
      <c r="D5" s="293"/>
      <c r="E5" s="293"/>
      <c r="F5" s="293"/>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127">
        <v>1</v>
      </c>
      <c r="E10" s="130" t="s">
        <v>4004</v>
      </c>
      <c r="F10" s="64">
        <v>1</v>
      </c>
      <c r="G10" s="64" t="s">
        <v>4005</v>
      </c>
      <c r="H10" s="64"/>
      <c r="I10" s="64"/>
      <c r="J10" s="64"/>
      <c r="K10" s="64" t="s">
        <v>4121</v>
      </c>
      <c r="L10" s="23"/>
      <c r="M10" s="154" t="e">
        <f>VLOOKUP(Table221[[#This Row],[Data Element]],Lookups2!AM:AN,2,FALSE)</f>
        <v>#N/A</v>
      </c>
      <c r="N10" s="64"/>
      <c r="O10" s="64"/>
      <c r="P10" s="64"/>
      <c r="Q10" s="64"/>
      <c r="R10" s="64"/>
      <c r="S10" s="64" t="s">
        <v>387</v>
      </c>
      <c r="T10" s="64"/>
      <c r="U10" s="64"/>
      <c r="V10" s="64"/>
      <c r="W10" s="64"/>
      <c r="X10" s="64"/>
      <c r="Y10" s="72"/>
      <c r="Z10" s="26"/>
    </row>
    <row r="11" spans="1:26" x14ac:dyDescent="0.2">
      <c r="A11" s="148" t="s">
        <v>153</v>
      </c>
      <c r="B11" s="23" t="s">
        <v>3392</v>
      </c>
      <c r="D11" s="209">
        <v>2</v>
      </c>
      <c r="E11" s="130" t="s">
        <v>4006</v>
      </c>
      <c r="F11" s="64">
        <v>1</v>
      </c>
      <c r="G11" s="64" t="s">
        <v>4007</v>
      </c>
      <c r="H11" s="64"/>
      <c r="I11" s="64"/>
      <c r="J11" s="64"/>
      <c r="K11" s="64" t="s">
        <v>4122</v>
      </c>
      <c r="L11" s="211"/>
      <c r="M11" s="154" t="e">
        <f>VLOOKUP(Table221[[#This Row],[Data Element]],Lookups2!AM:AN,2,FALSE)</f>
        <v>#N/A</v>
      </c>
      <c r="N11" s="64"/>
      <c r="O11" s="64"/>
      <c r="P11" s="64"/>
      <c r="Q11" s="64"/>
      <c r="R11" s="64"/>
      <c r="S11" s="64" t="s">
        <v>387</v>
      </c>
      <c r="T11" s="64"/>
      <c r="U11" s="64"/>
      <c r="V11" s="64"/>
      <c r="W11" s="64"/>
      <c r="X11" s="64"/>
      <c r="Y11" s="72"/>
      <c r="Z11" s="26"/>
    </row>
    <row r="12" spans="1:26" x14ac:dyDescent="0.2">
      <c r="A12" s="194" t="s">
        <v>3454</v>
      </c>
      <c r="B12" s="224" t="s">
        <v>3393</v>
      </c>
      <c r="D12" s="127">
        <v>3</v>
      </c>
      <c r="E12" s="130" t="s">
        <v>4008</v>
      </c>
      <c r="F12" s="64">
        <v>1</v>
      </c>
      <c r="G12" s="64" t="s">
        <v>4005</v>
      </c>
      <c r="H12" s="64"/>
      <c r="I12" s="64"/>
      <c r="J12" s="64"/>
      <c r="K12" s="64" t="s">
        <v>4123</v>
      </c>
      <c r="L12" s="211"/>
      <c r="M12" s="154" t="e">
        <f>VLOOKUP(Table221[[#This Row],[Data Element]],Lookups2!AM:AN,2,FALSE)</f>
        <v>#N/A</v>
      </c>
      <c r="N12" s="64"/>
      <c r="O12" s="64"/>
      <c r="P12" s="64"/>
      <c r="Q12" s="64"/>
      <c r="R12" s="64"/>
      <c r="S12" s="64" t="s">
        <v>387</v>
      </c>
      <c r="T12" s="64"/>
      <c r="U12" s="64"/>
      <c r="V12" s="64"/>
      <c r="W12" s="64"/>
      <c r="X12" s="64"/>
      <c r="Y12" s="72"/>
    </row>
    <row r="13" spans="1:26" x14ac:dyDescent="0.2">
      <c r="A13" s="195" t="s">
        <v>3455</v>
      </c>
      <c r="B13" s="232" t="s">
        <v>3974</v>
      </c>
      <c r="D13" s="209">
        <v>4</v>
      </c>
      <c r="E13" s="130" t="s">
        <v>3905</v>
      </c>
      <c r="F13" s="64">
        <v>1</v>
      </c>
      <c r="G13" s="64" t="s">
        <v>4005</v>
      </c>
      <c r="H13" s="64"/>
      <c r="I13" s="64"/>
      <c r="J13" s="64"/>
      <c r="K13" s="64" t="s">
        <v>4124</v>
      </c>
      <c r="L13" s="211"/>
      <c r="M13" s="154" t="e">
        <f>VLOOKUP(Table221[[#This Row],[Data Element]],Lookups2!AM:AN,2,FALSE)</f>
        <v>#N/A</v>
      </c>
      <c r="N13" s="64"/>
      <c r="O13" s="64"/>
      <c r="P13" s="64"/>
      <c r="Q13" s="64"/>
      <c r="R13" s="64"/>
      <c r="S13" s="64" t="s">
        <v>387</v>
      </c>
      <c r="T13" s="64"/>
      <c r="U13" s="64"/>
      <c r="V13" s="64"/>
      <c r="W13" s="64"/>
      <c r="X13" s="64"/>
      <c r="Y13" s="72"/>
    </row>
    <row r="14" spans="1:26" x14ac:dyDescent="0.2">
      <c r="A14" s="196" t="s">
        <v>234</v>
      </c>
      <c r="B14" s="116" t="s">
        <v>250</v>
      </c>
      <c r="D14" s="127">
        <v>5</v>
      </c>
      <c r="E14" s="130" t="s">
        <v>4009</v>
      </c>
      <c r="F14" s="64">
        <v>1</v>
      </c>
      <c r="G14" s="64" t="s">
        <v>4005</v>
      </c>
      <c r="H14" s="64"/>
      <c r="I14" s="64"/>
      <c r="J14" s="64"/>
      <c r="K14" s="64" t="s">
        <v>4125</v>
      </c>
      <c r="L14" s="211"/>
      <c r="M14" s="154" t="e">
        <f>VLOOKUP(Table221[[#This Row],[Data Element]],Lookups2!AM:AN,2,FALSE)</f>
        <v>#N/A</v>
      </c>
      <c r="N14" s="64"/>
      <c r="O14" s="64"/>
      <c r="P14" s="64"/>
      <c r="Q14" s="64"/>
      <c r="R14" s="64"/>
      <c r="S14" s="64" t="s">
        <v>387</v>
      </c>
      <c r="T14" s="64"/>
      <c r="U14" s="64"/>
      <c r="V14" s="64"/>
      <c r="W14" s="64"/>
      <c r="X14" s="64"/>
      <c r="Y14" s="72"/>
    </row>
    <row r="15" spans="1:26" x14ac:dyDescent="0.2">
      <c r="A15" s="149"/>
      <c r="B15" s="26"/>
      <c r="D15" s="209">
        <v>6</v>
      </c>
      <c r="E15" s="130" t="s">
        <v>4010</v>
      </c>
      <c r="F15" s="64">
        <v>1</v>
      </c>
      <c r="G15" s="64" t="s">
        <v>4005</v>
      </c>
      <c r="H15" s="64"/>
      <c r="I15" s="64"/>
      <c r="J15" s="64"/>
      <c r="K15" s="64" t="s">
        <v>4126</v>
      </c>
      <c r="L15" s="211"/>
      <c r="M15" s="154" t="e">
        <f>VLOOKUP(Table221[[#This Row],[Data Element]],Lookups2!AM:AN,2,FALSE)</f>
        <v>#N/A</v>
      </c>
      <c r="N15" s="64"/>
      <c r="O15" s="64"/>
      <c r="P15" s="64"/>
      <c r="Q15" s="64"/>
      <c r="R15" s="64"/>
      <c r="S15" s="64" t="s">
        <v>387</v>
      </c>
      <c r="T15" s="64"/>
      <c r="U15" s="64"/>
      <c r="V15" s="64"/>
      <c r="W15" s="64"/>
      <c r="X15" s="64"/>
      <c r="Y15" s="72"/>
    </row>
    <row r="16" spans="1:26" x14ac:dyDescent="0.2">
      <c r="A16" s="150" t="s">
        <v>3456</v>
      </c>
      <c r="B16" s="69"/>
      <c r="D16" s="127">
        <v>7</v>
      </c>
      <c r="E16" s="130" t="s">
        <v>4011</v>
      </c>
      <c r="F16" s="64">
        <v>1</v>
      </c>
      <c r="G16" s="64" t="s">
        <v>4005</v>
      </c>
      <c r="H16" s="64"/>
      <c r="I16" s="64"/>
      <c r="J16" s="64"/>
      <c r="K16" s="64" t="s">
        <v>4127</v>
      </c>
      <c r="L16" s="211"/>
      <c r="M16" s="154" t="e">
        <f>VLOOKUP(Table221[[#This Row],[Data Element]],Lookups2!AM:AN,2,FALSE)</f>
        <v>#N/A</v>
      </c>
      <c r="N16" s="64"/>
      <c r="O16" s="64"/>
      <c r="P16" s="64"/>
      <c r="Q16" s="64"/>
      <c r="R16" s="64"/>
      <c r="S16" s="64" t="s">
        <v>387</v>
      </c>
      <c r="T16" s="64"/>
      <c r="U16" s="64"/>
      <c r="V16" s="64"/>
      <c r="W16" s="64"/>
      <c r="X16" s="64"/>
      <c r="Y16" s="72"/>
    </row>
    <row r="17" spans="1:25" x14ac:dyDescent="0.2">
      <c r="A17" s="151" t="s">
        <v>3457</v>
      </c>
      <c r="B17" s="175" t="s">
        <v>476</v>
      </c>
      <c r="D17" s="209">
        <v>8</v>
      </c>
      <c r="E17" s="130" t="s">
        <v>4012</v>
      </c>
      <c r="F17" s="64">
        <v>1</v>
      </c>
      <c r="G17" s="64" t="s">
        <v>4005</v>
      </c>
      <c r="H17" s="64"/>
      <c r="I17" s="64"/>
      <c r="J17" s="64"/>
      <c r="K17" s="64" t="s">
        <v>4128</v>
      </c>
      <c r="L17" s="211"/>
      <c r="M17" s="154" t="e">
        <f>VLOOKUP(Table221[[#This Row],[Data Element]],Lookups2!AM:AN,2,FALSE)</f>
        <v>#N/A</v>
      </c>
      <c r="N17" s="64"/>
      <c r="O17" s="64"/>
      <c r="P17" s="64"/>
      <c r="Q17" s="64"/>
      <c r="R17" s="64"/>
      <c r="S17" s="64" t="s">
        <v>387</v>
      </c>
      <c r="T17" s="64"/>
      <c r="U17" s="64"/>
      <c r="V17" s="64"/>
      <c r="W17" s="64"/>
      <c r="X17" s="64"/>
      <c r="Y17" s="72"/>
    </row>
    <row r="18" spans="1:25" x14ac:dyDescent="0.2">
      <c r="A18" s="151" t="s">
        <v>3458</v>
      </c>
      <c r="B18" s="175" t="s">
        <v>854</v>
      </c>
      <c r="D18" s="127">
        <v>9</v>
      </c>
      <c r="E18" s="130" t="s">
        <v>3915</v>
      </c>
      <c r="F18" s="64">
        <v>1</v>
      </c>
      <c r="G18" s="64" t="s">
        <v>4005</v>
      </c>
      <c r="H18" s="64"/>
      <c r="I18" s="64"/>
      <c r="J18" s="64"/>
      <c r="K18" s="64" t="s">
        <v>3435</v>
      </c>
      <c r="L18" s="211"/>
      <c r="M18" s="154" t="e">
        <f>VLOOKUP(Table221[[#This Row],[Data Element]],Lookups2!AM:AN,2,FALSE)</f>
        <v>#N/A</v>
      </c>
      <c r="N18" s="64"/>
      <c r="O18" s="64"/>
      <c r="P18" s="64"/>
      <c r="Q18" s="64"/>
      <c r="R18" s="64"/>
      <c r="S18" s="64" t="s">
        <v>387</v>
      </c>
      <c r="T18" s="64"/>
      <c r="U18" s="64"/>
      <c r="V18" s="64"/>
      <c r="W18" s="64"/>
      <c r="X18" s="64"/>
      <c r="Y18" s="72"/>
    </row>
    <row r="19" spans="1:25" ht="78" customHeight="1" x14ac:dyDescent="0.2">
      <c r="A19" s="71" t="s">
        <v>238</v>
      </c>
      <c r="B19" s="182" t="str">
        <f>VLOOKUP(B18,Lookups2!AI:AJ,2,0)</f>
        <v>Pricing data ( including any related Tick and Time Series ) for Listed Futures and Option</v>
      </c>
      <c r="D19" s="209">
        <v>10</v>
      </c>
      <c r="E19" s="130" t="s">
        <v>4013</v>
      </c>
      <c r="F19" s="64">
        <v>1</v>
      </c>
      <c r="G19" s="64" t="s">
        <v>4005</v>
      </c>
      <c r="H19" s="64"/>
      <c r="I19" s="64"/>
      <c r="J19" s="64"/>
      <c r="K19" s="64" t="s">
        <v>4129</v>
      </c>
      <c r="L19" s="211"/>
      <c r="M19" s="154" t="e">
        <f>VLOOKUP(Table221[[#This Row],[Data Element]],Lookups2!AM:AN,2,FALSE)</f>
        <v>#N/A</v>
      </c>
      <c r="N19" s="64"/>
      <c r="O19" s="64"/>
      <c r="P19" s="64"/>
      <c r="Q19" s="64"/>
      <c r="R19" s="64"/>
      <c r="S19" s="64" t="s">
        <v>387</v>
      </c>
      <c r="T19" s="64"/>
      <c r="U19" s="64"/>
      <c r="V19" s="64"/>
      <c r="W19" s="64"/>
      <c r="X19" s="64"/>
      <c r="Y19" s="72"/>
    </row>
    <row r="20" spans="1:25" x14ac:dyDescent="0.2">
      <c r="A20" s="149"/>
      <c r="B20" s="26"/>
      <c r="D20" s="127">
        <v>11</v>
      </c>
      <c r="E20" s="130" t="s">
        <v>4014</v>
      </c>
      <c r="F20" s="64">
        <v>1</v>
      </c>
      <c r="G20" s="64" t="s">
        <v>4007</v>
      </c>
      <c r="H20" s="64"/>
      <c r="I20" s="64"/>
      <c r="J20" s="64"/>
      <c r="K20" s="64" t="s">
        <v>4130</v>
      </c>
      <c r="L20" s="211"/>
      <c r="M20" s="154" t="e">
        <f>VLOOKUP(Table221[[#This Row],[Data Element]],Lookups2!AM:AN,2,FALSE)</f>
        <v>#N/A</v>
      </c>
      <c r="N20" s="64"/>
      <c r="O20" s="64"/>
      <c r="P20" s="64"/>
      <c r="Q20" s="64"/>
      <c r="R20" s="64"/>
      <c r="S20" s="64" t="s">
        <v>387</v>
      </c>
      <c r="T20" s="64"/>
      <c r="U20" s="64"/>
      <c r="V20" s="64"/>
      <c r="W20" s="64"/>
      <c r="X20" s="64"/>
      <c r="Y20" s="72"/>
    </row>
    <row r="21" spans="1:25" x14ac:dyDescent="0.2">
      <c r="A21" s="150" t="s">
        <v>3459</v>
      </c>
      <c r="B21" s="69"/>
      <c r="D21" s="209">
        <v>12</v>
      </c>
      <c r="E21" s="130" t="s">
        <v>4015</v>
      </c>
      <c r="F21" s="64">
        <v>1</v>
      </c>
      <c r="G21" s="64" t="s">
        <v>4016</v>
      </c>
      <c r="H21" s="64"/>
      <c r="I21" s="64"/>
      <c r="J21" s="64"/>
      <c r="K21" s="64" t="s">
        <v>4131</v>
      </c>
      <c r="L21" s="211"/>
      <c r="M21" s="154" t="e">
        <f>VLOOKUP(Table221[[#This Row],[Data Element]],Lookups2!AM:AN,2,FALSE)</f>
        <v>#N/A</v>
      </c>
      <c r="N21" s="64"/>
      <c r="O21" s="64"/>
      <c r="P21" s="64"/>
      <c r="Q21" s="64"/>
      <c r="R21" s="64"/>
      <c r="S21" s="64" t="s">
        <v>387</v>
      </c>
      <c r="T21" s="64"/>
      <c r="U21" s="64"/>
      <c r="V21" s="64"/>
      <c r="W21" s="64"/>
      <c r="X21" s="64"/>
      <c r="Y21" s="72"/>
    </row>
    <row r="22" spans="1:25" x14ac:dyDescent="0.2">
      <c r="A22" s="151" t="s">
        <v>3460</v>
      </c>
      <c r="B22" s="84" t="s">
        <v>276</v>
      </c>
      <c r="D22" s="127">
        <v>13</v>
      </c>
      <c r="E22" s="130" t="s">
        <v>4017</v>
      </c>
      <c r="F22" s="64">
        <v>1</v>
      </c>
      <c r="G22" s="64" t="s">
        <v>4016</v>
      </c>
      <c r="H22" s="64"/>
      <c r="I22" s="64"/>
      <c r="J22" s="64"/>
      <c r="K22" s="64" t="s">
        <v>4132</v>
      </c>
      <c r="L22" s="211"/>
      <c r="M22" s="154" t="e">
        <f>VLOOKUP(Table221[[#This Row],[Data Element]],Lookups2!AM:AN,2,FALSE)</f>
        <v>#N/A</v>
      </c>
      <c r="N22" s="64"/>
      <c r="O22" s="64"/>
      <c r="P22" s="64"/>
      <c r="Q22" s="64"/>
      <c r="R22" s="64"/>
      <c r="S22" s="64" t="s">
        <v>387</v>
      </c>
      <c r="T22" s="64"/>
      <c r="U22" s="64"/>
      <c r="V22" s="64"/>
      <c r="W22" s="64"/>
      <c r="X22" s="64"/>
      <c r="Y22" s="72"/>
    </row>
    <row r="23" spans="1:25" x14ac:dyDescent="0.2">
      <c r="A23" s="151" t="s">
        <v>3461</v>
      </c>
      <c r="B23" s="84" t="s">
        <v>276</v>
      </c>
      <c r="D23" s="209">
        <v>14</v>
      </c>
      <c r="E23" s="130" t="s">
        <v>4018</v>
      </c>
      <c r="F23" s="64">
        <v>1</v>
      </c>
      <c r="G23" s="64" t="s">
        <v>4016</v>
      </c>
      <c r="H23" s="64"/>
      <c r="I23" s="64"/>
      <c r="J23" s="64"/>
      <c r="K23" s="64" t="s">
        <v>4133</v>
      </c>
      <c r="L23" s="211"/>
      <c r="M23" s="154" t="e">
        <f>VLOOKUP(Table221[[#This Row],[Data Element]],Lookups2!AM:AN,2,FALSE)</f>
        <v>#N/A</v>
      </c>
      <c r="N23" s="64"/>
      <c r="O23" s="64"/>
      <c r="P23" s="64"/>
      <c r="Q23" s="64"/>
      <c r="R23" s="64"/>
      <c r="S23" s="64" t="s">
        <v>387</v>
      </c>
      <c r="T23" s="64"/>
      <c r="U23" s="64"/>
      <c r="V23" s="64"/>
      <c r="W23" s="64"/>
      <c r="X23" s="64"/>
      <c r="Y23" s="72"/>
    </row>
    <row r="24" spans="1:25" x14ac:dyDescent="0.2">
      <c r="A24" s="151" t="s">
        <v>3462</v>
      </c>
      <c r="B24" s="84" t="s">
        <v>276</v>
      </c>
      <c r="D24" s="127">
        <v>15</v>
      </c>
      <c r="E24" s="130" t="s">
        <v>4019</v>
      </c>
      <c r="F24" s="64">
        <v>1</v>
      </c>
      <c r="G24" s="64" t="s">
        <v>4020</v>
      </c>
      <c r="H24" s="64"/>
      <c r="I24" s="64"/>
      <c r="J24" s="64"/>
      <c r="K24" s="64" t="s">
        <v>4134</v>
      </c>
      <c r="L24" s="211"/>
      <c r="M24" s="154" t="e">
        <f>VLOOKUP(Table221[[#This Row],[Data Element]],Lookups2!AM:AN,2,FALSE)</f>
        <v>#N/A</v>
      </c>
      <c r="N24" s="64"/>
      <c r="O24" s="64"/>
      <c r="P24" s="64"/>
      <c r="Q24" s="64"/>
      <c r="R24" s="64"/>
      <c r="S24" s="64" t="s">
        <v>387</v>
      </c>
      <c r="T24" s="64"/>
      <c r="U24" s="64"/>
      <c r="V24" s="64"/>
      <c r="W24" s="64"/>
      <c r="X24" s="64"/>
      <c r="Y24" s="72"/>
    </row>
    <row r="25" spans="1:25" x14ac:dyDescent="0.2">
      <c r="A25" s="151" t="s">
        <v>3463</v>
      </c>
      <c r="B25" s="84" t="s">
        <v>253</v>
      </c>
      <c r="D25" s="209">
        <v>16</v>
      </c>
      <c r="E25" s="130" t="s">
        <v>3838</v>
      </c>
      <c r="F25" s="64">
        <v>1</v>
      </c>
      <c r="G25" s="64" t="s">
        <v>4005</v>
      </c>
      <c r="H25" s="64"/>
      <c r="I25" s="64"/>
      <c r="J25" s="64"/>
      <c r="K25" s="64" t="s">
        <v>4135</v>
      </c>
      <c r="L25" s="211"/>
      <c r="M25" s="154" t="e">
        <f>VLOOKUP(Table221[[#This Row],[Data Element]],Lookups2!AM:AN,2,FALSE)</f>
        <v>#N/A</v>
      </c>
      <c r="N25" s="64"/>
      <c r="O25" s="64"/>
      <c r="P25" s="64"/>
      <c r="Q25" s="64"/>
      <c r="R25" s="64"/>
      <c r="S25" s="64" t="s">
        <v>387</v>
      </c>
      <c r="T25" s="64"/>
      <c r="U25" s="64"/>
      <c r="V25" s="64"/>
      <c r="W25" s="64"/>
      <c r="X25" s="64"/>
      <c r="Y25" s="72"/>
    </row>
    <row r="26" spans="1:25" x14ac:dyDescent="0.2">
      <c r="A26" s="151" t="s">
        <v>3464</v>
      </c>
      <c r="B26" s="84" t="s">
        <v>253</v>
      </c>
      <c r="D26" s="127">
        <v>17</v>
      </c>
      <c r="E26" s="130" t="s">
        <v>4021</v>
      </c>
      <c r="F26" s="64">
        <v>1</v>
      </c>
      <c r="G26" s="64" t="s">
        <v>4005</v>
      </c>
      <c r="H26" s="64"/>
      <c r="I26" s="64"/>
      <c r="J26" s="64"/>
      <c r="K26" s="64" t="s">
        <v>4136</v>
      </c>
      <c r="L26" s="211"/>
      <c r="M26" s="154" t="e">
        <f>VLOOKUP(Table221[[#This Row],[Data Element]],Lookups2!AM:AN,2,FALSE)</f>
        <v>#N/A</v>
      </c>
      <c r="N26" s="64"/>
      <c r="O26" s="64"/>
      <c r="P26" s="64"/>
      <c r="Q26" s="64"/>
      <c r="R26" s="64"/>
      <c r="S26" s="64" t="s">
        <v>387</v>
      </c>
      <c r="T26" s="64"/>
      <c r="U26" s="64"/>
      <c r="V26" s="64"/>
      <c r="W26" s="64"/>
      <c r="X26" s="64"/>
      <c r="Y26" s="72"/>
    </row>
    <row r="27" spans="1:25" x14ac:dyDescent="0.2">
      <c r="A27" s="173" t="s">
        <v>3465</v>
      </c>
      <c r="B27" s="84" t="s">
        <v>4022</v>
      </c>
      <c r="D27" s="209">
        <v>18</v>
      </c>
      <c r="E27" s="130" t="s">
        <v>4023</v>
      </c>
      <c r="F27" s="64">
        <v>1</v>
      </c>
      <c r="G27" s="64" t="s">
        <v>4007</v>
      </c>
      <c r="H27" s="64"/>
      <c r="I27" s="64"/>
      <c r="J27" s="64"/>
      <c r="K27" s="64" t="s">
        <v>4137</v>
      </c>
      <c r="L27" s="211"/>
      <c r="M27" s="154" t="e">
        <f>VLOOKUP(Table221[[#This Row],[Data Element]],Lookups2!AM:AN,2,FALSE)</f>
        <v>#N/A</v>
      </c>
      <c r="N27" s="64"/>
      <c r="O27" s="64"/>
      <c r="P27" s="64"/>
      <c r="Q27" s="64"/>
      <c r="R27" s="64"/>
      <c r="S27" s="64" t="s">
        <v>387</v>
      </c>
      <c r="T27" s="64"/>
      <c r="U27" s="64"/>
      <c r="V27" s="64"/>
      <c r="W27" s="64"/>
      <c r="X27" s="64"/>
      <c r="Y27" s="72"/>
    </row>
    <row r="28" spans="1:25" x14ac:dyDescent="0.2">
      <c r="A28" s="149"/>
      <c r="B28" s="26"/>
      <c r="D28" s="127">
        <v>19</v>
      </c>
      <c r="E28" s="130" t="s">
        <v>4024</v>
      </c>
      <c r="F28" s="64">
        <v>1</v>
      </c>
      <c r="G28" s="246" t="s">
        <v>4005</v>
      </c>
      <c r="H28" s="64"/>
      <c r="I28" s="64"/>
      <c r="J28" s="64"/>
      <c r="K28" s="64" t="s">
        <v>4138</v>
      </c>
      <c r="L28" s="211"/>
      <c r="M28" s="154" t="e">
        <f>VLOOKUP(Table221[[#This Row],[Data Element]],Lookups2!AM:AN,2,FALSE)</f>
        <v>#N/A</v>
      </c>
      <c r="N28" s="64"/>
      <c r="O28" s="64"/>
      <c r="P28" s="64"/>
      <c r="Q28" s="64"/>
      <c r="R28" s="64"/>
      <c r="S28" s="64" t="s">
        <v>387</v>
      </c>
      <c r="T28" s="64"/>
      <c r="U28" s="64"/>
      <c r="V28" s="64"/>
      <c r="W28" s="64"/>
      <c r="X28" s="64"/>
      <c r="Y28" s="72"/>
    </row>
    <row r="29" spans="1:25" x14ac:dyDescent="0.2">
      <c r="A29" s="65" t="s">
        <v>3446</v>
      </c>
      <c r="B29" s="69"/>
      <c r="D29" s="209">
        <v>20</v>
      </c>
      <c r="E29" s="130" t="s">
        <v>4025</v>
      </c>
      <c r="F29" s="64">
        <v>1</v>
      </c>
      <c r="G29" s="64" t="s">
        <v>4016</v>
      </c>
      <c r="H29" s="64"/>
      <c r="I29" s="64"/>
      <c r="J29" s="64"/>
      <c r="K29" s="64" t="s">
        <v>4139</v>
      </c>
      <c r="L29" s="211"/>
      <c r="M29" s="154" t="e">
        <f>VLOOKUP(Table221[[#This Row],[Data Element]],Lookups2!AM:AN,2,FALSE)</f>
        <v>#N/A</v>
      </c>
      <c r="N29" s="64"/>
      <c r="O29" s="64"/>
      <c r="P29" s="64"/>
      <c r="Q29" s="64"/>
      <c r="R29" s="64"/>
      <c r="S29" s="64" t="s">
        <v>387</v>
      </c>
      <c r="T29" s="64"/>
      <c r="U29" s="64"/>
      <c r="V29" s="64"/>
      <c r="W29" s="64"/>
      <c r="X29" s="64"/>
      <c r="Y29" s="72"/>
    </row>
    <row r="30" spans="1:25" x14ac:dyDescent="0.2">
      <c r="A30" s="134" t="s">
        <v>3466</v>
      </c>
      <c r="B30" s="84" t="s">
        <v>387</v>
      </c>
      <c r="D30" s="127">
        <v>21</v>
      </c>
      <c r="E30" s="130" t="s">
        <v>4026</v>
      </c>
      <c r="F30" s="64">
        <v>1</v>
      </c>
      <c r="G30" s="64" t="s">
        <v>4016</v>
      </c>
      <c r="H30" s="64"/>
      <c r="I30" s="64"/>
      <c r="J30" s="64"/>
      <c r="K30" s="64" t="s">
        <v>4140</v>
      </c>
      <c r="L30" s="211"/>
      <c r="M30" s="154" t="e">
        <f>VLOOKUP(Table221[[#This Row],[Data Element]],Lookups2!AM:AN,2,FALSE)</f>
        <v>#N/A</v>
      </c>
      <c r="N30" s="64"/>
      <c r="O30" s="64"/>
      <c r="P30" s="64"/>
      <c r="Q30" s="64"/>
      <c r="R30" s="64"/>
      <c r="S30" s="64" t="s">
        <v>387</v>
      </c>
      <c r="T30" s="64"/>
      <c r="U30" s="64"/>
      <c r="V30" s="64"/>
      <c r="W30" s="64"/>
      <c r="X30" s="64"/>
      <c r="Y30" s="72"/>
    </row>
    <row r="31" spans="1:25" x14ac:dyDescent="0.2">
      <c r="A31" s="8"/>
      <c r="B31" s="9"/>
      <c r="D31" s="209">
        <v>22</v>
      </c>
      <c r="E31" s="130" t="s">
        <v>4027</v>
      </c>
      <c r="F31" s="64">
        <v>1</v>
      </c>
      <c r="G31" s="64" t="s">
        <v>4005</v>
      </c>
      <c r="H31" s="64"/>
      <c r="I31" s="64"/>
      <c r="J31" s="64"/>
      <c r="K31" s="64" t="s">
        <v>4141</v>
      </c>
      <c r="L31" s="211"/>
      <c r="M31" s="154" t="e">
        <f>VLOOKUP(Table221[[#This Row],[Data Element]],Lookups2!AM:AN,2,FALSE)</f>
        <v>#N/A</v>
      </c>
      <c r="N31" s="64"/>
      <c r="O31" s="64"/>
      <c r="P31" s="64"/>
      <c r="Q31" s="64"/>
      <c r="R31" s="64"/>
      <c r="S31" s="64" t="s">
        <v>387</v>
      </c>
      <c r="T31" s="64"/>
      <c r="U31" s="64"/>
      <c r="V31" s="64"/>
      <c r="W31" s="64"/>
      <c r="X31" s="64"/>
      <c r="Y31" s="72"/>
    </row>
    <row r="32" spans="1:25" x14ac:dyDescent="0.2">
      <c r="A32" s="65" t="s">
        <v>3467</v>
      </c>
      <c r="B32" s="69"/>
      <c r="D32" s="127">
        <v>23</v>
      </c>
      <c r="E32" s="130" t="s">
        <v>4028</v>
      </c>
      <c r="F32" s="64">
        <v>1</v>
      </c>
      <c r="G32" s="64" t="s">
        <v>4005</v>
      </c>
      <c r="H32" s="64"/>
      <c r="I32" s="64"/>
      <c r="J32" s="64"/>
      <c r="K32" s="64" t="s">
        <v>4142</v>
      </c>
      <c r="L32" s="211"/>
      <c r="M32" s="154" t="e">
        <f>VLOOKUP(Table221[[#This Row],[Data Element]],Lookups2!AM:AN,2,FALSE)</f>
        <v>#N/A</v>
      </c>
      <c r="N32" s="64"/>
      <c r="O32" s="64"/>
      <c r="P32" s="64"/>
      <c r="Q32" s="64"/>
      <c r="R32" s="64"/>
      <c r="S32" s="64" t="s">
        <v>387</v>
      </c>
      <c r="T32" s="64"/>
      <c r="U32" s="64"/>
      <c r="V32" s="64"/>
      <c r="W32" s="64"/>
      <c r="X32" s="64"/>
      <c r="Y32" s="72"/>
    </row>
    <row r="33" spans="1:25" ht="14.25" x14ac:dyDescent="0.25">
      <c r="A33" s="134" t="s">
        <v>232</v>
      </c>
      <c r="B33" s="176" t="s">
        <v>377</v>
      </c>
      <c r="D33" s="209">
        <v>24</v>
      </c>
      <c r="E33" s="130" t="s">
        <v>4029</v>
      </c>
      <c r="F33" s="64">
        <v>1</v>
      </c>
      <c r="G33" s="64" t="s">
        <v>4005</v>
      </c>
      <c r="H33" s="64"/>
      <c r="I33" s="64"/>
      <c r="J33" s="64"/>
      <c r="K33" s="64" t="s">
        <v>4143</v>
      </c>
      <c r="L33" s="211"/>
      <c r="M33" s="154" t="e">
        <f>VLOOKUP(Table221[[#This Row],[Data Element]],Lookups2!AM:AN,2,FALSE)</f>
        <v>#N/A</v>
      </c>
      <c r="N33" s="64"/>
      <c r="O33" s="64"/>
      <c r="P33" s="64"/>
      <c r="Q33" s="64"/>
      <c r="R33" s="64"/>
      <c r="S33" s="64" t="s">
        <v>387</v>
      </c>
      <c r="T33" s="64"/>
      <c r="U33" s="64"/>
      <c r="V33" s="64"/>
      <c r="W33" s="64"/>
      <c r="X33" s="64"/>
      <c r="Y33" s="72"/>
    </row>
    <row r="34" spans="1:25" x14ac:dyDescent="0.2">
      <c r="A34" s="67" t="s">
        <v>3468</v>
      </c>
      <c r="B34" s="68"/>
      <c r="D34" s="127">
        <v>25</v>
      </c>
      <c r="E34" s="130" t="s">
        <v>4030</v>
      </c>
      <c r="F34" s="64">
        <v>1</v>
      </c>
      <c r="G34" s="64" t="s">
        <v>4005</v>
      </c>
      <c r="H34" s="64"/>
      <c r="I34" s="64"/>
      <c r="J34" s="64"/>
      <c r="K34" s="64" t="s">
        <v>4144</v>
      </c>
      <c r="L34" s="211"/>
      <c r="M34" s="154" t="e">
        <f>VLOOKUP(Table221[[#This Row],[Data Element]],Lookups2!AM:AN,2,FALSE)</f>
        <v>#N/A</v>
      </c>
      <c r="N34" s="64"/>
      <c r="O34" s="64"/>
      <c r="P34" s="64"/>
      <c r="Q34" s="64"/>
      <c r="R34" s="64"/>
      <c r="S34" s="64" t="s">
        <v>387</v>
      </c>
      <c r="T34" s="64"/>
      <c r="U34" s="64"/>
      <c r="V34" s="64"/>
      <c r="W34" s="64"/>
      <c r="X34" s="64"/>
      <c r="Y34" s="72"/>
    </row>
    <row r="35" spans="1:25" ht="14.25" x14ac:dyDescent="0.25">
      <c r="A35" s="73"/>
      <c r="B35" s="73"/>
      <c r="D35" s="209">
        <v>26</v>
      </c>
      <c r="E35" s="130" t="s">
        <v>4031</v>
      </c>
      <c r="F35" s="64">
        <v>1</v>
      </c>
      <c r="G35" s="64" t="s">
        <v>4020</v>
      </c>
      <c r="H35" s="64"/>
      <c r="I35" s="64"/>
      <c r="J35" s="64"/>
      <c r="K35" s="64" t="s">
        <v>4145</v>
      </c>
      <c r="L35" s="211"/>
      <c r="M35" s="154" t="e">
        <f>VLOOKUP(Table221[[#This Row],[Data Element]],Lookups2!AM:AN,2,FALSE)</f>
        <v>#N/A</v>
      </c>
      <c r="N35" s="64"/>
      <c r="O35" s="64"/>
      <c r="P35" s="64"/>
      <c r="Q35" s="64"/>
      <c r="R35" s="64"/>
      <c r="S35" s="64" t="s">
        <v>387</v>
      </c>
      <c r="T35" s="64"/>
      <c r="U35" s="64"/>
      <c r="V35" s="64"/>
      <c r="W35" s="64"/>
      <c r="X35" s="64"/>
      <c r="Y35" s="72"/>
    </row>
    <row r="36" spans="1:25" x14ac:dyDescent="0.2">
      <c r="A36" s="65" t="s">
        <v>754</v>
      </c>
      <c r="B36" s="69"/>
      <c r="D36" s="127">
        <v>27</v>
      </c>
      <c r="E36" s="130" t="s">
        <v>4032</v>
      </c>
      <c r="F36" s="64">
        <v>1</v>
      </c>
      <c r="G36" s="64" t="s">
        <v>4007</v>
      </c>
      <c r="H36" s="64"/>
      <c r="I36" s="64"/>
      <c r="J36" s="64"/>
      <c r="K36" s="64" t="s">
        <v>4146</v>
      </c>
      <c r="L36" s="211"/>
      <c r="M36" s="154" t="e">
        <f>VLOOKUP(Table221[[#This Row],[Data Element]],Lookups2!AM:AN,2,FALSE)</f>
        <v>#N/A</v>
      </c>
      <c r="N36" s="64"/>
      <c r="O36" s="64"/>
      <c r="P36" s="64"/>
      <c r="Q36" s="64"/>
      <c r="R36" s="64"/>
      <c r="S36" s="64" t="s">
        <v>387</v>
      </c>
      <c r="T36" s="64"/>
      <c r="U36" s="64"/>
      <c r="V36" s="64"/>
      <c r="W36" s="64"/>
      <c r="X36" s="64"/>
      <c r="Y36" s="72"/>
    </row>
    <row r="37" spans="1:25" ht="14.25" x14ac:dyDescent="0.25">
      <c r="A37" s="135" t="s">
        <v>3469</v>
      </c>
      <c r="B37" s="70"/>
      <c r="D37" s="209">
        <v>28</v>
      </c>
      <c r="E37" s="130" t="s">
        <v>4033</v>
      </c>
      <c r="F37" s="64">
        <v>1</v>
      </c>
      <c r="G37" s="64" t="s">
        <v>4007</v>
      </c>
      <c r="H37" s="64"/>
      <c r="I37" s="64"/>
      <c r="J37" s="64"/>
      <c r="K37" s="64" t="s">
        <v>4147</v>
      </c>
      <c r="L37" s="211"/>
      <c r="M37" s="154" t="e">
        <f>VLOOKUP(Table221[[#This Row],[Data Element]],Lookups2!AM:AN,2,FALSE)</f>
        <v>#N/A</v>
      </c>
      <c r="N37" s="64"/>
      <c r="O37" s="64"/>
      <c r="P37" s="64"/>
      <c r="Q37" s="64"/>
      <c r="R37" s="64"/>
      <c r="S37" s="64" t="s">
        <v>387</v>
      </c>
      <c r="T37" s="64"/>
      <c r="U37" s="64"/>
      <c r="V37" s="64"/>
      <c r="W37" s="64"/>
      <c r="X37" s="64"/>
      <c r="Y37" s="72"/>
    </row>
    <row r="38" spans="1:25" x14ac:dyDescent="0.2">
      <c r="A38" s="136" t="s">
        <v>3470</v>
      </c>
      <c r="B38" s="68"/>
      <c r="D38" s="127">
        <v>29</v>
      </c>
      <c r="E38" s="130" t="s">
        <v>4034</v>
      </c>
      <c r="F38" s="64">
        <v>1</v>
      </c>
      <c r="G38" s="64" t="s">
        <v>4005</v>
      </c>
      <c r="H38" s="64"/>
      <c r="I38" s="64"/>
      <c r="J38" s="64"/>
      <c r="K38" s="64" t="s">
        <v>4148</v>
      </c>
      <c r="L38" s="211"/>
      <c r="M38" s="154" t="e">
        <f>VLOOKUP(Table221[[#This Row],[Data Element]],Lookups2!AM:AN,2,FALSE)</f>
        <v>#N/A</v>
      </c>
      <c r="N38" s="64"/>
      <c r="O38" s="64"/>
      <c r="P38" s="64"/>
      <c r="Q38" s="64"/>
      <c r="R38" s="64"/>
      <c r="S38" s="64" t="s">
        <v>387</v>
      </c>
      <c r="T38" s="64"/>
      <c r="U38" s="64"/>
      <c r="V38" s="64"/>
      <c r="W38" s="64"/>
      <c r="X38" s="64"/>
      <c r="Y38" s="72"/>
    </row>
    <row r="39" spans="1:25" x14ac:dyDescent="0.2">
      <c r="D39" s="209">
        <v>30</v>
      </c>
      <c r="E39" s="130" t="s">
        <v>4035</v>
      </c>
      <c r="F39" s="64">
        <v>1</v>
      </c>
      <c r="G39" s="64" t="s">
        <v>4005</v>
      </c>
      <c r="H39" s="64"/>
      <c r="I39" s="64"/>
      <c r="J39" s="64"/>
      <c r="K39" s="64" t="s">
        <v>4149</v>
      </c>
      <c r="L39" s="211"/>
      <c r="M39" s="154" t="e">
        <f>VLOOKUP(Table221[[#This Row],[Data Element]],Lookups2!AM:AN,2,FALSE)</f>
        <v>#N/A</v>
      </c>
      <c r="N39" s="64"/>
      <c r="O39" s="64"/>
      <c r="P39" s="64"/>
      <c r="Q39" s="64"/>
      <c r="R39" s="64"/>
      <c r="S39" s="64" t="s">
        <v>387</v>
      </c>
      <c r="T39" s="64"/>
      <c r="U39" s="64"/>
      <c r="V39" s="64"/>
      <c r="W39" s="64"/>
      <c r="X39" s="64"/>
      <c r="Y39" s="72"/>
    </row>
    <row r="40" spans="1:25" x14ac:dyDescent="0.2">
      <c r="A40" s="65" t="s">
        <v>3471</v>
      </c>
      <c r="B40" s="66"/>
      <c r="D40" s="127">
        <v>31</v>
      </c>
      <c r="E40" s="130" t="s">
        <v>4036</v>
      </c>
      <c r="F40" s="64">
        <v>1</v>
      </c>
      <c r="G40" s="64" t="s">
        <v>4007</v>
      </c>
      <c r="H40" s="64"/>
      <c r="I40" s="64"/>
      <c r="J40" s="64"/>
      <c r="K40" s="64" t="s">
        <v>4150</v>
      </c>
      <c r="L40" s="211"/>
      <c r="M40" s="154" t="e">
        <f>VLOOKUP(Table221[[#This Row],[Data Element]],Lookups2!AM:AN,2,FALSE)</f>
        <v>#N/A</v>
      </c>
      <c r="N40" s="64"/>
      <c r="O40" s="64"/>
      <c r="P40" s="64"/>
      <c r="Q40" s="64"/>
      <c r="R40" s="64"/>
      <c r="S40" s="64" t="s">
        <v>387</v>
      </c>
      <c r="T40" s="64"/>
      <c r="U40" s="64"/>
      <c r="V40" s="64"/>
      <c r="W40" s="64"/>
      <c r="X40" s="64"/>
      <c r="Y40" s="72"/>
    </row>
    <row r="41" spans="1:25" x14ac:dyDescent="0.2">
      <c r="A41" s="152" t="s">
        <v>3472</v>
      </c>
      <c r="B41" s="64"/>
      <c r="D41" s="209">
        <v>32</v>
      </c>
      <c r="E41" s="130" t="s">
        <v>4037</v>
      </c>
      <c r="F41" s="64">
        <v>1</v>
      </c>
      <c r="G41" s="64" t="s">
        <v>4005</v>
      </c>
      <c r="H41" s="64"/>
      <c r="I41" s="64"/>
      <c r="J41" s="64"/>
      <c r="K41" s="64" t="s">
        <v>4151</v>
      </c>
      <c r="L41" s="211"/>
      <c r="M41" s="154" t="e">
        <f>VLOOKUP(Table221[[#This Row],[Data Element]],Lookups2!AM:AN,2,FALSE)</f>
        <v>#N/A</v>
      </c>
      <c r="N41" s="64"/>
      <c r="O41" s="64"/>
      <c r="P41" s="64"/>
      <c r="Q41" s="64"/>
      <c r="R41" s="64"/>
      <c r="S41" s="64" t="s">
        <v>387</v>
      </c>
      <c r="T41" s="64"/>
      <c r="U41" s="64"/>
      <c r="V41" s="64"/>
      <c r="W41" s="64"/>
      <c r="X41" s="64"/>
      <c r="Y41" s="72"/>
    </row>
    <row r="42" spans="1:25" x14ac:dyDescent="0.2">
      <c r="A42" s="152" t="s">
        <v>3473</v>
      </c>
      <c r="B42" s="64"/>
      <c r="D42" s="127">
        <v>33</v>
      </c>
      <c r="E42" s="130" t="s">
        <v>4038</v>
      </c>
      <c r="F42" s="64">
        <v>1</v>
      </c>
      <c r="G42" s="64" t="s">
        <v>4005</v>
      </c>
      <c r="H42" s="64"/>
      <c r="I42" s="64"/>
      <c r="J42" s="64"/>
      <c r="K42" s="64" t="s">
        <v>4152</v>
      </c>
      <c r="L42" s="211"/>
      <c r="M42" s="154" t="e">
        <f>VLOOKUP(Table221[[#This Row],[Data Element]],Lookups2!AM:AN,2,FALSE)</f>
        <v>#N/A</v>
      </c>
      <c r="N42" s="64"/>
      <c r="O42" s="64"/>
      <c r="P42" s="64"/>
      <c r="Q42" s="64"/>
      <c r="R42" s="64"/>
      <c r="S42" s="64" t="s">
        <v>387</v>
      </c>
      <c r="T42" s="64"/>
      <c r="U42" s="64"/>
      <c r="V42" s="64"/>
      <c r="W42" s="64"/>
      <c r="X42" s="64"/>
      <c r="Y42" s="72"/>
    </row>
    <row r="43" spans="1:25" x14ac:dyDescent="0.2">
      <c r="D43" s="209">
        <v>34</v>
      </c>
      <c r="E43" s="130" t="s">
        <v>4039</v>
      </c>
      <c r="F43" s="64">
        <v>1</v>
      </c>
      <c r="G43" s="64" t="s">
        <v>4005</v>
      </c>
      <c r="H43" s="64"/>
      <c r="I43" s="64"/>
      <c r="J43" s="64"/>
      <c r="K43" s="64" t="s">
        <v>4153</v>
      </c>
      <c r="L43" s="211"/>
      <c r="M43" s="154" t="e">
        <f>VLOOKUP(Table221[[#This Row],[Data Element]],Lookups2!AM:AN,2,FALSE)</f>
        <v>#N/A</v>
      </c>
      <c r="N43" s="64"/>
      <c r="O43" s="64"/>
      <c r="P43" s="64"/>
      <c r="Q43" s="64"/>
      <c r="R43" s="64"/>
      <c r="S43" s="64" t="s">
        <v>387</v>
      </c>
      <c r="T43" s="64"/>
      <c r="U43" s="64"/>
      <c r="V43" s="64"/>
      <c r="W43" s="64"/>
      <c r="X43" s="64"/>
      <c r="Y43" s="72"/>
    </row>
    <row r="44" spans="1:25" x14ac:dyDescent="0.2">
      <c r="A44" s="250" t="s">
        <v>3474</v>
      </c>
      <c r="B44" s="251"/>
      <c r="D44" s="127">
        <v>35</v>
      </c>
      <c r="E44" s="130" t="s">
        <v>4040</v>
      </c>
      <c r="F44" s="64">
        <v>1</v>
      </c>
      <c r="G44" s="64" t="s">
        <v>4005</v>
      </c>
      <c r="H44" s="64"/>
      <c r="I44" s="64"/>
      <c r="J44" s="64"/>
      <c r="K44" s="64" t="s">
        <v>4154</v>
      </c>
      <c r="L44" s="211"/>
      <c r="M44" s="154" t="e">
        <f>VLOOKUP(Table221[[#This Row],[Data Element]],Lookups2!AM:AN,2,FALSE)</f>
        <v>#N/A</v>
      </c>
      <c r="N44" s="64"/>
      <c r="O44" s="64"/>
      <c r="P44" s="64"/>
      <c r="Q44" s="64"/>
      <c r="R44" s="64"/>
      <c r="S44" s="64" t="s">
        <v>387</v>
      </c>
      <c r="T44" s="64"/>
      <c r="U44" s="64"/>
      <c r="V44" s="64"/>
      <c r="W44" s="64"/>
      <c r="X44" s="64"/>
      <c r="Y44" s="72"/>
    </row>
    <row r="45" spans="1:25" x14ac:dyDescent="0.2">
      <c r="A45" s="131" t="s">
        <v>3475</v>
      </c>
      <c r="B45" s="234" t="s">
        <v>255</v>
      </c>
      <c r="D45" s="209">
        <v>36</v>
      </c>
      <c r="E45" s="130" t="s">
        <v>4041</v>
      </c>
      <c r="F45" s="64">
        <v>1</v>
      </c>
      <c r="G45" s="64" t="s">
        <v>4005</v>
      </c>
      <c r="H45" s="64"/>
      <c r="I45" s="64"/>
      <c r="J45" s="64"/>
      <c r="K45" s="64" t="s">
        <v>4155</v>
      </c>
      <c r="L45" s="211"/>
      <c r="M45" s="154" t="e">
        <f>VLOOKUP(Table221[[#This Row],[Data Element]],Lookups2!AM:AN,2,FALSE)</f>
        <v>#N/A</v>
      </c>
      <c r="N45" s="64"/>
      <c r="O45" s="64"/>
      <c r="P45" s="64"/>
      <c r="Q45" s="64"/>
      <c r="R45" s="64"/>
      <c r="S45" s="64" t="s">
        <v>387</v>
      </c>
      <c r="T45" s="64"/>
      <c r="U45" s="64"/>
      <c r="V45" s="64"/>
      <c r="W45" s="64"/>
      <c r="X45" s="64"/>
      <c r="Y45" s="72"/>
    </row>
    <row r="46" spans="1:25" x14ac:dyDescent="0.2">
      <c r="A46" s="132" t="s">
        <v>3476</v>
      </c>
      <c r="B46" s="235" t="s">
        <v>411</v>
      </c>
      <c r="D46" s="127">
        <v>37</v>
      </c>
      <c r="E46" s="130" t="s">
        <v>3683</v>
      </c>
      <c r="F46" s="64">
        <v>1</v>
      </c>
      <c r="G46" s="64" t="s">
        <v>4042</v>
      </c>
      <c r="H46" s="64"/>
      <c r="I46" s="64"/>
      <c r="J46" s="64"/>
      <c r="K46" s="64" t="s">
        <v>4156</v>
      </c>
      <c r="L46" s="211"/>
      <c r="M46" s="154" t="e">
        <f>VLOOKUP(Table221[[#This Row],[Data Element]],Lookups2!AM:AN,2,FALSE)</f>
        <v>#N/A</v>
      </c>
      <c r="N46" s="64"/>
      <c r="O46" s="64"/>
      <c r="P46" s="64"/>
      <c r="Q46" s="64"/>
      <c r="R46" s="64"/>
      <c r="S46" s="64" t="s">
        <v>387</v>
      </c>
      <c r="T46" s="64"/>
      <c r="U46" s="64"/>
      <c r="V46" s="64"/>
      <c r="W46" s="64"/>
      <c r="X46" s="64"/>
      <c r="Y46" s="72"/>
    </row>
    <row r="47" spans="1:25" x14ac:dyDescent="0.2">
      <c r="A47" s="132" t="s">
        <v>3477</v>
      </c>
      <c r="B47" s="236" t="s">
        <v>3703</v>
      </c>
      <c r="D47" s="209">
        <v>38</v>
      </c>
      <c r="E47" s="130" t="s">
        <v>3891</v>
      </c>
      <c r="F47" s="64">
        <v>1</v>
      </c>
      <c r="G47" s="64" t="s">
        <v>4005</v>
      </c>
      <c r="H47" s="64"/>
      <c r="I47" s="64"/>
      <c r="J47" s="64"/>
      <c r="K47" s="64" t="s">
        <v>4157</v>
      </c>
      <c r="L47" s="211"/>
      <c r="M47" s="154" t="e">
        <f>VLOOKUP(Table221[[#This Row],[Data Element]],Lookups2!AM:AN,2,FALSE)</f>
        <v>#N/A</v>
      </c>
      <c r="N47" s="64"/>
      <c r="O47" s="64"/>
      <c r="P47" s="64"/>
      <c r="Q47" s="64"/>
      <c r="R47" s="64"/>
      <c r="S47" s="64" t="s">
        <v>387</v>
      </c>
      <c r="T47" s="64"/>
      <c r="U47" s="64"/>
      <c r="V47" s="64"/>
      <c r="W47" s="64"/>
      <c r="X47" s="64"/>
      <c r="Y47" s="72"/>
    </row>
    <row r="48" spans="1:25" x14ac:dyDescent="0.2">
      <c r="A48" s="133" t="s">
        <v>3478</v>
      </c>
      <c r="B48" s="237" t="s">
        <v>411</v>
      </c>
      <c r="D48" s="127">
        <v>39</v>
      </c>
      <c r="E48" s="130" t="s">
        <v>4043</v>
      </c>
      <c r="F48" s="64">
        <v>1</v>
      </c>
      <c r="G48" s="64" t="s">
        <v>4007</v>
      </c>
      <c r="H48" s="64"/>
      <c r="I48" s="64"/>
      <c r="J48" s="64"/>
      <c r="K48" s="64" t="s">
        <v>4158</v>
      </c>
      <c r="L48" s="211"/>
      <c r="M48" s="154" t="e">
        <f>VLOOKUP(Table221[[#This Row],[Data Element]],Lookups2!AM:AN,2,FALSE)</f>
        <v>#N/A</v>
      </c>
      <c r="N48" s="64"/>
      <c r="O48" s="64"/>
      <c r="P48" s="64"/>
      <c r="Q48" s="64"/>
      <c r="R48" s="64"/>
      <c r="S48" s="64" t="s">
        <v>387</v>
      </c>
      <c r="T48" s="64"/>
      <c r="U48" s="64"/>
      <c r="V48" s="64"/>
      <c r="W48" s="64"/>
      <c r="X48" s="64"/>
      <c r="Y48" s="72"/>
    </row>
    <row r="49" spans="1:25" x14ac:dyDescent="0.2">
      <c r="A49" s="133" t="s">
        <v>3479</v>
      </c>
      <c r="B49" s="236" t="s">
        <v>3703</v>
      </c>
      <c r="D49" s="209">
        <v>40</v>
      </c>
      <c r="E49" s="130" t="s">
        <v>4044</v>
      </c>
      <c r="F49" s="64">
        <v>1</v>
      </c>
      <c r="G49" s="64" t="s">
        <v>4005</v>
      </c>
      <c r="H49" s="64"/>
      <c r="I49" s="64"/>
      <c r="J49" s="64"/>
      <c r="K49" s="64" t="s">
        <v>4159</v>
      </c>
      <c r="L49" s="211"/>
      <c r="M49" s="154" t="e">
        <f>VLOOKUP(Table221[[#This Row],[Data Element]],Lookups2!AM:AN,2,FALSE)</f>
        <v>#N/A</v>
      </c>
      <c r="N49" s="64"/>
      <c r="O49" s="64"/>
      <c r="P49" s="64"/>
      <c r="Q49" s="64"/>
      <c r="R49" s="64"/>
      <c r="S49" s="64" t="s">
        <v>387</v>
      </c>
      <c r="T49" s="64"/>
      <c r="U49" s="64"/>
      <c r="V49" s="64"/>
      <c r="W49" s="64"/>
      <c r="X49" s="64"/>
      <c r="Y49" s="72"/>
    </row>
    <row r="50" spans="1:25" x14ac:dyDescent="0.2">
      <c r="A50" s="44" t="s">
        <v>3480</v>
      </c>
      <c r="B50" s="238">
        <f>'1.Data Source'!B55</f>
        <v>0</v>
      </c>
      <c r="D50" s="127">
        <v>41</v>
      </c>
      <c r="E50" s="130" t="s">
        <v>4045</v>
      </c>
      <c r="F50" s="64">
        <v>1</v>
      </c>
      <c r="G50" s="64" t="s">
        <v>4042</v>
      </c>
      <c r="H50" s="64"/>
      <c r="I50" s="64" t="s">
        <v>3875</v>
      </c>
      <c r="J50" s="64"/>
      <c r="K50" s="64" t="s">
        <v>4160</v>
      </c>
      <c r="L50" s="211"/>
      <c r="M50" s="154" t="e">
        <f>VLOOKUP(Table221[[#This Row],[Data Element]],Lookups2!AM:AN,2,FALSE)</f>
        <v>#N/A</v>
      </c>
      <c r="N50" s="64"/>
      <c r="O50" s="64"/>
      <c r="P50" s="64"/>
      <c r="Q50" s="64"/>
      <c r="R50" s="64"/>
      <c r="S50" s="64" t="s">
        <v>387</v>
      </c>
      <c r="T50" s="64"/>
      <c r="U50" s="64"/>
      <c r="V50" s="64"/>
      <c r="W50" s="64"/>
      <c r="X50" s="64"/>
      <c r="Y50" s="72"/>
    </row>
    <row r="51" spans="1:25" ht="12.75" customHeight="1" x14ac:dyDescent="0.2">
      <c r="A51" s="192" t="s">
        <v>3481</v>
      </c>
      <c r="B51" s="359" t="s">
        <v>3986</v>
      </c>
      <c r="D51" s="209">
        <v>42</v>
      </c>
      <c r="E51" s="130" t="s">
        <v>4046</v>
      </c>
      <c r="F51" s="64">
        <v>1</v>
      </c>
      <c r="G51" s="64" t="s">
        <v>4005</v>
      </c>
      <c r="H51" s="64"/>
      <c r="I51" s="64"/>
      <c r="J51" s="64"/>
      <c r="K51" s="64" t="s">
        <v>4161</v>
      </c>
      <c r="L51" s="211"/>
      <c r="M51" s="154" t="e">
        <f>VLOOKUP(Table221[[#This Row],[Data Element]],Lookups2!AM:AN,2,FALSE)</f>
        <v>#N/A</v>
      </c>
      <c r="N51" s="64"/>
      <c r="O51" s="64"/>
      <c r="P51" s="64"/>
      <c r="Q51" s="64"/>
      <c r="R51" s="64"/>
      <c r="S51" s="64" t="s">
        <v>387</v>
      </c>
      <c r="T51" s="64"/>
      <c r="U51" s="64"/>
      <c r="V51" s="64"/>
      <c r="W51" s="64"/>
      <c r="X51" s="64"/>
      <c r="Y51" s="72"/>
    </row>
    <row r="52" spans="1:25" x14ac:dyDescent="0.2">
      <c r="A52" s="81"/>
      <c r="B52" s="360"/>
      <c r="D52" s="127">
        <v>43</v>
      </c>
      <c r="E52" s="130" t="s">
        <v>4047</v>
      </c>
      <c r="F52" s="64">
        <v>1</v>
      </c>
      <c r="G52" s="64" t="s">
        <v>4005</v>
      </c>
      <c r="H52" s="64"/>
      <c r="I52" s="64"/>
      <c r="J52" s="64"/>
      <c r="K52" s="64" t="s">
        <v>4162</v>
      </c>
      <c r="L52" s="211"/>
      <c r="M52" s="154" t="e">
        <f>VLOOKUP(Table221[[#This Row],[Data Element]],Lookups2!AM:AN,2,FALSE)</f>
        <v>#N/A</v>
      </c>
      <c r="N52" s="64"/>
      <c r="O52" s="64"/>
      <c r="P52" s="64"/>
      <c r="Q52" s="64"/>
      <c r="R52" s="64"/>
      <c r="S52" s="64" t="s">
        <v>387</v>
      </c>
      <c r="T52" s="64"/>
      <c r="U52" s="64"/>
      <c r="V52" s="64"/>
      <c r="W52" s="64"/>
      <c r="X52" s="64"/>
      <c r="Y52" s="72"/>
    </row>
    <row r="53" spans="1:25" x14ac:dyDescent="0.2">
      <c r="A53" s="81"/>
      <c r="B53" s="360"/>
      <c r="D53" s="209">
        <v>44</v>
      </c>
      <c r="E53" s="130" t="s">
        <v>4048</v>
      </c>
      <c r="F53" s="64">
        <v>1</v>
      </c>
      <c r="G53" s="64" t="s">
        <v>4005</v>
      </c>
      <c r="H53" s="64"/>
      <c r="I53" s="64"/>
      <c r="J53" s="64"/>
      <c r="K53" s="64" t="s">
        <v>4163</v>
      </c>
      <c r="L53" s="211"/>
      <c r="M53" s="154" t="e">
        <f>VLOOKUP(Table221[[#This Row],[Data Element]],Lookups2!AM:AN,2,FALSE)</f>
        <v>#N/A</v>
      </c>
      <c r="N53" s="64"/>
      <c r="O53" s="64"/>
      <c r="P53" s="64"/>
      <c r="Q53" s="64"/>
      <c r="R53" s="64"/>
      <c r="S53" s="64" t="s">
        <v>387</v>
      </c>
      <c r="T53" s="64"/>
      <c r="U53" s="64"/>
      <c r="V53" s="64"/>
      <c r="W53" s="64"/>
      <c r="X53" s="64"/>
      <c r="Y53" s="72"/>
    </row>
    <row r="54" spans="1:25" x14ac:dyDescent="0.2">
      <c r="A54" s="81"/>
      <c r="B54" s="360"/>
      <c r="D54" s="127">
        <v>45</v>
      </c>
      <c r="E54" s="130" t="s">
        <v>4049</v>
      </c>
      <c r="F54" s="64">
        <v>1</v>
      </c>
      <c r="G54" s="64" t="s">
        <v>4005</v>
      </c>
      <c r="H54" s="64"/>
      <c r="I54" s="64"/>
      <c r="J54" s="64"/>
      <c r="K54" s="64" t="s">
        <v>4164</v>
      </c>
      <c r="L54" s="211"/>
      <c r="M54" s="154" t="e">
        <f>VLOOKUP(Table221[[#This Row],[Data Element]],Lookups2!AM:AN,2,FALSE)</f>
        <v>#N/A</v>
      </c>
      <c r="N54" s="64"/>
      <c r="O54" s="64"/>
      <c r="P54" s="64"/>
      <c r="Q54" s="64"/>
      <c r="R54" s="64"/>
      <c r="S54" s="64" t="s">
        <v>387</v>
      </c>
      <c r="T54" s="64"/>
      <c r="U54" s="64"/>
      <c r="V54" s="64"/>
      <c r="W54" s="64"/>
      <c r="X54" s="64"/>
      <c r="Y54" s="72"/>
    </row>
    <row r="55" spans="1:25" x14ac:dyDescent="0.2">
      <c r="A55" s="81"/>
      <c r="B55" s="360"/>
      <c r="D55" s="209">
        <v>46</v>
      </c>
      <c r="E55" s="130" t="s">
        <v>4050</v>
      </c>
      <c r="F55" s="64">
        <v>1</v>
      </c>
      <c r="G55" s="64" t="s">
        <v>4005</v>
      </c>
      <c r="H55" s="64"/>
      <c r="I55" s="64"/>
      <c r="J55" s="64"/>
      <c r="K55" s="64" t="s">
        <v>4165</v>
      </c>
      <c r="L55" s="211"/>
      <c r="M55" s="154" t="e">
        <f>VLOOKUP(Table221[[#This Row],[Data Element]],Lookups2!AM:AN,2,FALSE)</f>
        <v>#N/A</v>
      </c>
      <c r="N55" s="64"/>
      <c r="O55" s="64"/>
      <c r="P55" s="64"/>
      <c r="Q55" s="64"/>
      <c r="R55" s="64"/>
      <c r="S55" s="64" t="s">
        <v>387</v>
      </c>
      <c r="T55" s="64"/>
      <c r="U55" s="64"/>
      <c r="V55" s="64"/>
      <c r="W55" s="64"/>
      <c r="X55" s="64"/>
      <c r="Y55" s="72"/>
    </row>
    <row r="56" spans="1:25" x14ac:dyDescent="0.2">
      <c r="A56" s="81"/>
      <c r="B56" s="360"/>
      <c r="D56" s="127">
        <v>47</v>
      </c>
      <c r="E56" s="130" t="s">
        <v>4051</v>
      </c>
      <c r="F56" s="64">
        <v>1</v>
      </c>
      <c r="G56" s="64" t="s">
        <v>4005</v>
      </c>
      <c r="H56" s="64"/>
      <c r="I56" s="64"/>
      <c r="J56" s="64"/>
      <c r="K56" s="64" t="s">
        <v>4166</v>
      </c>
      <c r="L56" s="211"/>
      <c r="M56" s="154" t="e">
        <f>VLOOKUP(Table221[[#This Row],[Data Element]],Lookups2!AM:AN,2,FALSE)</f>
        <v>#N/A</v>
      </c>
      <c r="N56" s="64"/>
      <c r="O56" s="64"/>
      <c r="P56" s="64"/>
      <c r="Q56" s="64"/>
      <c r="R56" s="64"/>
      <c r="S56" s="64" t="s">
        <v>387</v>
      </c>
      <c r="T56" s="64"/>
      <c r="U56" s="64"/>
      <c r="V56" s="64"/>
      <c r="W56" s="64"/>
      <c r="X56" s="64"/>
      <c r="Y56" s="72"/>
    </row>
    <row r="57" spans="1:25" x14ac:dyDescent="0.2">
      <c r="A57" s="81"/>
      <c r="B57" s="360"/>
      <c r="D57" s="209">
        <v>48</v>
      </c>
      <c r="E57" s="130" t="s">
        <v>4052</v>
      </c>
      <c r="F57" s="64">
        <v>1</v>
      </c>
      <c r="G57" s="64" t="s">
        <v>4007</v>
      </c>
      <c r="H57" s="64"/>
      <c r="I57" s="64"/>
      <c r="J57" s="64"/>
      <c r="K57" s="64" t="s">
        <v>4167</v>
      </c>
      <c r="L57" s="211"/>
      <c r="M57" s="154" t="e">
        <f>VLOOKUP(Table221[[#This Row],[Data Element]],Lookups2!AM:AN,2,FALSE)</f>
        <v>#N/A</v>
      </c>
      <c r="N57" s="64"/>
      <c r="O57" s="64"/>
      <c r="P57" s="64"/>
      <c r="Q57" s="64"/>
      <c r="R57" s="64"/>
      <c r="S57" s="64" t="s">
        <v>387</v>
      </c>
      <c r="T57" s="64"/>
      <c r="U57" s="64"/>
      <c r="V57" s="64"/>
      <c r="W57" s="64"/>
      <c r="X57" s="64"/>
      <c r="Y57" s="72"/>
    </row>
    <row r="58" spans="1:25" x14ac:dyDescent="0.2">
      <c r="A58" s="82"/>
      <c r="B58" s="361"/>
      <c r="D58" s="127">
        <v>49</v>
      </c>
      <c r="E58" s="130" t="s">
        <v>4053</v>
      </c>
      <c r="F58" s="64">
        <v>1</v>
      </c>
      <c r="G58" s="64" t="s">
        <v>4007</v>
      </c>
      <c r="H58" s="64"/>
      <c r="I58" s="64"/>
      <c r="J58" s="64"/>
      <c r="K58" s="64" t="s">
        <v>4168</v>
      </c>
      <c r="L58" s="211"/>
      <c r="M58" s="154" t="e">
        <f>VLOOKUP(Table221[[#This Row],[Data Element]],Lookups2!AM:AN,2,FALSE)</f>
        <v>#N/A</v>
      </c>
      <c r="N58" s="64"/>
      <c r="O58" s="64"/>
      <c r="P58" s="64"/>
      <c r="Q58" s="64"/>
      <c r="R58" s="64"/>
      <c r="S58" s="64" t="s">
        <v>387</v>
      </c>
      <c r="T58" s="64"/>
      <c r="U58" s="64"/>
      <c r="V58" s="64"/>
      <c r="W58" s="64"/>
      <c r="X58" s="64"/>
      <c r="Y58" s="72"/>
    </row>
    <row r="59" spans="1:25" x14ac:dyDescent="0.2">
      <c r="D59" s="209">
        <v>50</v>
      </c>
      <c r="E59" s="130" t="s">
        <v>4054</v>
      </c>
      <c r="F59" s="64">
        <v>1</v>
      </c>
      <c r="G59" s="64" t="s">
        <v>4016</v>
      </c>
      <c r="H59" s="64"/>
      <c r="I59" s="64"/>
      <c r="J59" s="64"/>
      <c r="K59" s="64" t="s">
        <v>4169</v>
      </c>
      <c r="L59" s="211"/>
      <c r="M59" s="154" t="e">
        <f>VLOOKUP(Table221[[#This Row],[Data Element]],Lookups2!AM:AN,2,FALSE)</f>
        <v>#N/A</v>
      </c>
      <c r="N59" s="64"/>
      <c r="O59" s="64"/>
      <c r="P59" s="64"/>
      <c r="Q59" s="64"/>
      <c r="R59" s="64"/>
      <c r="S59" s="64" t="s">
        <v>387</v>
      </c>
      <c r="T59" s="64"/>
      <c r="U59" s="64"/>
      <c r="V59" s="64"/>
      <c r="W59" s="64"/>
      <c r="X59" s="64"/>
      <c r="Y59" s="72"/>
    </row>
    <row r="60" spans="1:25" x14ac:dyDescent="0.2">
      <c r="A60" s="65" t="s">
        <v>3482</v>
      </c>
      <c r="B60" s="69"/>
      <c r="D60" s="127">
        <v>51</v>
      </c>
      <c r="E60" s="130" t="s">
        <v>4055</v>
      </c>
      <c r="F60" s="64">
        <v>1</v>
      </c>
      <c r="G60" s="64" t="s">
        <v>4007</v>
      </c>
      <c r="H60" s="64"/>
      <c r="I60" s="64"/>
      <c r="J60" s="64"/>
      <c r="K60" s="64" t="s">
        <v>4170</v>
      </c>
      <c r="L60" s="211"/>
      <c r="M60" s="154" t="e">
        <f>VLOOKUP(Table221[[#This Row],[Data Element]],Lookups2!AM:AN,2,FALSE)</f>
        <v>#N/A</v>
      </c>
      <c r="N60" s="64"/>
      <c r="O60" s="64"/>
      <c r="P60" s="64"/>
      <c r="Q60" s="64"/>
      <c r="R60" s="64"/>
      <c r="S60" s="64" t="s">
        <v>387</v>
      </c>
      <c r="T60" s="64"/>
      <c r="U60" s="64"/>
      <c r="V60" s="64"/>
      <c r="W60" s="64"/>
      <c r="X60" s="64"/>
      <c r="Y60" s="72"/>
    </row>
    <row r="61" spans="1:25" x14ac:dyDescent="0.2">
      <c r="A61" s="61" t="s">
        <v>3483</v>
      </c>
      <c r="B61" s="23"/>
      <c r="D61" s="209">
        <v>52</v>
      </c>
      <c r="E61" s="130" t="s">
        <v>4056</v>
      </c>
      <c r="F61" s="64">
        <v>1</v>
      </c>
      <c r="G61" s="64" t="s">
        <v>4016</v>
      </c>
      <c r="H61" s="64"/>
      <c r="I61" s="64"/>
      <c r="J61" s="64"/>
      <c r="K61" s="64" t="s">
        <v>4171</v>
      </c>
      <c r="L61" s="211"/>
      <c r="M61" s="154" t="e">
        <f>VLOOKUP(Table221[[#This Row],[Data Element]],Lookups2!AM:AN,2,FALSE)</f>
        <v>#N/A</v>
      </c>
      <c r="N61" s="64"/>
      <c r="O61" s="64"/>
      <c r="P61" s="64"/>
      <c r="Q61" s="64"/>
      <c r="R61" s="64"/>
      <c r="S61" s="64" t="s">
        <v>387</v>
      </c>
      <c r="T61" s="64"/>
      <c r="U61" s="64"/>
      <c r="V61" s="64"/>
      <c r="W61" s="64"/>
      <c r="X61" s="64"/>
      <c r="Y61" s="72"/>
    </row>
    <row r="62" spans="1:25" x14ac:dyDescent="0.2">
      <c r="D62" s="127">
        <v>53</v>
      </c>
      <c r="E62" s="130" t="s">
        <v>4057</v>
      </c>
      <c r="F62" s="64">
        <v>1</v>
      </c>
      <c r="G62" s="64" t="s">
        <v>4005</v>
      </c>
      <c r="H62" s="64"/>
      <c r="I62" s="64"/>
      <c r="J62" s="64"/>
      <c r="K62" s="64" t="s">
        <v>4172</v>
      </c>
      <c r="L62" s="211"/>
      <c r="M62" s="154" t="e">
        <f>VLOOKUP(Table221[[#This Row],[Data Element]],Lookups2!AM:AN,2,FALSE)</f>
        <v>#N/A</v>
      </c>
      <c r="N62" s="64"/>
      <c r="O62" s="64"/>
      <c r="P62" s="64"/>
      <c r="Q62" s="64"/>
      <c r="R62" s="64"/>
      <c r="S62" s="64" t="s">
        <v>387</v>
      </c>
      <c r="T62" s="64"/>
      <c r="U62" s="64"/>
      <c r="V62" s="64"/>
      <c r="W62" s="64"/>
      <c r="X62" s="64"/>
      <c r="Y62" s="72"/>
    </row>
    <row r="63" spans="1:25" x14ac:dyDescent="0.2">
      <c r="A63" s="250" t="s">
        <v>3484</v>
      </c>
      <c r="B63" s="251"/>
      <c r="D63" s="209">
        <v>54</v>
      </c>
      <c r="E63" s="130" t="s">
        <v>4058</v>
      </c>
      <c r="F63" s="64">
        <v>1</v>
      </c>
      <c r="G63" s="64" t="s">
        <v>4005</v>
      </c>
      <c r="H63" s="64"/>
      <c r="I63" s="64"/>
      <c r="J63" s="64"/>
      <c r="K63" s="64" t="s">
        <v>4173</v>
      </c>
      <c r="L63" s="211"/>
      <c r="M63" s="154" t="e">
        <f>VLOOKUP(Table221[[#This Row],[Data Element]],Lookups2!AM:AN,2,FALSE)</f>
        <v>#N/A</v>
      </c>
      <c r="N63" s="64"/>
      <c r="O63" s="64"/>
      <c r="P63" s="64"/>
      <c r="Q63" s="64"/>
      <c r="R63" s="64"/>
      <c r="S63" s="64" t="s">
        <v>387</v>
      </c>
      <c r="T63" s="64"/>
      <c r="U63" s="64"/>
      <c r="V63" s="64"/>
      <c r="W63" s="64"/>
      <c r="X63" s="64"/>
      <c r="Y63" s="72"/>
    </row>
    <row r="64" spans="1:25" x14ac:dyDescent="0.2">
      <c r="A64" s="197" t="s">
        <v>3475</v>
      </c>
      <c r="B64" s="91"/>
      <c r="D64" s="127">
        <v>55</v>
      </c>
      <c r="E64" s="130" t="s">
        <v>4059</v>
      </c>
      <c r="F64" s="64">
        <v>1</v>
      </c>
      <c r="G64" s="64" t="s">
        <v>4005</v>
      </c>
      <c r="H64" s="64"/>
      <c r="I64" s="64"/>
      <c r="J64" s="64"/>
      <c r="K64" s="64" t="s">
        <v>4174</v>
      </c>
      <c r="L64" s="211"/>
      <c r="M64" s="154" t="e">
        <f>VLOOKUP(Table221[[#This Row],[Data Element]],Lookups2!AM:AN,2,FALSE)</f>
        <v>#N/A</v>
      </c>
      <c r="N64" s="64"/>
      <c r="O64" s="64"/>
      <c r="P64" s="64"/>
      <c r="Q64" s="64"/>
      <c r="R64" s="64"/>
      <c r="S64" s="64" t="s">
        <v>387</v>
      </c>
      <c r="T64" s="64"/>
      <c r="U64" s="64"/>
      <c r="V64" s="64"/>
      <c r="W64" s="64"/>
      <c r="X64" s="64"/>
      <c r="Y64" s="72"/>
    </row>
    <row r="65" spans="1:25" x14ac:dyDescent="0.2">
      <c r="A65" s="198" t="s">
        <v>3476</v>
      </c>
      <c r="B65" s="92"/>
      <c r="D65" s="209">
        <v>56</v>
      </c>
      <c r="E65" s="130" t="s">
        <v>4060</v>
      </c>
      <c r="F65" s="64">
        <v>1</v>
      </c>
      <c r="G65" s="64" t="s">
        <v>4016</v>
      </c>
      <c r="H65" s="64"/>
      <c r="I65" s="64"/>
      <c r="J65" s="64"/>
      <c r="K65" s="64" t="s">
        <v>4175</v>
      </c>
      <c r="L65" s="211"/>
      <c r="M65" s="154" t="e">
        <f>VLOOKUP(Table221[[#This Row],[Data Element]],Lookups2!AM:AN,2,FALSE)</f>
        <v>#N/A</v>
      </c>
      <c r="N65" s="64"/>
      <c r="O65" s="64"/>
      <c r="P65" s="64"/>
      <c r="Q65" s="64"/>
      <c r="R65" s="64"/>
      <c r="S65" s="64" t="s">
        <v>387</v>
      </c>
      <c r="T65" s="64"/>
      <c r="U65" s="64"/>
      <c r="V65" s="64"/>
      <c r="W65" s="64"/>
      <c r="X65" s="64"/>
      <c r="Y65" s="72"/>
    </row>
    <row r="66" spans="1:25" x14ac:dyDescent="0.2">
      <c r="A66" s="198" t="s">
        <v>3477</v>
      </c>
      <c r="B66" s="55"/>
      <c r="D66" s="127">
        <v>57</v>
      </c>
      <c r="E66" s="130" t="s">
        <v>4061</v>
      </c>
      <c r="F66" s="64">
        <v>1</v>
      </c>
      <c r="G66" s="64" t="s">
        <v>4016</v>
      </c>
      <c r="H66" s="64"/>
      <c r="I66" s="64"/>
      <c r="J66" s="64"/>
      <c r="K66" s="64" t="s">
        <v>4176</v>
      </c>
      <c r="L66" s="211"/>
      <c r="M66" s="154" t="e">
        <f>VLOOKUP(Table221[[#This Row],[Data Element]],Lookups2!AM:AN,2,FALSE)</f>
        <v>#N/A</v>
      </c>
      <c r="N66" s="64"/>
      <c r="O66" s="64"/>
      <c r="P66" s="64"/>
      <c r="Q66" s="64"/>
      <c r="R66" s="64"/>
      <c r="S66" s="64" t="s">
        <v>387</v>
      </c>
      <c r="T66" s="64"/>
      <c r="U66" s="64"/>
      <c r="V66" s="64"/>
      <c r="W66" s="64"/>
      <c r="X66" s="64"/>
      <c r="Y66" s="72"/>
    </row>
    <row r="67" spans="1:25" ht="12.75" customHeight="1" x14ac:dyDescent="0.2">
      <c r="A67" s="107" t="s">
        <v>238</v>
      </c>
      <c r="B67" s="323" t="s">
        <v>4107</v>
      </c>
      <c r="D67" s="209">
        <v>58</v>
      </c>
      <c r="E67" s="130" t="s">
        <v>4062</v>
      </c>
      <c r="F67" s="64">
        <v>1</v>
      </c>
      <c r="G67" s="64" t="s">
        <v>4005</v>
      </c>
      <c r="H67" s="64"/>
      <c r="I67" s="64"/>
      <c r="J67" s="64"/>
      <c r="K67" s="64" t="s">
        <v>4177</v>
      </c>
      <c r="L67" s="211"/>
      <c r="M67" s="154" t="e">
        <f>VLOOKUP(Table221[[#This Row],[Data Element]],Lookups2!AM:AN,2,FALSE)</f>
        <v>#N/A</v>
      </c>
      <c r="N67" s="64"/>
      <c r="O67" s="64"/>
      <c r="P67" s="64"/>
      <c r="Q67" s="64"/>
      <c r="R67" s="64"/>
      <c r="S67" s="64" t="s">
        <v>387</v>
      </c>
      <c r="T67" s="64"/>
      <c r="U67" s="64"/>
      <c r="V67" s="64"/>
      <c r="W67" s="64"/>
      <c r="X67" s="64"/>
      <c r="Y67" s="72"/>
    </row>
    <row r="68" spans="1:25" x14ac:dyDescent="0.2">
      <c r="A68" s="81"/>
      <c r="B68" s="324"/>
      <c r="D68" s="127">
        <v>59</v>
      </c>
      <c r="E68" s="130" t="s">
        <v>4063</v>
      </c>
      <c r="F68" s="64">
        <v>1</v>
      </c>
      <c r="G68" s="64" t="s">
        <v>4007</v>
      </c>
      <c r="H68" s="64"/>
      <c r="I68" s="64"/>
      <c r="J68" s="64"/>
      <c r="K68" s="64" t="s">
        <v>4178</v>
      </c>
      <c r="L68" s="211"/>
      <c r="M68" s="154" t="e">
        <f>VLOOKUP(Table221[[#This Row],[Data Element]],Lookups2!AM:AN,2,FALSE)</f>
        <v>#N/A</v>
      </c>
      <c r="N68" s="64"/>
      <c r="O68" s="64"/>
      <c r="P68" s="64"/>
      <c r="Q68" s="64"/>
      <c r="R68" s="64"/>
      <c r="S68" s="64" t="s">
        <v>387</v>
      </c>
      <c r="T68" s="64"/>
      <c r="U68" s="64"/>
      <c r="V68" s="64"/>
      <c r="W68" s="64"/>
      <c r="X68" s="64"/>
      <c r="Y68" s="72"/>
    </row>
    <row r="69" spans="1:25" x14ac:dyDescent="0.2">
      <c r="A69" s="81"/>
      <c r="B69" s="324"/>
      <c r="D69" s="209">
        <v>60</v>
      </c>
      <c r="E69" s="130" t="s">
        <v>4064</v>
      </c>
      <c r="F69" s="64">
        <v>1</v>
      </c>
      <c r="G69" s="64" t="s">
        <v>4007</v>
      </c>
      <c r="H69" s="64"/>
      <c r="I69" s="64"/>
      <c r="J69" s="64"/>
      <c r="K69" s="64" t="s">
        <v>4179</v>
      </c>
      <c r="L69" s="211"/>
      <c r="M69" s="154" t="e">
        <f>VLOOKUP(Table221[[#This Row],[Data Element]],Lookups2!AM:AN,2,FALSE)</f>
        <v>#N/A</v>
      </c>
      <c r="N69" s="64"/>
      <c r="O69" s="64"/>
      <c r="P69" s="64"/>
      <c r="Q69" s="64"/>
      <c r="R69" s="64"/>
      <c r="S69" s="64" t="s">
        <v>387</v>
      </c>
      <c r="T69" s="64"/>
      <c r="U69" s="64"/>
      <c r="V69" s="64"/>
      <c r="W69" s="64"/>
      <c r="X69" s="64"/>
      <c r="Y69" s="72"/>
    </row>
    <row r="70" spans="1:25" x14ac:dyDescent="0.2">
      <c r="A70" s="81"/>
      <c r="B70" s="324"/>
      <c r="D70" s="127">
        <v>61</v>
      </c>
      <c r="E70" s="130" t="s">
        <v>4065</v>
      </c>
      <c r="F70" s="64">
        <v>1</v>
      </c>
      <c r="G70" s="64" t="s">
        <v>4005</v>
      </c>
      <c r="H70" s="64"/>
      <c r="I70" s="64"/>
      <c r="J70" s="64"/>
      <c r="K70" s="64" t="s">
        <v>4180</v>
      </c>
      <c r="L70" s="211"/>
      <c r="M70" s="154" t="e">
        <f>VLOOKUP(Table221[[#This Row],[Data Element]],Lookups2!AM:AN,2,FALSE)</f>
        <v>#N/A</v>
      </c>
      <c r="N70" s="64"/>
      <c r="O70" s="64"/>
      <c r="P70" s="64"/>
      <c r="Q70" s="64"/>
      <c r="R70" s="64"/>
      <c r="S70" s="64" t="s">
        <v>387</v>
      </c>
      <c r="T70" s="64"/>
      <c r="U70" s="64"/>
      <c r="V70" s="64"/>
      <c r="W70" s="64"/>
      <c r="X70" s="64"/>
      <c r="Y70" s="72"/>
    </row>
    <row r="71" spans="1:25" x14ac:dyDescent="0.2">
      <c r="A71" s="81"/>
      <c r="B71" s="324"/>
    </row>
    <row r="72" spans="1:25" x14ac:dyDescent="0.2">
      <c r="A72" s="81"/>
      <c r="B72" s="324"/>
    </row>
    <row r="73" spans="1:25" x14ac:dyDescent="0.2">
      <c r="A73" s="81"/>
      <c r="B73" s="324"/>
    </row>
    <row r="74" spans="1:25" x14ac:dyDescent="0.2">
      <c r="A74" s="82"/>
      <c r="B74" s="325"/>
    </row>
    <row r="76" spans="1:25" x14ac:dyDescent="0.2">
      <c r="A76" s="264" t="s">
        <v>3338</v>
      </c>
      <c r="B76" s="113"/>
    </row>
    <row r="77" spans="1:25" x14ac:dyDescent="0.2">
      <c r="A77" s="143" t="s">
        <v>3485</v>
      </c>
      <c r="B77" s="78"/>
    </row>
    <row r="78" spans="1:25" x14ac:dyDescent="0.2">
      <c r="A78" s="143" t="s">
        <v>3338</v>
      </c>
      <c r="B78" s="77"/>
    </row>
    <row r="79" spans="1:25" x14ac:dyDescent="0.2">
      <c r="A79" s="143" t="s">
        <v>3486</v>
      </c>
      <c r="B79" s="79"/>
    </row>
    <row r="80" spans="1:25"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K8:M8"/>
    <mergeCell ref="N8:R8"/>
    <mergeCell ref="V8:Y8"/>
    <mergeCell ref="B51:B58"/>
    <mergeCell ref="B67:B74"/>
    <mergeCell ref="B96:B103"/>
    <mergeCell ref="G2:I2"/>
    <mergeCell ref="A3:F3"/>
    <mergeCell ref="B4:F4"/>
    <mergeCell ref="B5:F5"/>
    <mergeCell ref="B6:F6"/>
    <mergeCell ref="G8:J8"/>
  </mergeCells>
  <conditionalFormatting sqref="B31">
    <cfRule type="cellIs" dxfId="331" priority="23" operator="equal">
      <formula>"?"</formula>
    </cfRule>
  </conditionalFormatting>
  <conditionalFormatting sqref="B66">
    <cfRule type="cellIs" dxfId="330" priority="17" operator="equal">
      <formula>"&lt;unk.&gt;"</formula>
    </cfRule>
  </conditionalFormatting>
  <conditionalFormatting sqref="B64">
    <cfRule type="cellIs" dxfId="329" priority="16" operator="equal">
      <formula>"&lt;unk.&gt;"</formula>
    </cfRule>
  </conditionalFormatting>
  <conditionalFormatting sqref="B65">
    <cfRule type="cellIs" dxfId="328" priority="15" operator="equal">
      <formula>"&lt;unk.&gt;"</formula>
    </cfRule>
  </conditionalFormatting>
  <conditionalFormatting sqref="B92:B93">
    <cfRule type="cellIs" dxfId="327" priority="14" operator="equal">
      <formula>"&lt;unk.&gt;"</formula>
    </cfRule>
  </conditionalFormatting>
  <conditionalFormatting sqref="B90">
    <cfRule type="cellIs" dxfId="326" priority="13" operator="equal">
      <formula>"&lt;unk.&gt;"</formula>
    </cfRule>
  </conditionalFormatting>
  <conditionalFormatting sqref="B91">
    <cfRule type="cellIs" dxfId="325" priority="12" operator="equal">
      <formula>"&lt;unk.&gt;"</formula>
    </cfRule>
  </conditionalFormatting>
  <conditionalFormatting sqref="B94">
    <cfRule type="cellIs" dxfId="324" priority="11" operator="equal">
      <formula>"&lt;unk.&gt;"</formula>
    </cfRule>
  </conditionalFormatting>
  <conditionalFormatting sqref="B95">
    <cfRule type="cellIs" dxfId="323" priority="10" operator="equal">
      <formula>"&lt;unk.&gt;"</formula>
    </cfRule>
  </conditionalFormatting>
  <conditionalFormatting sqref="B84:B87">
    <cfRule type="cellIs" dxfId="322" priority="9" operator="equal">
      <formula>"&lt;unk.&gt;"</formula>
    </cfRule>
  </conditionalFormatting>
  <conditionalFormatting sqref="B22:B26">
    <cfRule type="cellIs" dxfId="321" priority="8" operator="equal">
      <formula>"&lt;unk.&gt;"</formula>
    </cfRule>
  </conditionalFormatting>
  <conditionalFormatting sqref="B27">
    <cfRule type="cellIs" dxfId="320" priority="7" operator="equal">
      <formula>"&lt;unk.&gt;"</formula>
    </cfRule>
  </conditionalFormatting>
  <conditionalFormatting sqref="B30">
    <cfRule type="cellIs" dxfId="319" priority="6" operator="equal">
      <formula>"&lt;unk.&gt;"</formula>
    </cfRule>
  </conditionalFormatting>
  <conditionalFormatting sqref="B47:B48">
    <cfRule type="cellIs" dxfId="318" priority="5" operator="equal">
      <formula>"&lt;unk.&gt;"</formula>
    </cfRule>
  </conditionalFormatting>
  <conditionalFormatting sqref="B45">
    <cfRule type="cellIs" dxfId="317" priority="4" operator="equal">
      <formula>"&lt;unk.&gt;"</formula>
    </cfRule>
  </conditionalFormatting>
  <conditionalFormatting sqref="B46">
    <cfRule type="cellIs" dxfId="316" priority="3" operator="equal">
      <formula>"&lt;unk.&gt;"</formula>
    </cfRule>
  </conditionalFormatting>
  <conditionalFormatting sqref="B50">
    <cfRule type="cellIs" dxfId="315" priority="2" operator="equal">
      <formula>"&lt;unk.&gt;"</formula>
    </cfRule>
  </conditionalFormatting>
  <conditionalFormatting sqref="B49">
    <cfRule type="cellIs" dxfId="314" priority="1" operator="equal">
      <formula>"&lt;unk.&gt;"</formula>
    </cfRule>
  </conditionalFormatting>
  <dataValidations count="5">
    <dataValidation type="list" allowBlank="1" showInputMessage="1" showErrorMessage="1" sqref="B18" xr:uid="{00000000-0002-0000-1D00-000000000000}">
      <formula1>INDIRECT(SUBSTITUTE(SUBSTITUTE(SUBSTITUTE(B17," ","_"),"&amp;",""),"/",""))</formula1>
    </dataValidation>
    <dataValidation type="list" allowBlank="1" showInputMessage="1" showErrorMessage="1" sqref="B22:B26" xr:uid="{00000000-0002-0000-1D00-000001000000}">
      <formula1>LYesNo</formula1>
    </dataValidation>
    <dataValidation type="list" allowBlank="1" showInputMessage="1" showErrorMessage="1" sqref="Y10:Y70" xr:uid="{00000000-0002-0000-1D00-000002000000}">
      <formula1>INDIRECT($X10)</formula1>
    </dataValidation>
    <dataValidation type="list" allowBlank="1" showInputMessage="1" showErrorMessage="1" sqref="B90 B64 B45" xr:uid="{00000000-0002-0000-1D00-000003000000}">
      <formula1>LPeriods</formula1>
    </dataValidation>
    <dataValidation type="list" allowBlank="1" showInputMessage="1" showErrorMessage="1" sqref="B91 B93 B65 B46 B48" xr:uid="{00000000-0002-0000-1D00-000004000000}">
      <formula1>LCals</formula1>
    </dataValidation>
  </dataValidations>
  <hyperlinks>
    <hyperlink ref="B12" r:id="rId2" xr:uid="{00000000-0004-0000-1D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D00-000005000000}">
          <x14:formula1>
            <xm:f>Lookups2!$K$28:$K$46</xm:f>
          </x14:formula1>
          <xm:sqref>U10:U70</xm:sqref>
        </x14:dataValidation>
        <x14:dataValidation type="list" showInputMessage="1" showErrorMessage="1" xr:uid="{00000000-0002-0000-1D00-000006000000}">
          <x14:formula1>
            <xm:f>Lookups2!$AG$2:$AG$28</xm:f>
          </x14:formula1>
          <xm:sqref>B17</xm:sqref>
        </x14:dataValidation>
        <x14:dataValidation type="list" allowBlank="1" showInputMessage="1" showErrorMessage="1" xr:uid="{00000000-0002-0000-1D00-000007000000}">
          <x14:formula1>
            <xm:f>Lookups2!$C$8:$C$11</xm:f>
          </x14:formula1>
          <xm:sqref>B30</xm:sqref>
        </x14:dataValidation>
        <x14:dataValidation type="list" allowBlank="1" showInputMessage="1" showErrorMessage="1" xr:uid="{00000000-0002-0000-1D00-000008000000}">
          <x14:formula1>
            <xm:f>Lookups2!$Q$15:$Q$20</xm:f>
          </x14:formula1>
          <xm:sqref>G10:G70</xm:sqref>
        </x14:dataValidation>
        <x14:dataValidation type="list" allowBlank="1" showInputMessage="1" showErrorMessage="1" xr:uid="{00000000-0002-0000-1D00-000009000000}">
          <x14:formula1>
            <xm:f>Lookups2!$M$35:$M$36</xm:f>
          </x14:formula1>
          <xm:sqref>V10:V70 H10:H70</xm:sqref>
        </x14:dataValidation>
        <x14:dataValidation type="list" allowBlank="1" showInputMessage="1" showErrorMessage="1" xr:uid="{00000000-0002-0000-1D00-00000A000000}">
          <x14:formula1>
            <xm:f>EDOAlgo!$A$1:$R$1</xm:f>
          </x14:formula1>
          <xm:sqref>X10:X70</xm:sqref>
        </x14:dataValidation>
        <x14:dataValidation type="list" allowBlank="1" showInputMessage="1" showErrorMessage="1" xr:uid="{00000000-0002-0000-1D00-00000B000000}">
          <x14:formula1>
            <xm:f>Lookups2!$M$41:$M$45</xm:f>
          </x14:formula1>
          <xm:sqref>S10:S70</xm:sqref>
        </x14:dataValidation>
        <x14:dataValidation type="list" allowBlank="1" showInputMessage="1" showErrorMessage="1" xr:uid="{00000000-0002-0000-1D00-00000C000000}">
          <x14:formula1>
            <xm:f>INDIRECT(Lookups2!$K$9)</xm:f>
          </x14:formula1>
          <xm:sqref>T10:T70</xm:sqref>
        </x14:dataValidation>
        <x14:dataValidation type="list" allowBlank="1" showInputMessage="1" showErrorMessage="1" xr:uid="{00000000-0002-0000-1D00-00000D000000}">
          <x14:formula1>
            <xm:f>Lookups2!$C$40:$C$45</xm:f>
          </x14:formula1>
          <xm:sqref>B78</xm:sqref>
        </x14:dataValidation>
        <x14:dataValidation type="list" allowBlank="1" showInputMessage="1" showErrorMessage="1" xr:uid="{00000000-0002-0000-1D00-00000E000000}">
          <x14:formula1>
            <xm:f>Lookups2!$AC$2:$AC$3</xm:f>
          </x14:formula1>
          <xm:sqref>B14:B15</xm:sqref>
        </x14:dataValidation>
        <x14:dataValidation type="list" allowBlank="1" showInputMessage="1" showErrorMessage="1" xr:uid="{00000000-0002-0000-1D00-00000F000000}">
          <x14:formula1>
            <xm:f>Lookups2!$Y$8:$Y$10</xm:f>
          </x14:formula1>
          <xm:sqref>B33</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tabColor theme="4" tint="-0.499984740745262"/>
  </sheetPr>
  <dimension ref="A1:AA110"/>
  <sheetViews>
    <sheetView showGridLines="0" zoomScaleNormal="100" workbookViewId="0">
      <pane xSplit="6" ySplit="9" topLeftCell="G10" activePane="bottomRight" state="frozen"/>
      <selection pane="topRight" activeCell="G1" sqref="G1"/>
      <selection pane="bottomLeft" activeCell="A11" sqref="A11"/>
      <selection pane="bottomRight" activeCell="H19" sqref="H19"/>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index_bb_pr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c r="C4" s="293"/>
      <c r="D4" s="293"/>
      <c r="E4" s="293"/>
      <c r="F4" s="293"/>
      <c r="G4" s="259"/>
      <c r="H4" s="259"/>
      <c r="K4" s="201" t="s">
        <v>239</v>
      </c>
      <c r="L4" s="202" t="s">
        <v>3424</v>
      </c>
      <c r="M4" s="23" t="s">
        <v>3425</v>
      </c>
    </row>
    <row r="5" spans="1:26" ht="71.25" customHeight="1" x14ac:dyDescent="0.2">
      <c r="A5" s="151" t="s">
        <v>3426</v>
      </c>
      <c r="B5" s="371" t="s">
        <v>4066</v>
      </c>
      <c r="C5" s="372"/>
      <c r="D5" s="372"/>
      <c r="E5" s="372"/>
      <c r="F5" s="373"/>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24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64">
        <v>1</v>
      </c>
      <c r="E10" s="64" t="s">
        <v>4067</v>
      </c>
      <c r="F10" s="64">
        <v>1</v>
      </c>
      <c r="G10" s="64" t="s">
        <v>259</v>
      </c>
      <c r="H10" s="64"/>
      <c r="I10" s="64"/>
      <c r="J10" s="64"/>
      <c r="K10" s="64"/>
      <c r="L10" s="23"/>
      <c r="M10" s="154" t="e">
        <f>VLOOKUP(Table222[[#This Row],[Data Element]],Lookups2!AM:AN,2,FALSE)</f>
        <v>#N/A</v>
      </c>
      <c r="N10" s="64"/>
      <c r="O10" s="64"/>
      <c r="P10" s="64"/>
      <c r="Q10" s="64"/>
      <c r="R10" s="64"/>
      <c r="S10" s="64" t="s">
        <v>387</v>
      </c>
      <c r="T10" s="64"/>
      <c r="U10" s="64"/>
      <c r="V10" s="64" t="s">
        <v>662</v>
      </c>
      <c r="W10" s="64"/>
      <c r="X10" s="64"/>
      <c r="Y10" s="72"/>
      <c r="Z10" s="26"/>
    </row>
    <row r="11" spans="1:26" x14ac:dyDescent="0.2">
      <c r="A11" s="148" t="s">
        <v>153</v>
      </c>
      <c r="B11" s="23" t="s">
        <v>3395</v>
      </c>
      <c r="D11" s="64">
        <v>2</v>
      </c>
      <c r="E11" s="64" t="s">
        <v>3941</v>
      </c>
      <c r="F11" s="64">
        <v>1</v>
      </c>
      <c r="G11" s="64" t="s">
        <v>487</v>
      </c>
      <c r="H11" s="64"/>
      <c r="I11" s="64"/>
      <c r="J11" s="64"/>
      <c r="K11" s="64"/>
      <c r="L11" s="211"/>
      <c r="M11" s="154" t="e">
        <f>VLOOKUP(Table222[[#This Row],[Data Element]],Lookups2!AM:AN,2,FALSE)</f>
        <v>#N/A</v>
      </c>
      <c r="N11" s="64"/>
      <c r="O11" s="64"/>
      <c r="P11" s="64"/>
      <c r="Q11" s="64"/>
      <c r="R11" s="64"/>
      <c r="S11" s="64" t="s">
        <v>387</v>
      </c>
      <c r="T11" s="64"/>
      <c r="U11" s="64"/>
      <c r="V11" s="64" t="s">
        <v>662</v>
      </c>
      <c r="W11" s="64"/>
      <c r="X11" s="64"/>
      <c r="Y11" s="72"/>
      <c r="Z11" s="26"/>
    </row>
    <row r="12" spans="1:26" x14ac:dyDescent="0.2">
      <c r="A12" s="194" t="s">
        <v>3454</v>
      </c>
      <c r="B12" s="23" t="s">
        <v>3396</v>
      </c>
      <c r="D12" s="64">
        <v>3</v>
      </c>
      <c r="E12" s="64" t="s">
        <v>3683</v>
      </c>
      <c r="F12" s="64">
        <v>1</v>
      </c>
      <c r="G12" s="64" t="s">
        <v>10</v>
      </c>
      <c r="H12" s="64"/>
      <c r="I12" s="64" t="s">
        <v>3684</v>
      </c>
      <c r="J12" s="64"/>
      <c r="K12" s="64"/>
      <c r="L12" s="211"/>
      <c r="M12" s="154" t="e">
        <f>VLOOKUP(Table222[[#This Row],[Data Element]],Lookups2!AM:AN,2,FALSE)</f>
        <v>#N/A</v>
      </c>
      <c r="N12" s="64"/>
      <c r="O12" s="64"/>
      <c r="P12" s="64"/>
      <c r="Q12" s="64"/>
      <c r="R12" s="64"/>
      <c r="S12" s="64" t="s">
        <v>387</v>
      </c>
      <c r="T12" s="64"/>
      <c r="U12" s="64"/>
      <c r="V12" s="64" t="s">
        <v>662</v>
      </c>
      <c r="W12" s="64"/>
      <c r="X12" s="64"/>
      <c r="Y12" s="72"/>
    </row>
    <row r="13" spans="1:26" x14ac:dyDescent="0.2">
      <c r="A13" s="195" t="s">
        <v>3455</v>
      </c>
      <c r="B13" s="232" t="s">
        <v>3974</v>
      </c>
    </row>
    <row r="14" spans="1:26" x14ac:dyDescent="0.2">
      <c r="A14" s="196" t="s">
        <v>234</v>
      </c>
      <c r="B14" s="116" t="s">
        <v>250</v>
      </c>
    </row>
    <row r="15" spans="1:26" x14ac:dyDescent="0.2">
      <c r="A15" s="149"/>
      <c r="B15" s="26"/>
    </row>
    <row r="16" spans="1:26" x14ac:dyDescent="0.2">
      <c r="A16" s="150" t="s">
        <v>3456</v>
      </c>
      <c r="B16" s="69"/>
    </row>
    <row r="17" spans="1:2" x14ac:dyDescent="0.2">
      <c r="A17" s="151" t="s">
        <v>3457</v>
      </c>
      <c r="B17" s="175" t="s">
        <v>476</v>
      </c>
    </row>
    <row r="18" spans="1:2" x14ac:dyDescent="0.2">
      <c r="A18" s="151" t="s">
        <v>3458</v>
      </c>
      <c r="B18" s="175"/>
    </row>
    <row r="19" spans="1:2" ht="78" customHeight="1" x14ac:dyDescent="0.2">
      <c r="A19" s="71" t="s">
        <v>238</v>
      </c>
      <c r="B19" s="182" t="e">
        <f>VLOOKUP(B18,Lookups2!AI:AJ,2,0)</f>
        <v>#N/A</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row>
    <row r="38" spans="1:2" x14ac:dyDescent="0.2">
      <c r="A38" s="136" t="s">
        <v>3470</v>
      </c>
      <c r="B38" s="68"/>
    </row>
    <row r="40" spans="1:2" x14ac:dyDescent="0.2">
      <c r="A40" s="65" t="s">
        <v>3471</v>
      </c>
      <c r="B40" s="66"/>
    </row>
    <row r="41" spans="1:2" x14ac:dyDescent="0.2">
      <c r="A41" s="152" t="s">
        <v>3472</v>
      </c>
      <c r="B41" s="64"/>
    </row>
    <row r="42" spans="1:2" x14ac:dyDescent="0.2">
      <c r="A42" s="152" t="s">
        <v>3473</v>
      </c>
      <c r="B42" s="64"/>
    </row>
    <row r="44" spans="1:2" x14ac:dyDescent="0.2">
      <c r="A44" s="250" t="s">
        <v>3474</v>
      </c>
      <c r="B44" s="251"/>
    </row>
    <row r="45" spans="1:2" x14ac:dyDescent="0.2">
      <c r="A45" s="131" t="s">
        <v>3475</v>
      </c>
      <c r="B45" s="234" t="s">
        <v>255</v>
      </c>
    </row>
    <row r="46" spans="1:2" x14ac:dyDescent="0.2">
      <c r="A46" s="132" t="s">
        <v>3476</v>
      </c>
      <c r="B46" s="235" t="s">
        <v>411</v>
      </c>
    </row>
    <row r="47" spans="1:2" x14ac:dyDescent="0.2">
      <c r="A47" s="132" t="s">
        <v>3477</v>
      </c>
      <c r="B47" s="236" t="s">
        <v>3703</v>
      </c>
    </row>
    <row r="48" spans="1:2" x14ac:dyDescent="0.2">
      <c r="A48" s="133" t="s">
        <v>3478</v>
      </c>
      <c r="B48" s="237" t="s">
        <v>411</v>
      </c>
    </row>
    <row r="49" spans="1:2" x14ac:dyDescent="0.2">
      <c r="A49" s="133" t="s">
        <v>3479</v>
      </c>
      <c r="B49" s="236" t="s">
        <v>3703</v>
      </c>
    </row>
    <row r="50" spans="1:2" x14ac:dyDescent="0.2">
      <c r="A50" s="44" t="s">
        <v>3480</v>
      </c>
      <c r="B50" s="238">
        <f>'1.Data Source'!B55</f>
        <v>0</v>
      </c>
    </row>
    <row r="51" spans="1:2" x14ac:dyDescent="0.2">
      <c r="A51" s="192" t="s">
        <v>3481</v>
      </c>
      <c r="B51" s="364" t="s">
        <v>3993</v>
      </c>
    </row>
    <row r="52" spans="1:2" x14ac:dyDescent="0.2">
      <c r="A52" s="81"/>
      <c r="B52" s="365"/>
    </row>
    <row r="53" spans="1:2" x14ac:dyDescent="0.2">
      <c r="A53" s="81"/>
      <c r="B53" s="365"/>
    </row>
    <row r="54" spans="1:2" x14ac:dyDescent="0.2">
      <c r="A54" s="81"/>
      <c r="B54" s="365"/>
    </row>
    <row r="55" spans="1:2" x14ac:dyDescent="0.2">
      <c r="A55" s="81"/>
      <c r="B55" s="365"/>
    </row>
    <row r="56" spans="1:2" x14ac:dyDescent="0.2">
      <c r="A56" s="81"/>
      <c r="B56" s="365"/>
    </row>
    <row r="57" spans="1:2" x14ac:dyDescent="0.2">
      <c r="A57" s="81"/>
      <c r="B57" s="365"/>
    </row>
    <row r="58" spans="1:2" x14ac:dyDescent="0.2">
      <c r="A58" s="82"/>
      <c r="B58" s="366"/>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t="s">
        <v>255</v>
      </c>
    </row>
    <row r="65" spans="1:2" x14ac:dyDescent="0.2">
      <c r="A65" s="198" t="s">
        <v>3476</v>
      </c>
      <c r="B65" s="92" t="s">
        <v>411</v>
      </c>
    </row>
    <row r="66" spans="1:2" x14ac:dyDescent="0.2">
      <c r="A66" s="198" t="s">
        <v>3477</v>
      </c>
      <c r="B66" s="55" t="s">
        <v>3688</v>
      </c>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K8:M8"/>
    <mergeCell ref="N8:R8"/>
    <mergeCell ref="V8:Y8"/>
    <mergeCell ref="B51:B58"/>
    <mergeCell ref="B67:B74"/>
    <mergeCell ref="B96:B103"/>
    <mergeCell ref="G2:I2"/>
    <mergeCell ref="A3:F3"/>
    <mergeCell ref="B4:F4"/>
    <mergeCell ref="B5:F5"/>
    <mergeCell ref="B6:F6"/>
    <mergeCell ref="G8:J8"/>
  </mergeCells>
  <conditionalFormatting sqref="B31">
    <cfRule type="cellIs" dxfId="285" priority="27" operator="equal">
      <formula>"?"</formula>
    </cfRule>
  </conditionalFormatting>
  <conditionalFormatting sqref="B92:B93">
    <cfRule type="cellIs" dxfId="284" priority="18" operator="equal">
      <formula>"&lt;unk.&gt;"</formula>
    </cfRule>
  </conditionalFormatting>
  <conditionalFormatting sqref="B90">
    <cfRule type="cellIs" dxfId="283" priority="17" operator="equal">
      <formula>"&lt;unk.&gt;"</formula>
    </cfRule>
  </conditionalFormatting>
  <conditionalFormatting sqref="B91">
    <cfRule type="cellIs" dxfId="282" priority="16" operator="equal">
      <formula>"&lt;unk.&gt;"</formula>
    </cfRule>
  </conditionalFormatting>
  <conditionalFormatting sqref="B94">
    <cfRule type="cellIs" dxfId="281" priority="15" operator="equal">
      <formula>"&lt;unk.&gt;"</formula>
    </cfRule>
  </conditionalFormatting>
  <conditionalFormatting sqref="B95">
    <cfRule type="cellIs" dxfId="280" priority="14" operator="equal">
      <formula>"&lt;unk.&gt;"</formula>
    </cfRule>
  </conditionalFormatting>
  <conditionalFormatting sqref="B84:B87">
    <cfRule type="cellIs" dxfId="279" priority="13" operator="equal">
      <formula>"&lt;unk.&gt;"</formula>
    </cfRule>
  </conditionalFormatting>
  <conditionalFormatting sqref="B22:B26">
    <cfRule type="cellIs" dxfId="278" priority="12" operator="equal">
      <formula>"&lt;unk.&gt;"</formula>
    </cfRule>
  </conditionalFormatting>
  <conditionalFormatting sqref="B27">
    <cfRule type="cellIs" dxfId="277" priority="11" operator="equal">
      <formula>"&lt;unk.&gt;"</formula>
    </cfRule>
  </conditionalFormatting>
  <conditionalFormatting sqref="B30">
    <cfRule type="cellIs" dxfId="276" priority="10" operator="equal">
      <formula>"&lt;unk.&gt;"</formula>
    </cfRule>
  </conditionalFormatting>
  <conditionalFormatting sqref="B47:B48">
    <cfRule type="cellIs" dxfId="275" priority="8" operator="equal">
      <formula>"&lt;unk.&gt;"</formula>
    </cfRule>
  </conditionalFormatting>
  <conditionalFormatting sqref="B45">
    <cfRule type="cellIs" dxfId="274" priority="7" operator="equal">
      <formula>"&lt;unk.&gt;"</formula>
    </cfRule>
  </conditionalFormatting>
  <conditionalFormatting sqref="B46">
    <cfRule type="cellIs" dxfId="273" priority="6" operator="equal">
      <formula>"&lt;unk.&gt;"</formula>
    </cfRule>
  </conditionalFormatting>
  <conditionalFormatting sqref="B50">
    <cfRule type="cellIs" dxfId="272" priority="5" operator="equal">
      <formula>"&lt;unk.&gt;"</formula>
    </cfRule>
  </conditionalFormatting>
  <conditionalFormatting sqref="B49">
    <cfRule type="cellIs" dxfId="271" priority="4" operator="equal">
      <formula>"&lt;unk.&gt;"</formula>
    </cfRule>
  </conditionalFormatting>
  <conditionalFormatting sqref="B64">
    <cfRule type="cellIs" dxfId="270" priority="3" operator="equal">
      <formula>"&lt;unk.&gt;"</formula>
    </cfRule>
  </conditionalFormatting>
  <conditionalFormatting sqref="B65">
    <cfRule type="cellIs" dxfId="269" priority="2" operator="equal">
      <formula>"&lt;unk.&gt;"</formula>
    </cfRule>
  </conditionalFormatting>
  <conditionalFormatting sqref="B66">
    <cfRule type="cellIs" dxfId="268" priority="1" operator="equal">
      <formula>"&lt;unk.&gt;"</formula>
    </cfRule>
  </conditionalFormatting>
  <dataValidations count="5">
    <dataValidation type="list" allowBlank="1" showInputMessage="1" showErrorMessage="1" sqref="B18" xr:uid="{00000000-0002-0000-1F00-000000000000}">
      <formula1>INDIRECT(SUBSTITUTE(SUBSTITUTE(SUBSTITUTE(B17," ","_"),"&amp;",""),"/",""))</formula1>
    </dataValidation>
    <dataValidation type="list" allowBlank="1" showInputMessage="1" showErrorMessage="1" sqref="B22:B26" xr:uid="{00000000-0002-0000-1F00-000001000000}">
      <formula1>LYesNo</formula1>
    </dataValidation>
    <dataValidation type="list" allowBlank="1" showInputMessage="1" showErrorMessage="1" sqref="Y10:Y12" xr:uid="{00000000-0002-0000-1F00-000002000000}">
      <formula1>INDIRECT($X10)</formula1>
    </dataValidation>
    <dataValidation type="list" allowBlank="1" showInputMessage="1" showErrorMessage="1" sqref="B90 B45 B64" xr:uid="{00000000-0002-0000-1F00-000003000000}">
      <formula1>LPeriods</formula1>
    </dataValidation>
    <dataValidation type="list" allowBlank="1" showInputMessage="1" showErrorMessage="1" sqref="B91 B93 B48 B46 B65" xr:uid="{00000000-0002-0000-1F00-000004000000}">
      <formula1>LCals</formula1>
    </dataValidation>
  </dataValidations>
  <hyperlinks>
    <hyperlink ref="B12" r:id="rId2" xr:uid="{00000000-0004-0000-1F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1F00-000005000000}">
          <x14:formula1>
            <xm:f>Lookups2!$K$28:$K$46</xm:f>
          </x14:formula1>
          <xm:sqref>U10:U12</xm:sqref>
        </x14:dataValidation>
        <x14:dataValidation type="list" showInputMessage="1" showErrorMessage="1" xr:uid="{00000000-0002-0000-1F00-000006000000}">
          <x14:formula1>
            <xm:f>Lookups2!$AG$2:$AG$28</xm:f>
          </x14:formula1>
          <xm:sqref>B17</xm:sqref>
        </x14:dataValidation>
        <x14:dataValidation type="list" allowBlank="1" showInputMessage="1" showErrorMessage="1" xr:uid="{00000000-0002-0000-1F00-000007000000}">
          <x14:formula1>
            <xm:f>Lookups2!$C$8:$C$11</xm:f>
          </x14:formula1>
          <xm:sqref>B30</xm:sqref>
        </x14:dataValidation>
        <x14:dataValidation type="list" allowBlank="1" showInputMessage="1" showErrorMessage="1" xr:uid="{00000000-0002-0000-1F00-000008000000}">
          <x14:formula1>
            <xm:f>Lookups2!$Q$15:$Q$20</xm:f>
          </x14:formula1>
          <xm:sqref>G10:G12</xm:sqref>
        </x14:dataValidation>
        <x14:dataValidation type="list" allowBlank="1" showInputMessage="1" showErrorMessage="1" xr:uid="{00000000-0002-0000-1F00-000009000000}">
          <x14:formula1>
            <xm:f>Lookups2!$M$35:$M$36</xm:f>
          </x14:formula1>
          <xm:sqref>H10:H12 V10:V12</xm:sqref>
        </x14:dataValidation>
        <x14:dataValidation type="list" allowBlank="1" showInputMessage="1" showErrorMessage="1" xr:uid="{00000000-0002-0000-1F00-00000A000000}">
          <x14:formula1>
            <xm:f>EDOAlgo!$A$1:$R$1</xm:f>
          </x14:formula1>
          <xm:sqref>X10:X12</xm:sqref>
        </x14:dataValidation>
        <x14:dataValidation type="list" allowBlank="1" showInputMessage="1" showErrorMessage="1" xr:uid="{00000000-0002-0000-1F00-00000B000000}">
          <x14:formula1>
            <xm:f>Lookups2!$M$41:$M$45</xm:f>
          </x14:formula1>
          <xm:sqref>S10:S12</xm:sqref>
        </x14:dataValidation>
        <x14:dataValidation type="list" allowBlank="1" showInputMessage="1" showErrorMessage="1" xr:uid="{00000000-0002-0000-1F00-00000C000000}">
          <x14:formula1>
            <xm:f>INDIRECT(Lookups2!$K$9)</xm:f>
          </x14:formula1>
          <xm:sqref>T10:T12</xm:sqref>
        </x14:dataValidation>
        <x14:dataValidation type="list" allowBlank="1" showInputMessage="1" showErrorMessage="1" xr:uid="{00000000-0002-0000-1F00-00000D000000}">
          <x14:formula1>
            <xm:f>Lookups2!$C$40:$C$45</xm:f>
          </x14:formula1>
          <xm:sqref>B78</xm:sqref>
        </x14:dataValidation>
        <x14:dataValidation type="list" allowBlank="1" showInputMessage="1" showErrorMessage="1" xr:uid="{00000000-0002-0000-1F00-00000E000000}">
          <x14:formula1>
            <xm:f>Lookups2!$AC$2:$AC$3</xm:f>
          </x14:formula1>
          <xm:sqref>B14:B15</xm:sqref>
        </x14:dataValidation>
        <x14:dataValidation type="list" allowBlank="1" showInputMessage="1" showErrorMessage="1" xr:uid="{00000000-0002-0000-1F00-00000F000000}">
          <x14:formula1>
            <xm:f>Lookups2!$Y$8:$Y$10</xm:f>
          </x14:formula1>
          <xm:sqref>B33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2">
    <tabColor theme="4" tint="-0.499984740745262"/>
  </sheetPr>
  <dimension ref="A1:AA110"/>
  <sheetViews>
    <sheetView showGridLines="0" zoomScaleNormal="100" workbookViewId="0">
      <pane xSplit="6" ySplit="9" topLeftCell="I10" activePane="bottomRight" state="frozen"/>
      <selection pane="topRight" activeCell="G1" sqref="G1"/>
      <selection pane="bottomLeft" activeCell="A11" sqref="A11"/>
      <selection pane="bottomRight" activeCell="I33" sqref="I33"/>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ma_cr_idx_pr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t="s">
        <v>3423</v>
      </c>
      <c r="C4" s="293"/>
      <c r="D4" s="293"/>
      <c r="E4" s="293"/>
      <c r="F4" s="293"/>
      <c r="G4" s="259"/>
      <c r="H4" s="259"/>
      <c r="K4" s="201" t="s">
        <v>239</v>
      </c>
      <c r="L4" s="202" t="s">
        <v>3424</v>
      </c>
      <c r="M4" s="23" t="s">
        <v>3425</v>
      </c>
    </row>
    <row r="5" spans="1:26" ht="71.25" customHeight="1" x14ac:dyDescent="0.2">
      <c r="A5" s="151" t="s">
        <v>3426</v>
      </c>
      <c r="B5" s="374" t="s">
        <v>4068</v>
      </c>
      <c r="C5" s="375"/>
      <c r="D5" s="375"/>
      <c r="E5" s="375"/>
      <c r="F5" s="376"/>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127">
        <v>1</v>
      </c>
      <c r="E10" s="127" t="s">
        <v>4069</v>
      </c>
      <c r="F10" s="64">
        <v>1</v>
      </c>
      <c r="G10" s="64" t="s">
        <v>259</v>
      </c>
      <c r="H10" s="64"/>
      <c r="I10" s="64"/>
      <c r="J10" s="64"/>
      <c r="K10" s="64" t="s">
        <v>4070</v>
      </c>
      <c r="L10" s="23"/>
      <c r="M10" s="154" t="e">
        <f>VLOOKUP(Table223[[#This Row],[Data Element]],Lookups2!AM:AN,2,FALSE)</f>
        <v>#N/A</v>
      </c>
      <c r="N10" s="64"/>
      <c r="O10" s="64"/>
      <c r="P10" s="64"/>
      <c r="Q10" s="64"/>
      <c r="R10" s="64"/>
      <c r="S10" s="64" t="s">
        <v>387</v>
      </c>
      <c r="T10" s="64"/>
      <c r="U10" s="64"/>
      <c r="V10" s="64" t="s">
        <v>662</v>
      </c>
      <c r="W10" s="64"/>
      <c r="X10" s="64"/>
      <c r="Y10" s="72"/>
      <c r="Z10" s="26"/>
    </row>
    <row r="11" spans="1:26" x14ac:dyDescent="0.2">
      <c r="A11" s="148" t="s">
        <v>153</v>
      </c>
      <c r="B11" s="23" t="s">
        <v>3398</v>
      </c>
      <c r="D11" s="209">
        <v>2</v>
      </c>
      <c r="E11" s="209" t="s">
        <v>4071</v>
      </c>
      <c r="F11" s="64">
        <v>1</v>
      </c>
      <c r="G11" s="64" t="s">
        <v>259</v>
      </c>
      <c r="H11" s="64"/>
      <c r="I11" s="64"/>
      <c r="J11" s="64"/>
      <c r="K11" s="64" t="s">
        <v>4072</v>
      </c>
      <c r="L11" s="211"/>
      <c r="M11" s="154" t="e">
        <f>VLOOKUP(Table223[[#This Row],[Data Element]],Lookups2!AM:AN,2,FALSE)</f>
        <v>#N/A</v>
      </c>
      <c r="N11" s="64"/>
      <c r="O11" s="64"/>
      <c r="P11" s="64"/>
      <c r="Q11" s="64"/>
      <c r="R11" s="64"/>
      <c r="S11" s="64" t="s">
        <v>387</v>
      </c>
      <c r="T11" s="64"/>
      <c r="U11" s="64"/>
      <c r="V11" s="64" t="s">
        <v>662</v>
      </c>
      <c r="W11" s="64"/>
      <c r="X11" s="64"/>
      <c r="Y11" s="72"/>
      <c r="Z11" s="26"/>
    </row>
    <row r="12" spans="1:26" x14ac:dyDescent="0.2">
      <c r="A12" s="194" t="s">
        <v>3454</v>
      </c>
      <c r="B12" s="208" t="s">
        <v>3399</v>
      </c>
      <c r="D12" s="127">
        <v>3</v>
      </c>
      <c r="E12" s="127" t="s">
        <v>3927</v>
      </c>
      <c r="F12" s="64">
        <v>1</v>
      </c>
      <c r="G12" s="64" t="s">
        <v>259</v>
      </c>
      <c r="H12" s="64"/>
      <c r="I12" s="64"/>
      <c r="J12" s="64"/>
      <c r="K12" s="64" t="s">
        <v>4073</v>
      </c>
      <c r="L12" s="211"/>
      <c r="M12" s="154" t="e">
        <f>VLOOKUP(Table223[[#This Row],[Data Element]],Lookups2!AM:AN,2,FALSE)</f>
        <v>#N/A</v>
      </c>
      <c r="N12" s="64"/>
      <c r="O12" s="64"/>
      <c r="P12" s="64"/>
      <c r="Q12" s="64"/>
      <c r="R12" s="64"/>
      <c r="S12" s="64" t="s">
        <v>387</v>
      </c>
      <c r="T12" s="64"/>
      <c r="U12" s="64"/>
      <c r="V12" s="64" t="s">
        <v>662</v>
      </c>
      <c r="W12" s="64"/>
      <c r="X12" s="64"/>
      <c r="Y12" s="72"/>
    </row>
    <row r="13" spans="1:26" x14ac:dyDescent="0.2">
      <c r="A13" s="195" t="s">
        <v>3455</v>
      </c>
      <c r="B13" s="232" t="s">
        <v>3974</v>
      </c>
      <c r="D13" s="209">
        <v>4</v>
      </c>
      <c r="E13" s="127" t="s">
        <v>4074</v>
      </c>
      <c r="F13" s="64">
        <v>1</v>
      </c>
      <c r="G13" s="64" t="s">
        <v>460</v>
      </c>
      <c r="H13" s="64"/>
      <c r="I13" s="64"/>
      <c r="J13" s="64"/>
      <c r="K13" s="64" t="s">
        <v>4075</v>
      </c>
      <c r="L13" s="211"/>
      <c r="M13" s="154" t="e">
        <f>VLOOKUP(Table223[[#This Row],[Data Element]],Lookups2!AM:AN,2,FALSE)</f>
        <v>#N/A</v>
      </c>
      <c r="N13" s="64"/>
      <c r="O13" s="64"/>
      <c r="P13" s="64"/>
      <c r="Q13" s="64"/>
      <c r="R13" s="64"/>
      <c r="S13" s="64" t="s">
        <v>387</v>
      </c>
      <c r="T13" s="64"/>
      <c r="U13" s="64"/>
      <c r="V13" s="64" t="s">
        <v>662</v>
      </c>
      <c r="W13" s="64"/>
      <c r="X13" s="64"/>
      <c r="Y13" s="72"/>
    </row>
    <row r="14" spans="1:26" x14ac:dyDescent="0.2">
      <c r="A14" s="196" t="s">
        <v>234</v>
      </c>
      <c r="B14" s="116" t="s">
        <v>250</v>
      </c>
      <c r="D14" s="127">
        <v>5</v>
      </c>
      <c r="E14" s="209" t="s">
        <v>4076</v>
      </c>
      <c r="F14" s="64">
        <v>1</v>
      </c>
      <c r="G14" s="64" t="s">
        <v>460</v>
      </c>
      <c r="H14" s="64"/>
      <c r="I14" s="64"/>
      <c r="J14" s="64"/>
      <c r="K14" s="64" t="s">
        <v>4077</v>
      </c>
      <c r="L14" s="211"/>
      <c r="M14" s="154" t="e">
        <f>VLOOKUP(Table223[[#This Row],[Data Element]],Lookups2!AM:AN,2,FALSE)</f>
        <v>#N/A</v>
      </c>
      <c r="N14" s="64"/>
      <c r="O14" s="64"/>
      <c r="P14" s="64"/>
      <c r="Q14" s="64"/>
      <c r="R14" s="64"/>
      <c r="S14" s="64" t="s">
        <v>387</v>
      </c>
      <c r="T14" s="64"/>
      <c r="U14" s="64"/>
      <c r="V14" s="64" t="s">
        <v>662</v>
      </c>
      <c r="W14" s="64"/>
      <c r="X14" s="64"/>
      <c r="Y14" s="72"/>
    </row>
    <row r="15" spans="1:26" x14ac:dyDescent="0.2">
      <c r="A15" s="149"/>
      <c r="B15" s="26"/>
      <c r="D15" s="209">
        <v>6</v>
      </c>
      <c r="E15" s="127" t="s">
        <v>4078</v>
      </c>
      <c r="F15" s="64">
        <v>1</v>
      </c>
      <c r="G15" s="64" t="s">
        <v>259</v>
      </c>
      <c r="H15" s="64"/>
      <c r="I15" s="64"/>
      <c r="J15" s="64"/>
      <c r="K15" s="64" t="s">
        <v>4079</v>
      </c>
      <c r="L15" s="211"/>
      <c r="M15" s="154" t="e">
        <f>VLOOKUP(Table223[[#This Row],[Data Element]],Lookups2!AM:AN,2,FALSE)</f>
        <v>#N/A</v>
      </c>
      <c r="N15" s="64"/>
      <c r="O15" s="64"/>
      <c r="P15" s="64"/>
      <c r="Q15" s="64"/>
      <c r="R15" s="64"/>
      <c r="S15" s="64" t="s">
        <v>387</v>
      </c>
      <c r="T15" s="64"/>
      <c r="U15" s="64"/>
      <c r="V15" s="64" t="s">
        <v>662</v>
      </c>
      <c r="W15" s="64"/>
      <c r="X15" s="64"/>
      <c r="Y15" s="72"/>
    </row>
    <row r="16" spans="1:26" x14ac:dyDescent="0.2">
      <c r="A16" s="150" t="s">
        <v>3456</v>
      </c>
      <c r="B16" s="69"/>
      <c r="D16" s="127">
        <v>7</v>
      </c>
      <c r="E16" s="127" t="s">
        <v>4080</v>
      </c>
      <c r="F16" s="64">
        <v>1</v>
      </c>
      <c r="G16" s="64" t="s">
        <v>10</v>
      </c>
      <c r="H16" s="64"/>
      <c r="I16" s="64" t="s">
        <v>3684</v>
      </c>
      <c r="J16" s="64"/>
      <c r="K16" s="64" t="s">
        <v>4081</v>
      </c>
      <c r="L16" s="211"/>
      <c r="M16" s="154" t="e">
        <f>VLOOKUP(Table223[[#This Row],[Data Element]],Lookups2!AM:AN,2,FALSE)</f>
        <v>#N/A</v>
      </c>
      <c r="N16" s="64"/>
      <c r="O16" s="64"/>
      <c r="P16" s="64"/>
      <c r="Q16" s="64"/>
      <c r="R16" s="64"/>
      <c r="S16" s="64" t="s">
        <v>387</v>
      </c>
      <c r="T16" s="64"/>
      <c r="U16" s="64"/>
      <c r="V16" s="64" t="s">
        <v>662</v>
      </c>
      <c r="W16" s="64"/>
      <c r="X16" s="64"/>
      <c r="Y16" s="72"/>
    </row>
    <row r="17" spans="1:25" x14ac:dyDescent="0.2">
      <c r="A17" s="151" t="s">
        <v>3457</v>
      </c>
      <c r="B17" s="175" t="s">
        <v>476</v>
      </c>
      <c r="D17" s="209">
        <v>8</v>
      </c>
      <c r="E17" s="209" t="s">
        <v>4082</v>
      </c>
      <c r="F17" s="64">
        <v>1</v>
      </c>
      <c r="G17" s="64" t="s">
        <v>259</v>
      </c>
      <c r="H17" s="64"/>
      <c r="I17" s="64"/>
      <c r="J17" s="64"/>
      <c r="K17" s="64" t="s">
        <v>4083</v>
      </c>
      <c r="L17" s="211"/>
      <c r="M17" s="154" t="e">
        <f>VLOOKUP(Table223[[#This Row],[Data Element]],Lookups2!AM:AN,2,FALSE)</f>
        <v>#N/A</v>
      </c>
      <c r="N17" s="64"/>
      <c r="O17" s="64"/>
      <c r="P17" s="64"/>
      <c r="Q17" s="64"/>
      <c r="R17" s="64"/>
      <c r="S17" s="64" t="s">
        <v>387</v>
      </c>
      <c r="T17" s="64"/>
      <c r="U17" s="64"/>
      <c r="V17" s="64" t="s">
        <v>662</v>
      </c>
      <c r="W17" s="64"/>
      <c r="X17" s="64"/>
      <c r="Y17" s="72"/>
    </row>
    <row r="18" spans="1:25" x14ac:dyDescent="0.2">
      <c r="A18" s="151" t="s">
        <v>3458</v>
      </c>
      <c r="B18" s="175"/>
      <c r="D18" s="127">
        <v>9</v>
      </c>
      <c r="E18" s="127" t="s">
        <v>4084</v>
      </c>
      <c r="F18" s="64">
        <v>1</v>
      </c>
      <c r="G18" s="64" t="s">
        <v>487</v>
      </c>
      <c r="H18" s="64"/>
      <c r="I18" s="64"/>
      <c r="J18" s="64"/>
      <c r="K18" s="64" t="s">
        <v>4085</v>
      </c>
      <c r="L18" s="211"/>
      <c r="M18" s="154" t="e">
        <f>VLOOKUP(Table223[[#This Row],[Data Element]],Lookups2!AM:AN,2,FALSE)</f>
        <v>#N/A</v>
      </c>
      <c r="N18" s="64"/>
      <c r="O18" s="64"/>
      <c r="P18" s="64"/>
      <c r="Q18" s="64"/>
      <c r="R18" s="64"/>
      <c r="S18" s="64" t="s">
        <v>387</v>
      </c>
      <c r="T18" s="64"/>
      <c r="U18" s="64"/>
      <c r="V18" s="64" t="s">
        <v>662</v>
      </c>
      <c r="W18" s="64"/>
      <c r="X18" s="64"/>
      <c r="Y18" s="72"/>
    </row>
    <row r="19" spans="1:25" ht="78" customHeight="1" x14ac:dyDescent="0.2">
      <c r="A19" s="71" t="s">
        <v>238</v>
      </c>
      <c r="B19" s="182" t="e">
        <f>VLOOKUP(B18,Lookups2!AI:AJ,2,0)</f>
        <v>#N/A</v>
      </c>
      <c r="D19" s="209">
        <v>10</v>
      </c>
      <c r="E19" s="127" t="s">
        <v>4086</v>
      </c>
      <c r="F19" s="64">
        <v>1</v>
      </c>
      <c r="G19" s="64" t="s">
        <v>487</v>
      </c>
      <c r="H19" s="64"/>
      <c r="I19" s="64"/>
      <c r="J19" s="64"/>
      <c r="K19" s="64" t="s">
        <v>4087</v>
      </c>
      <c r="L19" s="211"/>
      <c r="M19" s="154" t="e">
        <f>VLOOKUP(Table223[[#This Row],[Data Element]],Lookups2!AM:AN,2,FALSE)</f>
        <v>#N/A</v>
      </c>
      <c r="N19" s="64"/>
      <c r="O19" s="64"/>
      <c r="P19" s="64"/>
      <c r="Q19" s="64"/>
      <c r="R19" s="64"/>
      <c r="S19" s="64" t="s">
        <v>387</v>
      </c>
      <c r="T19" s="64"/>
      <c r="U19" s="64"/>
      <c r="V19" s="64" t="s">
        <v>662</v>
      </c>
      <c r="W19" s="64"/>
      <c r="X19" s="64"/>
      <c r="Y19" s="72"/>
    </row>
    <row r="20" spans="1:25" x14ac:dyDescent="0.2">
      <c r="A20" s="149"/>
      <c r="B20" s="26"/>
      <c r="D20" s="127">
        <v>11</v>
      </c>
      <c r="E20" s="209" t="s">
        <v>4088</v>
      </c>
      <c r="F20" s="64">
        <v>1</v>
      </c>
      <c r="G20" s="64" t="s">
        <v>487</v>
      </c>
      <c r="H20" s="64"/>
      <c r="I20" s="64"/>
      <c r="J20" s="64"/>
      <c r="K20" s="64" t="s">
        <v>4089</v>
      </c>
      <c r="L20" s="211"/>
      <c r="M20" s="154" t="e">
        <f>VLOOKUP(Table223[[#This Row],[Data Element]],Lookups2!AM:AN,2,FALSE)</f>
        <v>#N/A</v>
      </c>
      <c r="N20" s="64"/>
      <c r="O20" s="64"/>
      <c r="P20" s="64"/>
      <c r="Q20" s="64"/>
      <c r="R20" s="64"/>
      <c r="S20" s="64" t="s">
        <v>387</v>
      </c>
      <c r="T20" s="64"/>
      <c r="U20" s="64"/>
      <c r="V20" s="64" t="s">
        <v>662</v>
      </c>
      <c r="W20" s="64"/>
      <c r="X20" s="64"/>
      <c r="Y20" s="72"/>
    </row>
    <row r="21" spans="1:25" x14ac:dyDescent="0.2">
      <c r="A21" s="150" t="s">
        <v>3459</v>
      </c>
      <c r="B21" s="69"/>
      <c r="D21" s="209">
        <v>12</v>
      </c>
      <c r="E21" s="127" t="s">
        <v>4090</v>
      </c>
      <c r="F21" s="64">
        <v>1</v>
      </c>
      <c r="G21" s="64" t="s">
        <v>487</v>
      </c>
      <c r="H21" s="64"/>
      <c r="I21" s="64"/>
      <c r="J21" s="64"/>
      <c r="K21" s="64" t="s">
        <v>4091</v>
      </c>
      <c r="L21" s="211"/>
      <c r="M21" s="154" t="e">
        <f>VLOOKUP(Table223[[#This Row],[Data Element]],Lookups2!AM:AN,2,FALSE)</f>
        <v>#N/A</v>
      </c>
      <c r="N21" s="64"/>
      <c r="O21" s="64"/>
      <c r="P21" s="64"/>
      <c r="Q21" s="64"/>
      <c r="R21" s="64"/>
      <c r="S21" s="64" t="s">
        <v>387</v>
      </c>
      <c r="T21" s="64"/>
      <c r="U21" s="64"/>
      <c r="V21" s="64" t="s">
        <v>662</v>
      </c>
      <c r="W21" s="64"/>
      <c r="X21" s="64"/>
      <c r="Y21" s="72"/>
    </row>
    <row r="22" spans="1:25" x14ac:dyDescent="0.2">
      <c r="A22" s="151" t="s">
        <v>3460</v>
      </c>
      <c r="B22" s="84" t="s">
        <v>276</v>
      </c>
      <c r="D22" s="127">
        <v>13</v>
      </c>
      <c r="E22" s="127" t="s">
        <v>4092</v>
      </c>
      <c r="F22" s="64">
        <v>1</v>
      </c>
      <c r="G22" s="64" t="s">
        <v>460</v>
      </c>
      <c r="H22" s="64"/>
      <c r="I22" s="64"/>
      <c r="J22" s="64"/>
      <c r="K22" s="64" t="s">
        <v>4093</v>
      </c>
      <c r="L22" s="211"/>
      <c r="M22" s="154" t="e">
        <f>VLOOKUP(Table223[[#This Row],[Data Element]],Lookups2!AM:AN,2,FALSE)</f>
        <v>#N/A</v>
      </c>
      <c r="N22" s="64"/>
      <c r="O22" s="64"/>
      <c r="P22" s="64"/>
      <c r="Q22" s="64"/>
      <c r="R22" s="64"/>
      <c r="S22" s="64" t="s">
        <v>387</v>
      </c>
      <c r="T22" s="64"/>
      <c r="U22" s="64"/>
      <c r="V22" s="64" t="s">
        <v>662</v>
      </c>
      <c r="W22" s="64"/>
      <c r="X22" s="64"/>
      <c r="Y22" s="72"/>
    </row>
    <row r="23" spans="1:25" x14ac:dyDescent="0.2">
      <c r="A23" s="151" t="s">
        <v>3461</v>
      </c>
      <c r="B23" s="84" t="s">
        <v>276</v>
      </c>
      <c r="D23" s="209">
        <v>14</v>
      </c>
      <c r="E23" s="209" t="s">
        <v>4094</v>
      </c>
      <c r="F23" s="64">
        <v>1</v>
      </c>
      <c r="G23" s="64" t="s">
        <v>487</v>
      </c>
      <c r="H23" s="64"/>
      <c r="I23" s="64"/>
      <c r="J23" s="64"/>
      <c r="K23" s="64" t="s">
        <v>4095</v>
      </c>
      <c r="L23" s="211"/>
      <c r="M23" s="154" t="e">
        <f>VLOOKUP(Table223[[#This Row],[Data Element]],Lookups2!AM:AN,2,FALSE)</f>
        <v>#N/A</v>
      </c>
      <c r="N23" s="64"/>
      <c r="O23" s="64"/>
      <c r="P23" s="64"/>
      <c r="Q23" s="64"/>
      <c r="R23" s="64"/>
      <c r="S23" s="64" t="s">
        <v>387</v>
      </c>
      <c r="T23" s="64"/>
      <c r="U23" s="64"/>
      <c r="V23" s="64" t="s">
        <v>662</v>
      </c>
      <c r="W23" s="64"/>
      <c r="X23" s="64"/>
      <c r="Y23" s="72"/>
    </row>
    <row r="24" spans="1:25" x14ac:dyDescent="0.2">
      <c r="A24" s="151" t="s">
        <v>3462</v>
      </c>
      <c r="B24" s="84" t="s">
        <v>276</v>
      </c>
      <c r="D24" s="127">
        <v>15</v>
      </c>
      <c r="E24" s="127" t="s">
        <v>4096</v>
      </c>
      <c r="F24" s="64">
        <v>1</v>
      </c>
      <c r="G24" s="64" t="s">
        <v>487</v>
      </c>
      <c r="H24" s="64"/>
      <c r="I24" s="64"/>
      <c r="J24" s="64"/>
      <c r="K24" s="64"/>
      <c r="L24" s="211"/>
      <c r="M24" s="154" t="e">
        <f>VLOOKUP(Table223[[#This Row],[Data Element]],Lookups2!AM:AN,2,FALSE)</f>
        <v>#N/A</v>
      </c>
      <c r="N24" s="64"/>
      <c r="O24" s="64"/>
      <c r="P24" s="64"/>
      <c r="Q24" s="64"/>
      <c r="R24" s="64"/>
      <c r="S24" s="64" t="s">
        <v>387</v>
      </c>
      <c r="T24" s="64"/>
      <c r="U24" s="64"/>
      <c r="V24" s="64" t="s">
        <v>662</v>
      </c>
      <c r="W24" s="64"/>
      <c r="X24" s="64"/>
      <c r="Y24" s="72"/>
    </row>
    <row r="25" spans="1:25" x14ac:dyDescent="0.2">
      <c r="A25" s="151" t="s">
        <v>3463</v>
      </c>
      <c r="B25" s="84" t="s">
        <v>276</v>
      </c>
      <c r="D25" s="209">
        <v>16</v>
      </c>
      <c r="E25" s="127" t="s">
        <v>4097</v>
      </c>
      <c r="F25" s="64">
        <v>1</v>
      </c>
      <c r="G25" s="64" t="s">
        <v>487</v>
      </c>
      <c r="H25" s="64"/>
      <c r="I25" s="64"/>
      <c r="J25" s="64"/>
      <c r="K25" s="64"/>
      <c r="L25" s="211"/>
      <c r="M25" s="154" t="e">
        <f>VLOOKUP(Table223[[#This Row],[Data Element]],Lookups2!AM:AN,2,FALSE)</f>
        <v>#N/A</v>
      </c>
      <c r="N25" s="64"/>
      <c r="O25" s="64"/>
      <c r="P25" s="64"/>
      <c r="Q25" s="64"/>
      <c r="R25" s="64"/>
      <c r="S25" s="64" t="s">
        <v>387</v>
      </c>
      <c r="T25" s="64"/>
      <c r="U25" s="64"/>
      <c r="V25" s="64" t="s">
        <v>662</v>
      </c>
      <c r="W25" s="64"/>
      <c r="X25" s="64"/>
      <c r="Y25" s="72"/>
    </row>
    <row r="26" spans="1:25" x14ac:dyDescent="0.2">
      <c r="A26" s="151" t="s">
        <v>3464</v>
      </c>
      <c r="B26" s="84" t="s">
        <v>276</v>
      </c>
      <c r="D26" s="127">
        <v>17</v>
      </c>
      <c r="E26" s="209" t="s">
        <v>4098</v>
      </c>
      <c r="F26" s="64">
        <v>1</v>
      </c>
      <c r="G26" s="64" t="s">
        <v>10</v>
      </c>
      <c r="H26" s="64"/>
      <c r="I26" s="64" t="s">
        <v>3684</v>
      </c>
      <c r="J26" s="64"/>
      <c r="K26" s="64"/>
      <c r="L26" s="211"/>
      <c r="M26" s="154" t="e">
        <f>VLOOKUP(Table223[[#This Row],[Data Element]],Lookups2!AM:AN,2,FALSE)</f>
        <v>#N/A</v>
      </c>
      <c r="N26" s="64"/>
      <c r="O26" s="64"/>
      <c r="P26" s="64"/>
      <c r="Q26" s="64"/>
      <c r="R26" s="64"/>
      <c r="S26" s="64" t="s">
        <v>387</v>
      </c>
      <c r="T26" s="64"/>
      <c r="U26" s="64"/>
      <c r="V26" s="64" t="s">
        <v>662</v>
      </c>
      <c r="W26" s="64"/>
      <c r="X26" s="64"/>
      <c r="Y26" s="72"/>
    </row>
    <row r="27" spans="1:25" x14ac:dyDescent="0.2">
      <c r="A27" s="173" t="s">
        <v>3465</v>
      </c>
      <c r="B27" s="84"/>
      <c r="D27" s="209">
        <v>18</v>
      </c>
      <c r="E27" s="127" t="s">
        <v>3683</v>
      </c>
      <c r="F27" s="64">
        <v>1</v>
      </c>
      <c r="G27" s="64" t="s">
        <v>10</v>
      </c>
      <c r="H27" s="64"/>
      <c r="I27" s="64" t="s">
        <v>3684</v>
      </c>
      <c r="J27" s="64"/>
      <c r="K27" s="64"/>
      <c r="L27" s="211"/>
      <c r="M27" s="154" t="e">
        <f>VLOOKUP(Table223[[#This Row],[Data Element]],Lookups2!AM:AN,2,FALSE)</f>
        <v>#N/A</v>
      </c>
      <c r="N27" s="64"/>
      <c r="O27" s="64"/>
      <c r="P27" s="64"/>
      <c r="Q27" s="64"/>
      <c r="R27" s="64"/>
      <c r="S27" s="64" t="s">
        <v>387</v>
      </c>
      <c r="T27" s="64"/>
      <c r="U27" s="64"/>
      <c r="V27" s="64" t="s">
        <v>662</v>
      </c>
      <c r="W27" s="64"/>
      <c r="X27" s="64"/>
      <c r="Y27" s="72"/>
    </row>
    <row r="28" spans="1:25" x14ac:dyDescent="0.2">
      <c r="A28" s="149"/>
      <c r="B28" s="26"/>
      <c r="D28" s="127">
        <v>19</v>
      </c>
      <c r="E28" s="127" t="s">
        <v>4099</v>
      </c>
      <c r="F28" s="64">
        <v>1</v>
      </c>
      <c r="G28" s="64" t="s">
        <v>487</v>
      </c>
      <c r="H28" s="64"/>
      <c r="I28" s="64"/>
      <c r="J28" s="64"/>
      <c r="K28" s="64"/>
      <c r="L28" s="211"/>
      <c r="M28" s="154" t="e">
        <f>VLOOKUP(Table223[[#This Row],[Data Element]],Lookups2!AM:AN,2,FALSE)</f>
        <v>#N/A</v>
      </c>
      <c r="N28" s="64"/>
      <c r="O28" s="64"/>
      <c r="P28" s="64"/>
      <c r="Q28" s="64"/>
      <c r="R28" s="64"/>
      <c r="S28" s="64" t="s">
        <v>387</v>
      </c>
      <c r="T28" s="64"/>
      <c r="U28" s="64"/>
      <c r="V28" s="64" t="s">
        <v>662</v>
      </c>
      <c r="W28" s="64"/>
      <c r="X28" s="64"/>
      <c r="Y28" s="72"/>
    </row>
    <row r="29" spans="1:25" x14ac:dyDescent="0.2">
      <c r="A29" s="65" t="s">
        <v>3446</v>
      </c>
      <c r="B29" s="69"/>
      <c r="D29" s="209">
        <v>20</v>
      </c>
      <c r="E29" s="209" t="s">
        <v>4100</v>
      </c>
      <c r="F29" s="64">
        <v>1</v>
      </c>
      <c r="G29" s="64" t="s">
        <v>10</v>
      </c>
      <c r="H29" s="64"/>
      <c r="I29" s="64" t="s">
        <v>3684</v>
      </c>
      <c r="J29" s="64"/>
      <c r="K29" s="64"/>
      <c r="L29" s="211"/>
      <c r="M29" s="154" t="e">
        <f>VLOOKUP(Table223[[#This Row],[Data Element]],Lookups2!AM:AN,2,FALSE)</f>
        <v>#N/A</v>
      </c>
      <c r="N29" s="64"/>
      <c r="O29" s="64"/>
      <c r="P29" s="64"/>
      <c r="Q29" s="64"/>
      <c r="R29" s="64"/>
      <c r="S29" s="64" t="s">
        <v>387</v>
      </c>
      <c r="T29" s="64"/>
      <c r="U29" s="64"/>
      <c r="V29" s="64" t="s">
        <v>662</v>
      </c>
      <c r="W29" s="64"/>
      <c r="X29" s="64"/>
      <c r="Y29" s="72"/>
    </row>
    <row r="30" spans="1:25" x14ac:dyDescent="0.2">
      <c r="A30" s="134" t="s">
        <v>3466</v>
      </c>
      <c r="B30" s="84" t="s">
        <v>387</v>
      </c>
      <c r="D30" s="127">
        <v>21</v>
      </c>
      <c r="E30" s="127" t="s">
        <v>4101</v>
      </c>
      <c r="F30" s="64">
        <v>1</v>
      </c>
      <c r="G30" s="64" t="s">
        <v>487</v>
      </c>
      <c r="H30" s="64"/>
      <c r="I30" s="64"/>
      <c r="J30" s="64"/>
      <c r="K30" s="64"/>
      <c r="L30" s="211"/>
      <c r="M30" s="154" t="e">
        <f>VLOOKUP(Table223[[#This Row],[Data Element]],Lookups2!AM:AN,2,FALSE)</f>
        <v>#N/A</v>
      </c>
      <c r="N30" s="64"/>
      <c r="O30" s="64"/>
      <c r="P30" s="64"/>
      <c r="Q30" s="64"/>
      <c r="R30" s="64"/>
      <c r="S30" s="64" t="s">
        <v>387</v>
      </c>
      <c r="T30" s="64"/>
      <c r="U30" s="64"/>
      <c r="V30" s="64" t="s">
        <v>662</v>
      </c>
      <c r="W30" s="64"/>
      <c r="X30" s="64"/>
      <c r="Y30" s="72"/>
    </row>
    <row r="31" spans="1:25" x14ac:dyDescent="0.2">
      <c r="A31" s="8"/>
      <c r="B31" s="9"/>
      <c r="D31" s="209">
        <v>22</v>
      </c>
      <c r="E31" s="127" t="s">
        <v>4102</v>
      </c>
      <c r="F31" s="64">
        <v>1</v>
      </c>
      <c r="G31" s="64" t="s">
        <v>487</v>
      </c>
      <c r="H31" s="64"/>
      <c r="I31" s="64"/>
      <c r="J31" s="64"/>
      <c r="K31" s="64"/>
      <c r="L31" s="211"/>
      <c r="M31" s="154" t="e">
        <f>VLOOKUP(Table223[[#This Row],[Data Element]],Lookups2!AM:AN,2,FALSE)</f>
        <v>#N/A</v>
      </c>
      <c r="N31" s="64"/>
      <c r="O31" s="64"/>
      <c r="P31" s="64"/>
      <c r="Q31" s="64"/>
      <c r="R31" s="64"/>
      <c r="S31" s="64" t="s">
        <v>387</v>
      </c>
      <c r="T31" s="64"/>
      <c r="U31" s="64"/>
      <c r="V31" s="64" t="s">
        <v>662</v>
      </c>
      <c r="W31" s="64"/>
      <c r="X31" s="64"/>
      <c r="Y31" s="72"/>
    </row>
    <row r="32" spans="1:25"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row>
    <row r="38" spans="1:2" x14ac:dyDescent="0.2">
      <c r="A38" s="136" t="s">
        <v>3470</v>
      </c>
      <c r="B38" s="68"/>
    </row>
    <row r="40" spans="1:2" x14ac:dyDescent="0.2">
      <c r="A40" s="65" t="s">
        <v>3471</v>
      </c>
      <c r="B40" s="66"/>
    </row>
    <row r="41" spans="1:2" x14ac:dyDescent="0.2">
      <c r="A41" s="152" t="s">
        <v>3472</v>
      </c>
      <c r="B41" s="64"/>
    </row>
    <row r="42" spans="1:2" x14ac:dyDescent="0.2">
      <c r="A42" s="152" t="s">
        <v>3473</v>
      </c>
      <c r="B42" s="64"/>
    </row>
    <row r="44" spans="1:2" x14ac:dyDescent="0.2">
      <c r="A44" s="250" t="s">
        <v>3474</v>
      </c>
      <c r="B44" s="251"/>
    </row>
    <row r="45" spans="1:2" x14ac:dyDescent="0.2">
      <c r="A45" s="131" t="s">
        <v>3475</v>
      </c>
      <c r="B45" s="234" t="s">
        <v>255</v>
      </c>
    </row>
    <row r="46" spans="1:2" x14ac:dyDescent="0.2">
      <c r="A46" s="132" t="s">
        <v>3476</v>
      </c>
      <c r="B46" s="235" t="s">
        <v>411</v>
      </c>
    </row>
    <row r="47" spans="1:2" x14ac:dyDescent="0.2">
      <c r="A47" s="132" t="s">
        <v>3477</v>
      </c>
      <c r="B47" s="236" t="s">
        <v>3703</v>
      </c>
    </row>
    <row r="48" spans="1:2" x14ac:dyDescent="0.2">
      <c r="A48" s="133" t="s">
        <v>3478</v>
      </c>
      <c r="B48" s="237" t="s">
        <v>411</v>
      </c>
    </row>
    <row r="49" spans="1:2" x14ac:dyDescent="0.2">
      <c r="A49" s="133" t="s">
        <v>3479</v>
      </c>
      <c r="B49" s="236" t="s">
        <v>3703</v>
      </c>
    </row>
    <row r="50" spans="1:2" x14ac:dyDescent="0.2">
      <c r="A50" s="44" t="s">
        <v>3480</v>
      </c>
      <c r="B50" s="238">
        <f>'1.Data Source'!B55</f>
        <v>0</v>
      </c>
    </row>
    <row r="51" spans="1:2" x14ac:dyDescent="0.2">
      <c r="A51" s="192" t="s">
        <v>3481</v>
      </c>
      <c r="B51" s="364" t="s">
        <v>3993</v>
      </c>
    </row>
    <row r="52" spans="1:2" x14ac:dyDescent="0.2">
      <c r="A52" s="81"/>
      <c r="B52" s="365"/>
    </row>
    <row r="53" spans="1:2" x14ac:dyDescent="0.2">
      <c r="A53" s="81"/>
      <c r="B53" s="365"/>
    </row>
    <row r="54" spans="1:2" x14ac:dyDescent="0.2">
      <c r="A54" s="81"/>
      <c r="B54" s="365"/>
    </row>
    <row r="55" spans="1:2" x14ac:dyDescent="0.2">
      <c r="A55" s="81"/>
      <c r="B55" s="365"/>
    </row>
    <row r="56" spans="1:2" x14ac:dyDescent="0.2">
      <c r="A56" s="81"/>
      <c r="B56" s="365"/>
    </row>
    <row r="57" spans="1:2" x14ac:dyDescent="0.2">
      <c r="A57" s="81"/>
      <c r="B57" s="365"/>
    </row>
    <row r="58" spans="1:2" x14ac:dyDescent="0.2">
      <c r="A58" s="82"/>
      <c r="B58" s="366"/>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t="s">
        <v>255</v>
      </c>
    </row>
    <row r="65" spans="1:2" x14ac:dyDescent="0.2">
      <c r="A65" s="198" t="s">
        <v>3476</v>
      </c>
      <c r="B65" s="92" t="s">
        <v>411</v>
      </c>
    </row>
    <row r="66" spans="1:2" x14ac:dyDescent="0.2">
      <c r="A66" s="198" t="s">
        <v>3477</v>
      </c>
      <c r="B66" s="55" t="s">
        <v>3688</v>
      </c>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K8:M8"/>
    <mergeCell ref="N8:R8"/>
    <mergeCell ref="V8:Y8"/>
    <mergeCell ref="B51:B58"/>
    <mergeCell ref="B67:B74"/>
    <mergeCell ref="B96:B103"/>
    <mergeCell ref="G2:I2"/>
    <mergeCell ref="A3:F3"/>
    <mergeCell ref="B4:F4"/>
    <mergeCell ref="B5:F5"/>
    <mergeCell ref="B6:F6"/>
    <mergeCell ref="G8:J8"/>
  </mergeCells>
  <conditionalFormatting sqref="B31">
    <cfRule type="cellIs" dxfId="239" priority="31" operator="equal">
      <formula>"?"</formula>
    </cfRule>
  </conditionalFormatting>
  <conditionalFormatting sqref="B92:B93">
    <cfRule type="cellIs" dxfId="238" priority="22" operator="equal">
      <formula>"&lt;unk.&gt;"</formula>
    </cfRule>
  </conditionalFormatting>
  <conditionalFormatting sqref="B90">
    <cfRule type="cellIs" dxfId="237" priority="21" operator="equal">
      <formula>"&lt;unk.&gt;"</formula>
    </cfRule>
  </conditionalFormatting>
  <conditionalFormatting sqref="B91">
    <cfRule type="cellIs" dxfId="236" priority="20" operator="equal">
      <formula>"&lt;unk.&gt;"</formula>
    </cfRule>
  </conditionalFormatting>
  <conditionalFormatting sqref="B94">
    <cfRule type="cellIs" dxfId="235" priority="19" operator="equal">
      <formula>"&lt;unk.&gt;"</formula>
    </cfRule>
  </conditionalFormatting>
  <conditionalFormatting sqref="B95">
    <cfRule type="cellIs" dxfId="234" priority="18" operator="equal">
      <formula>"&lt;unk.&gt;"</formula>
    </cfRule>
  </conditionalFormatting>
  <conditionalFormatting sqref="B84:B87">
    <cfRule type="cellIs" dxfId="233" priority="17" operator="equal">
      <formula>"&lt;unk.&gt;"</formula>
    </cfRule>
  </conditionalFormatting>
  <conditionalFormatting sqref="B27">
    <cfRule type="cellIs" dxfId="232" priority="15" operator="equal">
      <formula>"&lt;unk.&gt;"</formula>
    </cfRule>
  </conditionalFormatting>
  <conditionalFormatting sqref="B30">
    <cfRule type="cellIs" dxfId="231" priority="14" operator="equal">
      <formula>"&lt;unk.&gt;"</formula>
    </cfRule>
  </conditionalFormatting>
  <conditionalFormatting sqref="B22:B26">
    <cfRule type="cellIs" dxfId="230" priority="9" operator="equal">
      <formula>"&lt;unk.&gt;"</formula>
    </cfRule>
  </conditionalFormatting>
  <conditionalFormatting sqref="B47:B48">
    <cfRule type="cellIs" dxfId="229" priority="8" operator="equal">
      <formula>"&lt;unk.&gt;"</formula>
    </cfRule>
  </conditionalFormatting>
  <conditionalFormatting sqref="B45">
    <cfRule type="cellIs" dxfId="228" priority="7" operator="equal">
      <formula>"&lt;unk.&gt;"</formula>
    </cfRule>
  </conditionalFormatting>
  <conditionalFormatting sqref="B46">
    <cfRule type="cellIs" dxfId="227" priority="6" operator="equal">
      <formula>"&lt;unk.&gt;"</formula>
    </cfRule>
  </conditionalFormatting>
  <conditionalFormatting sqref="B50">
    <cfRule type="cellIs" dxfId="226" priority="5" operator="equal">
      <formula>"&lt;unk.&gt;"</formula>
    </cfRule>
  </conditionalFormatting>
  <conditionalFormatting sqref="B49">
    <cfRule type="cellIs" dxfId="225" priority="4" operator="equal">
      <formula>"&lt;unk.&gt;"</formula>
    </cfRule>
  </conditionalFormatting>
  <conditionalFormatting sqref="B64">
    <cfRule type="cellIs" dxfId="224" priority="3" operator="equal">
      <formula>"&lt;unk.&gt;"</formula>
    </cfRule>
  </conditionalFormatting>
  <conditionalFormatting sqref="B65">
    <cfRule type="cellIs" dxfId="223" priority="2" operator="equal">
      <formula>"&lt;unk.&gt;"</formula>
    </cfRule>
  </conditionalFormatting>
  <conditionalFormatting sqref="B66">
    <cfRule type="cellIs" dxfId="222" priority="1" operator="equal">
      <formula>"&lt;unk.&gt;"</formula>
    </cfRule>
  </conditionalFormatting>
  <dataValidations count="5">
    <dataValidation type="list" allowBlank="1" showInputMessage="1" showErrorMessage="1" sqref="B18" xr:uid="{00000000-0002-0000-2000-000000000000}">
      <formula1>INDIRECT(SUBSTITUTE(SUBSTITUTE(SUBSTITUTE(B17," ","_"),"&amp;",""),"/",""))</formula1>
    </dataValidation>
    <dataValidation type="list" allowBlank="1" showInputMessage="1" showErrorMessage="1" sqref="B22:B26" xr:uid="{00000000-0002-0000-2000-000001000000}">
      <formula1>LYesNo</formula1>
    </dataValidation>
    <dataValidation type="list" allowBlank="1" showInputMessage="1" showErrorMessage="1" sqref="Y10:Y31" xr:uid="{00000000-0002-0000-2000-000002000000}">
      <formula1>INDIRECT($X10)</formula1>
    </dataValidation>
    <dataValidation type="list" allowBlank="1" showInputMessage="1" showErrorMessage="1" sqref="B90 B45 B64" xr:uid="{00000000-0002-0000-2000-000003000000}">
      <formula1>LPeriods</formula1>
    </dataValidation>
    <dataValidation type="list" allowBlank="1" showInputMessage="1" showErrorMessage="1" sqref="B91 B93 B46 B48 B65" xr:uid="{00000000-0002-0000-2000-000004000000}">
      <formula1>LCals</formula1>
    </dataValidation>
  </dataValidations>
  <hyperlinks>
    <hyperlink ref="B12" r:id="rId2" xr:uid="{00000000-0004-0000-20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2000-000005000000}">
          <x14:formula1>
            <xm:f>Lookups2!$K$28:$K$46</xm:f>
          </x14:formula1>
          <xm:sqref>U10:U31</xm:sqref>
        </x14:dataValidation>
        <x14:dataValidation type="list" showInputMessage="1" showErrorMessage="1" xr:uid="{00000000-0002-0000-2000-000006000000}">
          <x14:formula1>
            <xm:f>Lookups2!$AG$2:$AG$28</xm:f>
          </x14:formula1>
          <xm:sqref>B17</xm:sqref>
        </x14:dataValidation>
        <x14:dataValidation type="list" allowBlank="1" showInputMessage="1" showErrorMessage="1" xr:uid="{00000000-0002-0000-2000-000007000000}">
          <x14:formula1>
            <xm:f>Lookups2!$C$8:$C$11</xm:f>
          </x14:formula1>
          <xm:sqref>B30</xm:sqref>
        </x14:dataValidation>
        <x14:dataValidation type="list" allowBlank="1" showInputMessage="1" showErrorMessage="1" xr:uid="{00000000-0002-0000-2000-000008000000}">
          <x14:formula1>
            <xm:f>Lookups2!$Q$15:$Q$20</xm:f>
          </x14:formula1>
          <xm:sqref>G10:G31</xm:sqref>
        </x14:dataValidation>
        <x14:dataValidation type="list" allowBlank="1" showInputMessage="1" showErrorMessage="1" xr:uid="{00000000-0002-0000-2000-000009000000}">
          <x14:formula1>
            <xm:f>Lookups2!$M$35:$M$36</xm:f>
          </x14:formula1>
          <xm:sqref>H10:H31 V10:V31</xm:sqref>
        </x14:dataValidation>
        <x14:dataValidation type="list" allowBlank="1" showInputMessage="1" showErrorMessage="1" xr:uid="{00000000-0002-0000-2000-00000A000000}">
          <x14:formula1>
            <xm:f>EDOAlgo!$A$1:$R$1</xm:f>
          </x14:formula1>
          <xm:sqref>X10:X31</xm:sqref>
        </x14:dataValidation>
        <x14:dataValidation type="list" allowBlank="1" showInputMessage="1" showErrorMessage="1" xr:uid="{00000000-0002-0000-2000-00000B000000}">
          <x14:formula1>
            <xm:f>Lookups2!$M$41:$M$45</xm:f>
          </x14:formula1>
          <xm:sqref>S10:S31</xm:sqref>
        </x14:dataValidation>
        <x14:dataValidation type="list" allowBlank="1" showInputMessage="1" showErrorMessage="1" xr:uid="{00000000-0002-0000-2000-00000C000000}">
          <x14:formula1>
            <xm:f>INDIRECT(Lookups2!$K$9)</xm:f>
          </x14:formula1>
          <xm:sqref>T10:T31</xm:sqref>
        </x14:dataValidation>
        <x14:dataValidation type="list" allowBlank="1" showInputMessage="1" showErrorMessage="1" xr:uid="{00000000-0002-0000-2000-00000D000000}">
          <x14:formula1>
            <xm:f>Lookups2!$C$40:$C$45</xm:f>
          </x14:formula1>
          <xm:sqref>B78</xm:sqref>
        </x14:dataValidation>
        <x14:dataValidation type="list" allowBlank="1" showInputMessage="1" showErrorMessage="1" xr:uid="{00000000-0002-0000-2000-00000E000000}">
          <x14:formula1>
            <xm:f>Lookups2!$AC$2:$AC$3</xm:f>
          </x14:formula1>
          <xm:sqref>B14:B15</xm:sqref>
        </x14:dataValidation>
        <x14:dataValidation type="list" allowBlank="1" showInputMessage="1" showErrorMessage="1" xr:uid="{00000000-0002-0000-2000-00000F000000}">
          <x14:formula1>
            <xm:f>Lookups2!$Y$8:$Y$10</xm:f>
          </x14:formula1>
          <xm:sqref>B33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tabColor theme="4" tint="-0.499984740745262"/>
  </sheetPr>
  <dimension ref="A1:AA110"/>
  <sheetViews>
    <sheetView showGridLines="0" zoomScaleNormal="100" workbookViewId="0">
      <pane xSplit="6" ySplit="9" topLeftCell="G10" activePane="bottomRight" state="frozen"/>
      <selection pane="topRight" activeCell="G1" sqref="G1"/>
      <selection pane="bottomLeft" activeCell="A11" sqref="A11"/>
      <selection pane="bottomRight" activeCell="I12" sqref="I12"/>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commod_bb_pr</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t="s">
        <v>3423</v>
      </c>
      <c r="C4" s="293"/>
      <c r="D4" s="293"/>
      <c r="E4" s="293"/>
      <c r="F4" s="293"/>
      <c r="G4" s="259"/>
      <c r="H4" s="259"/>
      <c r="K4" s="201" t="s">
        <v>239</v>
      </c>
      <c r="L4" s="202" t="s">
        <v>3424</v>
      </c>
      <c r="M4" s="23" t="s">
        <v>3425</v>
      </c>
    </row>
    <row r="5" spans="1:26" ht="71.25" customHeight="1" x14ac:dyDescent="0.2">
      <c r="A5" s="151" t="s">
        <v>3426</v>
      </c>
      <c r="B5" s="370" t="s">
        <v>4103</v>
      </c>
      <c r="C5" s="370"/>
      <c r="D5" s="370"/>
      <c r="E5" s="370"/>
      <c r="F5" s="370"/>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127">
        <v>1</v>
      </c>
      <c r="E10" s="64" t="s">
        <v>4067</v>
      </c>
      <c r="F10" s="64">
        <v>1</v>
      </c>
      <c r="G10" s="64" t="s">
        <v>259</v>
      </c>
      <c r="H10" s="64"/>
      <c r="I10" s="64"/>
      <c r="J10" s="64"/>
      <c r="K10" s="64"/>
      <c r="L10" s="23"/>
      <c r="M10" s="154" t="e">
        <f>VLOOKUP(Table224[[#This Row],[Data Element]],Lookups2!AM:AN,2,FALSE)</f>
        <v>#N/A</v>
      </c>
      <c r="N10" s="64"/>
      <c r="O10" s="64"/>
      <c r="P10" s="64"/>
      <c r="Q10" s="64"/>
      <c r="R10" s="64"/>
      <c r="S10" s="64" t="s">
        <v>387</v>
      </c>
      <c r="T10" s="64"/>
      <c r="U10" s="64"/>
      <c r="V10" s="64" t="s">
        <v>662</v>
      </c>
      <c r="W10" s="64"/>
      <c r="X10" s="64"/>
      <c r="Y10" s="72"/>
      <c r="Z10" s="26"/>
    </row>
    <row r="11" spans="1:26" x14ac:dyDescent="0.2">
      <c r="A11" s="148" t="s">
        <v>153</v>
      </c>
      <c r="B11" s="23" t="s">
        <v>3401</v>
      </c>
      <c r="D11" s="209">
        <v>2</v>
      </c>
      <c r="E11" s="64" t="s">
        <v>3941</v>
      </c>
      <c r="F11" s="64">
        <v>1</v>
      </c>
      <c r="G11" s="64" t="s">
        <v>487</v>
      </c>
      <c r="H11" s="64"/>
      <c r="I11" s="64"/>
      <c r="J11" s="64"/>
      <c r="K11" s="64"/>
      <c r="L11" s="211"/>
      <c r="M11" s="154" t="e">
        <f>VLOOKUP(Table224[[#This Row],[Data Element]],Lookups2!AM:AN,2,FALSE)</f>
        <v>#N/A</v>
      </c>
      <c r="N11" s="64"/>
      <c r="O11" s="64"/>
      <c r="P11" s="64"/>
      <c r="Q11" s="64"/>
      <c r="R11" s="64"/>
      <c r="S11" s="64" t="s">
        <v>387</v>
      </c>
      <c r="T11" s="64"/>
      <c r="U11" s="64"/>
      <c r="V11" s="64" t="s">
        <v>662</v>
      </c>
      <c r="W11" s="64"/>
      <c r="X11" s="64"/>
      <c r="Y11" s="72"/>
      <c r="Z11" s="26"/>
    </row>
    <row r="12" spans="1:26" x14ac:dyDescent="0.2">
      <c r="A12" s="194" t="s">
        <v>3454</v>
      </c>
      <c r="B12" s="208" t="s">
        <v>3402</v>
      </c>
      <c r="D12" s="127">
        <v>3</v>
      </c>
      <c r="E12" s="64" t="s">
        <v>3683</v>
      </c>
      <c r="F12" s="64">
        <v>1</v>
      </c>
      <c r="G12" s="64" t="s">
        <v>10</v>
      </c>
      <c r="H12" s="64"/>
      <c r="I12" s="64" t="s">
        <v>3684</v>
      </c>
      <c r="J12" s="64"/>
      <c r="K12" s="64"/>
      <c r="L12" s="211"/>
      <c r="M12" s="154" t="e">
        <f>VLOOKUP(Table224[[#This Row],[Data Element]],Lookups2!AM:AN,2,FALSE)</f>
        <v>#N/A</v>
      </c>
      <c r="N12" s="64"/>
      <c r="O12" s="64"/>
      <c r="P12" s="64"/>
      <c r="Q12" s="64"/>
      <c r="R12" s="64"/>
      <c r="S12" s="64" t="s">
        <v>387</v>
      </c>
      <c r="T12" s="64"/>
      <c r="U12" s="64"/>
      <c r="V12" s="64" t="s">
        <v>662</v>
      </c>
      <c r="W12" s="64"/>
      <c r="X12" s="64"/>
      <c r="Y12" s="72"/>
    </row>
    <row r="13" spans="1:26" x14ac:dyDescent="0.2">
      <c r="A13" s="195" t="s">
        <v>3455</v>
      </c>
      <c r="B13" s="232" t="s">
        <v>3974</v>
      </c>
    </row>
    <row r="14" spans="1:26" x14ac:dyDescent="0.2">
      <c r="A14" s="196" t="s">
        <v>234</v>
      </c>
      <c r="B14" s="116" t="s">
        <v>250</v>
      </c>
    </row>
    <row r="15" spans="1:26" x14ac:dyDescent="0.2">
      <c r="A15" s="149"/>
      <c r="B15" s="26"/>
    </row>
    <row r="16" spans="1:26" x14ac:dyDescent="0.2">
      <c r="A16" s="150" t="s">
        <v>3456</v>
      </c>
      <c r="B16" s="69"/>
    </row>
    <row r="17" spans="1:2" x14ac:dyDescent="0.2">
      <c r="A17" s="151" t="s">
        <v>3457</v>
      </c>
      <c r="B17" s="175" t="s">
        <v>476</v>
      </c>
    </row>
    <row r="18" spans="1:2" x14ac:dyDescent="0.2">
      <c r="A18" s="151" t="s">
        <v>3458</v>
      </c>
      <c r="B18" s="175"/>
    </row>
    <row r="19" spans="1:2" ht="78" customHeight="1" x14ac:dyDescent="0.2">
      <c r="A19" s="71" t="s">
        <v>238</v>
      </c>
      <c r="B19" s="182" t="e">
        <f>VLOOKUP(B18,Lookups2!AI:AJ,2,0)</f>
        <v>#N/A</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row>
    <row r="38" spans="1:2" x14ac:dyDescent="0.2">
      <c r="A38" s="136" t="s">
        <v>3470</v>
      </c>
      <c r="B38" s="68"/>
    </row>
    <row r="40" spans="1:2" x14ac:dyDescent="0.2">
      <c r="A40" s="65" t="s">
        <v>3471</v>
      </c>
      <c r="B40" s="66"/>
    </row>
    <row r="41" spans="1:2" x14ac:dyDescent="0.2">
      <c r="A41" s="152" t="s">
        <v>3472</v>
      </c>
      <c r="B41" s="64"/>
    </row>
    <row r="42" spans="1:2" x14ac:dyDescent="0.2">
      <c r="A42" s="152" t="s">
        <v>3473</v>
      </c>
      <c r="B42" s="64"/>
    </row>
    <row r="44" spans="1:2" x14ac:dyDescent="0.2">
      <c r="A44" s="250" t="s">
        <v>3474</v>
      </c>
      <c r="B44" s="251"/>
    </row>
    <row r="45" spans="1:2" x14ac:dyDescent="0.2">
      <c r="A45" s="131" t="s">
        <v>3475</v>
      </c>
      <c r="B45" s="234" t="s">
        <v>255</v>
      </c>
    </row>
    <row r="46" spans="1:2" x14ac:dyDescent="0.2">
      <c r="A46" s="132" t="s">
        <v>3476</v>
      </c>
      <c r="B46" s="235" t="s">
        <v>411</v>
      </c>
    </row>
    <row r="47" spans="1:2" x14ac:dyDescent="0.2">
      <c r="A47" s="132" t="s">
        <v>3477</v>
      </c>
      <c r="B47" s="236" t="s">
        <v>3703</v>
      </c>
    </row>
    <row r="48" spans="1:2" x14ac:dyDescent="0.2">
      <c r="A48" s="133" t="s">
        <v>3478</v>
      </c>
      <c r="B48" s="237" t="s">
        <v>411</v>
      </c>
    </row>
    <row r="49" spans="1:2" x14ac:dyDescent="0.2">
      <c r="A49" s="133" t="s">
        <v>3479</v>
      </c>
      <c r="B49" s="236" t="s">
        <v>3703</v>
      </c>
    </row>
    <row r="50" spans="1:2" x14ac:dyDescent="0.2">
      <c r="A50" s="44" t="s">
        <v>3480</v>
      </c>
      <c r="B50" s="238">
        <f>'1.Data Source'!B55</f>
        <v>0</v>
      </c>
    </row>
    <row r="51" spans="1:2" x14ac:dyDescent="0.2">
      <c r="A51" s="192" t="s">
        <v>3481</v>
      </c>
      <c r="B51" s="364" t="s">
        <v>3993</v>
      </c>
    </row>
    <row r="52" spans="1:2" x14ac:dyDescent="0.2">
      <c r="A52" s="81"/>
      <c r="B52" s="365"/>
    </row>
    <row r="53" spans="1:2" x14ac:dyDescent="0.2">
      <c r="A53" s="81"/>
      <c r="B53" s="365"/>
    </row>
    <row r="54" spans="1:2" x14ac:dyDescent="0.2">
      <c r="A54" s="81"/>
      <c r="B54" s="365"/>
    </row>
    <row r="55" spans="1:2" x14ac:dyDescent="0.2">
      <c r="A55" s="81"/>
      <c r="B55" s="365"/>
    </row>
    <row r="56" spans="1:2" x14ac:dyDescent="0.2">
      <c r="A56" s="81"/>
      <c r="B56" s="365"/>
    </row>
    <row r="57" spans="1:2" x14ac:dyDescent="0.2">
      <c r="A57" s="81"/>
      <c r="B57" s="365"/>
    </row>
    <row r="58" spans="1:2" x14ac:dyDescent="0.2">
      <c r="A58" s="82"/>
      <c r="B58" s="366"/>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t="s">
        <v>255</v>
      </c>
    </row>
    <row r="65" spans="1:2" x14ac:dyDescent="0.2">
      <c r="A65" s="198" t="s">
        <v>3476</v>
      </c>
      <c r="B65" s="92" t="s">
        <v>411</v>
      </c>
    </row>
    <row r="66" spans="1:2" x14ac:dyDescent="0.2">
      <c r="A66" s="198" t="s">
        <v>3477</v>
      </c>
      <c r="B66" s="55" t="s">
        <v>3688</v>
      </c>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K8:M8"/>
    <mergeCell ref="N8:R8"/>
    <mergeCell ref="V8:Y8"/>
    <mergeCell ref="B51:B58"/>
    <mergeCell ref="B67:B74"/>
    <mergeCell ref="B96:B103"/>
    <mergeCell ref="G2:I2"/>
    <mergeCell ref="A3:F3"/>
    <mergeCell ref="B4:F4"/>
    <mergeCell ref="B5:F5"/>
    <mergeCell ref="B6:F6"/>
    <mergeCell ref="G8:J8"/>
  </mergeCells>
  <conditionalFormatting sqref="B31">
    <cfRule type="cellIs" dxfId="193" priority="28" operator="equal">
      <formula>"?"</formula>
    </cfRule>
  </conditionalFormatting>
  <conditionalFormatting sqref="B92:B93">
    <cfRule type="cellIs" dxfId="192" priority="19" operator="equal">
      <formula>"&lt;unk.&gt;"</formula>
    </cfRule>
  </conditionalFormatting>
  <conditionalFormatting sqref="B90">
    <cfRule type="cellIs" dxfId="191" priority="18" operator="equal">
      <formula>"&lt;unk.&gt;"</formula>
    </cfRule>
  </conditionalFormatting>
  <conditionalFormatting sqref="B91">
    <cfRule type="cellIs" dxfId="190" priority="17" operator="equal">
      <formula>"&lt;unk.&gt;"</formula>
    </cfRule>
  </conditionalFormatting>
  <conditionalFormatting sqref="B94">
    <cfRule type="cellIs" dxfId="189" priority="16" operator="equal">
      <formula>"&lt;unk.&gt;"</formula>
    </cfRule>
  </conditionalFormatting>
  <conditionalFormatting sqref="B95">
    <cfRule type="cellIs" dxfId="188" priority="15" operator="equal">
      <formula>"&lt;unk.&gt;"</formula>
    </cfRule>
  </conditionalFormatting>
  <conditionalFormatting sqref="B84:B87">
    <cfRule type="cellIs" dxfId="187" priority="14" operator="equal">
      <formula>"&lt;unk.&gt;"</formula>
    </cfRule>
  </conditionalFormatting>
  <conditionalFormatting sqref="B27">
    <cfRule type="cellIs" dxfId="186" priority="12" operator="equal">
      <formula>"&lt;unk.&gt;"</formula>
    </cfRule>
  </conditionalFormatting>
  <conditionalFormatting sqref="B30">
    <cfRule type="cellIs" dxfId="185" priority="11" operator="equal">
      <formula>"&lt;unk.&gt;"</formula>
    </cfRule>
  </conditionalFormatting>
  <conditionalFormatting sqref="B22:B26">
    <cfRule type="cellIs" dxfId="184" priority="9" operator="equal">
      <formula>"&lt;unk.&gt;"</formula>
    </cfRule>
  </conditionalFormatting>
  <conditionalFormatting sqref="B47:B48">
    <cfRule type="cellIs" dxfId="183" priority="8" operator="equal">
      <formula>"&lt;unk.&gt;"</formula>
    </cfRule>
  </conditionalFormatting>
  <conditionalFormatting sqref="B45">
    <cfRule type="cellIs" dxfId="182" priority="7" operator="equal">
      <formula>"&lt;unk.&gt;"</formula>
    </cfRule>
  </conditionalFormatting>
  <conditionalFormatting sqref="B46">
    <cfRule type="cellIs" dxfId="181" priority="6" operator="equal">
      <formula>"&lt;unk.&gt;"</formula>
    </cfRule>
  </conditionalFormatting>
  <conditionalFormatting sqref="B50">
    <cfRule type="cellIs" dxfId="180" priority="5" operator="equal">
      <formula>"&lt;unk.&gt;"</formula>
    </cfRule>
  </conditionalFormatting>
  <conditionalFormatting sqref="B49">
    <cfRule type="cellIs" dxfId="179" priority="4" operator="equal">
      <formula>"&lt;unk.&gt;"</formula>
    </cfRule>
  </conditionalFormatting>
  <conditionalFormatting sqref="B64">
    <cfRule type="cellIs" dxfId="178" priority="3" operator="equal">
      <formula>"&lt;unk.&gt;"</formula>
    </cfRule>
  </conditionalFormatting>
  <conditionalFormatting sqref="B65">
    <cfRule type="cellIs" dxfId="177" priority="2" operator="equal">
      <formula>"&lt;unk.&gt;"</formula>
    </cfRule>
  </conditionalFormatting>
  <conditionalFormatting sqref="B66">
    <cfRule type="cellIs" dxfId="176" priority="1" operator="equal">
      <formula>"&lt;unk.&gt;"</formula>
    </cfRule>
  </conditionalFormatting>
  <dataValidations count="5">
    <dataValidation type="list" allowBlank="1" showInputMessage="1" showErrorMessage="1" sqref="B18" xr:uid="{00000000-0002-0000-2100-000000000000}">
      <formula1>INDIRECT(SUBSTITUTE(SUBSTITUTE(SUBSTITUTE(B17," ","_"),"&amp;",""),"/",""))</formula1>
    </dataValidation>
    <dataValidation type="list" allowBlank="1" showInputMessage="1" showErrorMessage="1" sqref="B22:B26" xr:uid="{00000000-0002-0000-2100-000001000000}">
      <formula1>LYesNo</formula1>
    </dataValidation>
    <dataValidation type="list" allowBlank="1" showInputMessage="1" showErrorMessage="1" sqref="Y10:Y12" xr:uid="{00000000-0002-0000-2100-000002000000}">
      <formula1>INDIRECT($X10)</formula1>
    </dataValidation>
    <dataValidation type="list" allowBlank="1" showInputMessage="1" showErrorMessage="1" sqref="B90 B45 B64" xr:uid="{00000000-0002-0000-2100-000003000000}">
      <formula1>LPeriods</formula1>
    </dataValidation>
    <dataValidation type="list" allowBlank="1" showInputMessage="1" showErrorMessage="1" sqref="B91 B93 B48 B46 B65" xr:uid="{00000000-0002-0000-2100-000004000000}">
      <formula1>LCals</formula1>
    </dataValidation>
  </dataValidations>
  <hyperlinks>
    <hyperlink ref="B12" r:id="rId2" xr:uid="{00000000-0004-0000-21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2100-000005000000}">
          <x14:formula1>
            <xm:f>Lookups2!$K$28:$K$46</xm:f>
          </x14:formula1>
          <xm:sqref>U10:U12</xm:sqref>
        </x14:dataValidation>
        <x14:dataValidation type="list" showInputMessage="1" showErrorMessage="1" xr:uid="{00000000-0002-0000-2100-000006000000}">
          <x14:formula1>
            <xm:f>Lookups2!$AG$2:$AG$28</xm:f>
          </x14:formula1>
          <xm:sqref>B17</xm:sqref>
        </x14:dataValidation>
        <x14:dataValidation type="list" allowBlank="1" showInputMessage="1" showErrorMessage="1" xr:uid="{00000000-0002-0000-2100-000007000000}">
          <x14:formula1>
            <xm:f>Lookups2!$C$8:$C$11</xm:f>
          </x14:formula1>
          <xm:sqref>B30</xm:sqref>
        </x14:dataValidation>
        <x14:dataValidation type="list" allowBlank="1" showInputMessage="1" showErrorMessage="1" xr:uid="{00000000-0002-0000-2100-000008000000}">
          <x14:formula1>
            <xm:f>Lookups2!$Q$15:$Q$20</xm:f>
          </x14:formula1>
          <xm:sqref>G10:G12</xm:sqref>
        </x14:dataValidation>
        <x14:dataValidation type="list" allowBlank="1" showInputMessage="1" showErrorMessage="1" xr:uid="{00000000-0002-0000-2100-000009000000}">
          <x14:formula1>
            <xm:f>Lookups2!$M$35:$M$36</xm:f>
          </x14:formula1>
          <xm:sqref>H10:H12 V10:V12</xm:sqref>
        </x14:dataValidation>
        <x14:dataValidation type="list" allowBlank="1" showInputMessage="1" showErrorMessage="1" xr:uid="{00000000-0002-0000-2100-00000A000000}">
          <x14:formula1>
            <xm:f>EDOAlgo!$A$1:$R$1</xm:f>
          </x14:formula1>
          <xm:sqref>X10:X12</xm:sqref>
        </x14:dataValidation>
        <x14:dataValidation type="list" allowBlank="1" showInputMessage="1" showErrorMessage="1" xr:uid="{00000000-0002-0000-2100-00000B000000}">
          <x14:formula1>
            <xm:f>Lookups2!$M$41:$M$45</xm:f>
          </x14:formula1>
          <xm:sqref>S10:S12</xm:sqref>
        </x14:dataValidation>
        <x14:dataValidation type="list" allowBlank="1" showInputMessage="1" showErrorMessage="1" xr:uid="{00000000-0002-0000-2100-00000C000000}">
          <x14:formula1>
            <xm:f>INDIRECT(Lookups2!$K$9)</xm:f>
          </x14:formula1>
          <xm:sqref>T10:T12</xm:sqref>
        </x14:dataValidation>
        <x14:dataValidation type="list" allowBlank="1" showInputMessage="1" showErrorMessage="1" xr:uid="{00000000-0002-0000-2100-00000D000000}">
          <x14:formula1>
            <xm:f>Lookups2!$C$40:$C$45</xm:f>
          </x14:formula1>
          <xm:sqref>B78</xm:sqref>
        </x14:dataValidation>
        <x14:dataValidation type="list" allowBlank="1" showInputMessage="1" showErrorMessage="1" xr:uid="{00000000-0002-0000-2100-00000E000000}">
          <x14:formula1>
            <xm:f>Lookups2!$AC$2:$AC$3</xm:f>
          </x14:formula1>
          <xm:sqref>B14:B15</xm:sqref>
        </x14:dataValidation>
        <x14:dataValidation type="list" allowBlank="1" showInputMessage="1" showErrorMessage="1" xr:uid="{00000000-0002-0000-2100-00000F000000}">
          <x14:formula1>
            <xm:f>Lookups2!$Y$8:$Y$10</xm:f>
          </x14:formula1>
          <xm:sqref>B33</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tabColor theme="4" tint="-0.499984740745262"/>
  </sheetPr>
  <dimension ref="A1:AA110"/>
  <sheetViews>
    <sheetView showGridLines="0" zoomScaleNormal="100" workbookViewId="0">
      <pane xSplit="6" ySplit="9" topLeftCell="G10" activePane="bottomRight" state="frozen"/>
      <selection pane="topRight" activeCell="G1" sqref="G1"/>
      <selection pane="bottomLeft" activeCell="A11" sqref="A11"/>
      <selection pane="bottomRight" activeCell="I16" sqref="I16"/>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2.710937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cmtfix</v>
      </c>
    </row>
    <row r="2" spans="1:26" x14ac:dyDescent="0.2">
      <c r="F2" s="35"/>
      <c r="G2" s="291"/>
      <c r="H2" s="291"/>
      <c r="I2" s="291"/>
    </row>
    <row r="3" spans="1:26" x14ac:dyDescent="0.2">
      <c r="A3" s="294" t="s">
        <v>238</v>
      </c>
      <c r="B3" s="295"/>
      <c r="C3" s="295"/>
      <c r="D3" s="295"/>
      <c r="E3" s="295"/>
      <c r="F3" s="296"/>
      <c r="G3" s="259"/>
      <c r="H3" s="259"/>
      <c r="L3" s="171" t="s">
        <v>3421</v>
      </c>
      <c r="M3" s="171"/>
    </row>
    <row r="4" spans="1:26" x14ac:dyDescent="0.2">
      <c r="A4" s="59" t="s">
        <v>3422</v>
      </c>
      <c r="B4" s="293" t="s">
        <v>3423</v>
      </c>
      <c r="C4" s="293"/>
      <c r="D4" s="293"/>
      <c r="E4" s="293"/>
      <c r="F4" s="293"/>
      <c r="G4" s="259"/>
      <c r="H4" s="259"/>
      <c r="K4" s="201" t="s">
        <v>239</v>
      </c>
      <c r="L4" s="202" t="s">
        <v>3424</v>
      </c>
      <c r="M4" s="23" t="s">
        <v>3425</v>
      </c>
    </row>
    <row r="5" spans="1:26" ht="71.25" customHeight="1" x14ac:dyDescent="0.2">
      <c r="A5" s="151" t="s">
        <v>3426</v>
      </c>
      <c r="B5" s="370" t="s">
        <v>4104</v>
      </c>
      <c r="C5" s="370"/>
      <c r="D5" s="370"/>
      <c r="E5" s="370"/>
      <c r="F5" s="370"/>
      <c r="G5" s="259"/>
      <c r="H5" s="259"/>
      <c r="L5" s="71" t="s">
        <v>3428</v>
      </c>
      <c r="M5" s="172" t="e">
        <f>VLOOKUP(L4,Lookups2!AM:AN,2,FALSE)</f>
        <v>#N/A</v>
      </c>
    </row>
    <row r="6" spans="1:26" x14ac:dyDescent="0.2">
      <c r="A6" s="71" t="s">
        <v>3429</v>
      </c>
      <c r="B6" s="293"/>
      <c r="C6" s="293"/>
      <c r="D6" s="293"/>
      <c r="E6" s="293"/>
      <c r="F6" s="293"/>
      <c r="G6" s="259"/>
      <c r="H6" s="259"/>
    </row>
    <row r="7" spans="1:26" x14ac:dyDescent="0.2">
      <c r="C7" s="36"/>
      <c r="D7" s="36"/>
      <c r="E7" s="36"/>
      <c r="F7" s="36"/>
      <c r="G7" s="259"/>
      <c r="H7" s="259"/>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127">
        <v>1</v>
      </c>
      <c r="E10" s="127" t="s">
        <v>4105</v>
      </c>
      <c r="F10" s="64">
        <v>1</v>
      </c>
      <c r="G10" s="64" t="s">
        <v>259</v>
      </c>
      <c r="H10" s="64"/>
      <c r="I10" s="64"/>
      <c r="J10" s="64"/>
      <c r="K10" s="64"/>
      <c r="L10" s="23"/>
      <c r="M10" s="154" t="e">
        <f>VLOOKUP(Table225[[#This Row],[Data Element]],Lookups2!AM:AN,2,FALSE)</f>
        <v>#N/A</v>
      </c>
      <c r="N10" s="64"/>
      <c r="O10" s="64"/>
      <c r="P10" s="64"/>
      <c r="Q10" s="64"/>
      <c r="R10" s="64"/>
      <c r="S10" s="64" t="s">
        <v>387</v>
      </c>
      <c r="T10" s="64"/>
      <c r="U10" s="64"/>
      <c r="V10" s="64" t="s">
        <v>662</v>
      </c>
      <c r="W10" s="64"/>
      <c r="X10" s="64"/>
      <c r="Y10" s="72"/>
      <c r="Z10" s="26"/>
    </row>
    <row r="11" spans="1:26" x14ac:dyDescent="0.2">
      <c r="A11" s="148" t="s">
        <v>153</v>
      </c>
      <c r="B11" s="23" t="s">
        <v>3404</v>
      </c>
      <c r="D11" s="209">
        <v>2</v>
      </c>
      <c r="E11" s="127" t="s">
        <v>3681</v>
      </c>
      <c r="F11" s="64">
        <v>1</v>
      </c>
      <c r="G11" s="64" t="s">
        <v>487</v>
      </c>
      <c r="H11" s="64"/>
      <c r="I11" s="64"/>
      <c r="J11" s="64"/>
      <c r="K11" s="64"/>
      <c r="L11" s="211"/>
      <c r="M11" s="154" t="e">
        <f>VLOOKUP(Table225[[#This Row],[Data Element]],Lookups2!AM:AN,2,FALSE)</f>
        <v>#N/A</v>
      </c>
      <c r="N11" s="64"/>
      <c r="O11" s="64"/>
      <c r="P11" s="64"/>
      <c r="Q11" s="64"/>
      <c r="R11" s="64"/>
      <c r="S11" s="64" t="s">
        <v>387</v>
      </c>
      <c r="T11" s="64"/>
      <c r="U11" s="64"/>
      <c r="V11" s="64" t="s">
        <v>662</v>
      </c>
      <c r="W11" s="64"/>
      <c r="X11" s="64"/>
      <c r="Y11" s="72"/>
      <c r="Z11" s="26"/>
    </row>
    <row r="12" spans="1:26" x14ac:dyDescent="0.2">
      <c r="A12" s="194" t="s">
        <v>3454</v>
      </c>
      <c r="B12" s="208" t="s">
        <v>3405</v>
      </c>
      <c r="D12" s="127">
        <v>3</v>
      </c>
      <c r="E12" s="127" t="s">
        <v>3683</v>
      </c>
      <c r="F12" s="64">
        <v>1</v>
      </c>
      <c r="G12" s="64" t="s">
        <v>10</v>
      </c>
      <c r="H12" s="64"/>
      <c r="I12" s="64" t="s">
        <v>3684</v>
      </c>
      <c r="J12" s="64"/>
      <c r="K12" s="64"/>
      <c r="L12" s="211"/>
      <c r="M12" s="154" t="e">
        <f>VLOOKUP(Table225[[#This Row],[Data Element]],Lookups2!AM:AN,2,FALSE)</f>
        <v>#N/A</v>
      </c>
      <c r="N12" s="64"/>
      <c r="O12" s="64"/>
      <c r="P12" s="64"/>
      <c r="Q12" s="64"/>
      <c r="R12" s="64"/>
      <c r="S12" s="64" t="s">
        <v>387</v>
      </c>
      <c r="T12" s="64"/>
      <c r="U12" s="64"/>
      <c r="V12" s="64" t="s">
        <v>662</v>
      </c>
      <c r="W12" s="64"/>
      <c r="X12" s="64"/>
      <c r="Y12" s="72"/>
    </row>
    <row r="13" spans="1:26" x14ac:dyDescent="0.2">
      <c r="A13" s="195" t="s">
        <v>3455</v>
      </c>
      <c r="B13" s="232" t="s">
        <v>3974</v>
      </c>
      <c r="D13" s="209">
        <v>4</v>
      </c>
      <c r="E13" s="127" t="s">
        <v>4106</v>
      </c>
      <c r="F13" s="64">
        <v>1</v>
      </c>
      <c r="G13" s="64" t="s">
        <v>259</v>
      </c>
      <c r="H13" s="64"/>
      <c r="I13" s="64"/>
      <c r="J13" s="64"/>
      <c r="K13" s="64"/>
      <c r="L13" s="211"/>
      <c r="M13" s="154" t="e">
        <f>VLOOKUP(Table225[[#This Row],[Data Element]],Lookups2!AM:AN,2,FALSE)</f>
        <v>#N/A</v>
      </c>
      <c r="N13" s="64"/>
      <c r="O13" s="64"/>
      <c r="P13" s="64"/>
      <c r="Q13" s="64"/>
      <c r="R13" s="64"/>
      <c r="S13" s="64" t="s">
        <v>387</v>
      </c>
      <c r="T13" s="64"/>
      <c r="U13" s="64"/>
      <c r="V13" s="64" t="s">
        <v>662</v>
      </c>
      <c r="W13" s="64"/>
      <c r="X13" s="64"/>
      <c r="Y13" s="72"/>
    </row>
    <row r="14" spans="1:26" x14ac:dyDescent="0.2">
      <c r="A14" s="196" t="s">
        <v>234</v>
      </c>
      <c r="B14" s="116" t="s">
        <v>250</v>
      </c>
    </row>
    <row r="15" spans="1:26" x14ac:dyDescent="0.2">
      <c r="A15" s="149"/>
      <c r="B15" s="26"/>
    </row>
    <row r="16" spans="1:26" x14ac:dyDescent="0.2">
      <c r="A16" s="150" t="s">
        <v>3456</v>
      </c>
      <c r="B16" s="69"/>
    </row>
    <row r="17" spans="1:2" x14ac:dyDescent="0.2">
      <c r="A17" s="151" t="s">
        <v>3457</v>
      </c>
      <c r="B17" s="175" t="s">
        <v>476</v>
      </c>
    </row>
    <row r="18" spans="1:2" x14ac:dyDescent="0.2">
      <c r="A18" s="151" t="s">
        <v>3458</v>
      </c>
      <c r="B18" s="175"/>
    </row>
    <row r="19" spans="1:2" ht="78" customHeight="1" x14ac:dyDescent="0.2">
      <c r="A19" s="71" t="s">
        <v>238</v>
      </c>
      <c r="B19" s="182" t="e">
        <f>VLOOKUP(B18,Lookups2!AI:AJ,2,0)</f>
        <v>#N/A</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row>
    <row r="35" spans="1:2" ht="14.25" x14ac:dyDescent="0.25">
      <c r="A35" s="73"/>
      <c r="B35" s="73"/>
    </row>
    <row r="36" spans="1:2" x14ac:dyDescent="0.2">
      <c r="A36" s="65" t="s">
        <v>754</v>
      </c>
      <c r="B36" s="69"/>
    </row>
    <row r="37" spans="1:2" ht="14.25" x14ac:dyDescent="0.25">
      <c r="A37" s="135" t="s">
        <v>3469</v>
      </c>
      <c r="B37" s="70"/>
    </row>
    <row r="38" spans="1:2" x14ac:dyDescent="0.2">
      <c r="A38" s="136" t="s">
        <v>3470</v>
      </c>
      <c r="B38" s="68"/>
    </row>
    <row r="40" spans="1:2" x14ac:dyDescent="0.2">
      <c r="A40" s="65" t="s">
        <v>3471</v>
      </c>
      <c r="B40" s="66"/>
    </row>
    <row r="41" spans="1:2" x14ac:dyDescent="0.2">
      <c r="A41" s="152" t="s">
        <v>3472</v>
      </c>
      <c r="B41" s="64"/>
    </row>
    <row r="42" spans="1:2" x14ac:dyDescent="0.2">
      <c r="A42" s="152" t="s">
        <v>3473</v>
      </c>
      <c r="B42" s="64"/>
    </row>
    <row r="44" spans="1:2" x14ac:dyDescent="0.2">
      <c r="A44" s="250" t="s">
        <v>3474</v>
      </c>
      <c r="B44" s="251"/>
    </row>
    <row r="45" spans="1:2" x14ac:dyDescent="0.2">
      <c r="A45" s="131" t="s">
        <v>3475</v>
      </c>
      <c r="B45" s="234" t="s">
        <v>255</v>
      </c>
    </row>
    <row r="46" spans="1:2" x14ac:dyDescent="0.2">
      <c r="A46" s="132" t="s">
        <v>3476</v>
      </c>
      <c r="B46" s="235" t="s">
        <v>411</v>
      </c>
    </row>
    <row r="47" spans="1:2" x14ac:dyDescent="0.2">
      <c r="A47" s="132" t="s">
        <v>3477</v>
      </c>
      <c r="B47" s="236" t="s">
        <v>3703</v>
      </c>
    </row>
    <row r="48" spans="1:2" x14ac:dyDescent="0.2">
      <c r="A48" s="133" t="s">
        <v>3478</v>
      </c>
      <c r="B48" s="237" t="s">
        <v>411</v>
      </c>
    </row>
    <row r="49" spans="1:2" x14ac:dyDescent="0.2">
      <c r="A49" s="133" t="s">
        <v>3479</v>
      </c>
      <c r="B49" s="236" t="s">
        <v>3703</v>
      </c>
    </row>
    <row r="50" spans="1:2" x14ac:dyDescent="0.2">
      <c r="A50" s="44" t="s">
        <v>3480</v>
      </c>
      <c r="B50" s="238">
        <f>'1.Data Source'!B55</f>
        <v>0</v>
      </c>
    </row>
    <row r="51" spans="1:2" x14ac:dyDescent="0.2">
      <c r="A51" s="192" t="s">
        <v>3481</v>
      </c>
      <c r="B51" s="364" t="s">
        <v>3993</v>
      </c>
    </row>
    <row r="52" spans="1:2" x14ac:dyDescent="0.2">
      <c r="A52" s="81"/>
      <c r="B52" s="365"/>
    </row>
    <row r="53" spans="1:2" x14ac:dyDescent="0.2">
      <c r="A53" s="81"/>
      <c r="B53" s="365"/>
    </row>
    <row r="54" spans="1:2" x14ac:dyDescent="0.2">
      <c r="A54" s="81"/>
      <c r="B54" s="365"/>
    </row>
    <row r="55" spans="1:2" x14ac:dyDescent="0.2">
      <c r="A55" s="81"/>
      <c r="B55" s="365"/>
    </row>
    <row r="56" spans="1:2" x14ac:dyDescent="0.2">
      <c r="A56" s="81"/>
      <c r="B56" s="365"/>
    </row>
    <row r="57" spans="1:2" x14ac:dyDescent="0.2">
      <c r="A57" s="81"/>
      <c r="B57" s="365"/>
    </row>
    <row r="58" spans="1:2" x14ac:dyDescent="0.2">
      <c r="A58" s="82"/>
      <c r="B58" s="366"/>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t="s">
        <v>255</v>
      </c>
    </row>
    <row r="65" spans="1:2" x14ac:dyDescent="0.2">
      <c r="A65" s="198" t="s">
        <v>3476</v>
      </c>
      <c r="B65" s="92" t="s">
        <v>411</v>
      </c>
    </row>
    <row r="66" spans="1:2" x14ac:dyDescent="0.2">
      <c r="A66" s="198" t="s">
        <v>3477</v>
      </c>
      <c r="B66" s="55" t="s">
        <v>3688</v>
      </c>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64"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65" t="s">
        <v>3481</v>
      </c>
      <c r="B96" s="282"/>
    </row>
    <row r="97" spans="1:2" x14ac:dyDescent="0.2">
      <c r="A97" s="266"/>
      <c r="B97" s="283"/>
    </row>
    <row r="98" spans="1:2" x14ac:dyDescent="0.2">
      <c r="A98" s="266"/>
      <c r="B98" s="283"/>
    </row>
    <row r="99" spans="1:2" x14ac:dyDescent="0.2">
      <c r="A99" s="266"/>
      <c r="B99" s="283"/>
    </row>
    <row r="100" spans="1:2" x14ac:dyDescent="0.2">
      <c r="A100" s="266"/>
      <c r="B100" s="283"/>
    </row>
    <row r="101" spans="1:2" x14ac:dyDescent="0.2">
      <c r="A101" s="266"/>
      <c r="B101" s="283"/>
    </row>
    <row r="102" spans="1:2" x14ac:dyDescent="0.2">
      <c r="A102" s="266"/>
      <c r="B102" s="283"/>
    </row>
    <row r="103" spans="1:2" x14ac:dyDescent="0.2">
      <c r="A103" s="267"/>
      <c r="B103" s="284"/>
    </row>
    <row r="105" spans="1:2" x14ac:dyDescent="0.2">
      <c r="A105" s="264" t="s">
        <v>3493</v>
      </c>
      <c r="B105" s="113"/>
    </row>
    <row r="106" spans="1:2" x14ac:dyDescent="0.2">
      <c r="A106" s="143" t="s">
        <v>3494</v>
      </c>
      <c r="B106" s="78"/>
    </row>
    <row r="108" spans="1:2" x14ac:dyDescent="0.2">
      <c r="A108" s="264" t="s">
        <v>3495</v>
      </c>
      <c r="B108" s="113"/>
    </row>
    <row r="109" spans="1:2" x14ac:dyDescent="0.2">
      <c r="A109" s="143" t="s">
        <v>3483</v>
      </c>
      <c r="B109" s="78"/>
    </row>
    <row r="110" spans="1:2" x14ac:dyDescent="0.2">
      <c r="A110" s="143" t="s">
        <v>3496</v>
      </c>
      <c r="B110" s="78"/>
    </row>
  </sheetData>
  <sheetProtection formatCells="0"/>
  <mergeCells count="12">
    <mergeCell ref="K8:M8"/>
    <mergeCell ref="N8:R8"/>
    <mergeCell ref="V8:Y8"/>
    <mergeCell ref="B51:B58"/>
    <mergeCell ref="B67:B74"/>
    <mergeCell ref="B96:B103"/>
    <mergeCell ref="G2:I2"/>
    <mergeCell ref="A3:F3"/>
    <mergeCell ref="B4:F4"/>
    <mergeCell ref="B5:F5"/>
    <mergeCell ref="B6:F6"/>
    <mergeCell ref="G8:J8"/>
  </mergeCells>
  <conditionalFormatting sqref="B31">
    <cfRule type="cellIs" dxfId="147" priority="28" operator="equal">
      <formula>"?"</formula>
    </cfRule>
  </conditionalFormatting>
  <conditionalFormatting sqref="B92:B93">
    <cfRule type="cellIs" dxfId="146" priority="19" operator="equal">
      <formula>"&lt;unk.&gt;"</formula>
    </cfRule>
  </conditionalFormatting>
  <conditionalFormatting sqref="B90">
    <cfRule type="cellIs" dxfId="145" priority="18" operator="equal">
      <formula>"&lt;unk.&gt;"</formula>
    </cfRule>
  </conditionalFormatting>
  <conditionalFormatting sqref="B91">
    <cfRule type="cellIs" dxfId="144" priority="17" operator="equal">
      <formula>"&lt;unk.&gt;"</formula>
    </cfRule>
  </conditionalFormatting>
  <conditionalFormatting sqref="B94">
    <cfRule type="cellIs" dxfId="143" priority="16" operator="equal">
      <formula>"&lt;unk.&gt;"</formula>
    </cfRule>
  </conditionalFormatting>
  <conditionalFormatting sqref="B95">
    <cfRule type="cellIs" dxfId="142" priority="15" operator="equal">
      <formula>"&lt;unk.&gt;"</formula>
    </cfRule>
  </conditionalFormatting>
  <conditionalFormatting sqref="B84:B87">
    <cfRule type="cellIs" dxfId="141" priority="14" operator="equal">
      <formula>"&lt;unk.&gt;"</formula>
    </cfRule>
  </conditionalFormatting>
  <conditionalFormatting sqref="B27">
    <cfRule type="cellIs" dxfId="140" priority="12" operator="equal">
      <formula>"&lt;unk.&gt;"</formula>
    </cfRule>
  </conditionalFormatting>
  <conditionalFormatting sqref="B30">
    <cfRule type="cellIs" dxfId="139" priority="11" operator="equal">
      <formula>"&lt;unk.&gt;"</formula>
    </cfRule>
  </conditionalFormatting>
  <conditionalFormatting sqref="B22:B26">
    <cfRule type="cellIs" dxfId="138" priority="9" operator="equal">
      <formula>"&lt;unk.&gt;"</formula>
    </cfRule>
  </conditionalFormatting>
  <conditionalFormatting sqref="B47:B48">
    <cfRule type="cellIs" dxfId="137" priority="8" operator="equal">
      <formula>"&lt;unk.&gt;"</formula>
    </cfRule>
  </conditionalFormatting>
  <conditionalFormatting sqref="B45">
    <cfRule type="cellIs" dxfId="136" priority="7" operator="equal">
      <formula>"&lt;unk.&gt;"</formula>
    </cfRule>
  </conditionalFormatting>
  <conditionalFormatting sqref="B46">
    <cfRule type="cellIs" dxfId="135" priority="6" operator="equal">
      <formula>"&lt;unk.&gt;"</formula>
    </cfRule>
  </conditionalFormatting>
  <conditionalFormatting sqref="B50">
    <cfRule type="cellIs" dxfId="134" priority="5" operator="equal">
      <formula>"&lt;unk.&gt;"</formula>
    </cfRule>
  </conditionalFormatting>
  <conditionalFormatting sqref="B49">
    <cfRule type="cellIs" dxfId="133" priority="4" operator="equal">
      <formula>"&lt;unk.&gt;"</formula>
    </cfRule>
  </conditionalFormatting>
  <conditionalFormatting sqref="B64">
    <cfRule type="cellIs" dxfId="132" priority="3" operator="equal">
      <formula>"&lt;unk.&gt;"</formula>
    </cfRule>
  </conditionalFormatting>
  <conditionalFormatting sqref="B65">
    <cfRule type="cellIs" dxfId="131" priority="2" operator="equal">
      <formula>"&lt;unk.&gt;"</formula>
    </cfRule>
  </conditionalFormatting>
  <conditionalFormatting sqref="B66">
    <cfRule type="cellIs" dxfId="130" priority="1" operator="equal">
      <formula>"&lt;unk.&gt;"</formula>
    </cfRule>
  </conditionalFormatting>
  <dataValidations count="5">
    <dataValidation type="list" allowBlank="1" showInputMessage="1" showErrorMessage="1" sqref="B18" xr:uid="{00000000-0002-0000-2200-000000000000}">
      <formula1>INDIRECT(SUBSTITUTE(SUBSTITUTE(SUBSTITUTE(B17," ","_"),"&amp;",""),"/",""))</formula1>
    </dataValidation>
    <dataValidation type="list" allowBlank="1" showInputMessage="1" showErrorMessage="1" sqref="B22:B26" xr:uid="{00000000-0002-0000-2200-000001000000}">
      <formula1>LYesNo</formula1>
    </dataValidation>
    <dataValidation type="list" allowBlank="1" showInputMessage="1" showErrorMessage="1" sqref="Y10:Y13" xr:uid="{00000000-0002-0000-2200-000002000000}">
      <formula1>INDIRECT($X10)</formula1>
    </dataValidation>
    <dataValidation type="list" allowBlank="1" showInputMessage="1" showErrorMessage="1" sqref="B90 B45 B64" xr:uid="{00000000-0002-0000-2200-000003000000}">
      <formula1>LPeriods</formula1>
    </dataValidation>
    <dataValidation type="list" allowBlank="1" showInputMessage="1" showErrorMessage="1" sqref="B91 B93 B46 B48 B65" xr:uid="{00000000-0002-0000-2200-000004000000}">
      <formula1>LCals</formula1>
    </dataValidation>
  </dataValidations>
  <hyperlinks>
    <hyperlink ref="B12" r:id="rId2" xr:uid="{00000000-0004-0000-2200-000000000000}"/>
  </hyperlinks>
  <pageMargins left="0.7" right="0.7" top="0.75" bottom="0.75" header="0.3" footer="0.3"/>
  <pageSetup paperSize="9" orientation="portrait" r:id="rId3"/>
  <legacyDrawing r:id="rId4"/>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2200-000005000000}">
          <x14:formula1>
            <xm:f>Lookups2!$K$28:$K$46</xm:f>
          </x14:formula1>
          <xm:sqref>U10:U13</xm:sqref>
        </x14:dataValidation>
        <x14:dataValidation type="list" showInputMessage="1" showErrorMessage="1" xr:uid="{00000000-0002-0000-2200-000006000000}">
          <x14:formula1>
            <xm:f>Lookups2!$AG$2:$AG$28</xm:f>
          </x14:formula1>
          <xm:sqref>B17</xm:sqref>
        </x14:dataValidation>
        <x14:dataValidation type="list" allowBlank="1" showInputMessage="1" showErrorMessage="1" xr:uid="{00000000-0002-0000-2200-000007000000}">
          <x14:formula1>
            <xm:f>Lookups2!$C$8:$C$11</xm:f>
          </x14:formula1>
          <xm:sqref>B30</xm:sqref>
        </x14:dataValidation>
        <x14:dataValidation type="list" allowBlank="1" showInputMessage="1" showErrorMessage="1" xr:uid="{00000000-0002-0000-2200-000008000000}">
          <x14:formula1>
            <xm:f>Lookups2!$Q$15:$Q$20</xm:f>
          </x14:formula1>
          <xm:sqref>G10:G13</xm:sqref>
        </x14:dataValidation>
        <x14:dataValidation type="list" allowBlank="1" showInputMessage="1" showErrorMessage="1" xr:uid="{00000000-0002-0000-2200-000009000000}">
          <x14:formula1>
            <xm:f>Lookups2!$M$35:$M$36</xm:f>
          </x14:formula1>
          <xm:sqref>H10:H13 V10:V13</xm:sqref>
        </x14:dataValidation>
        <x14:dataValidation type="list" allowBlank="1" showInputMessage="1" showErrorMessage="1" xr:uid="{00000000-0002-0000-2200-00000A000000}">
          <x14:formula1>
            <xm:f>EDOAlgo!$A$1:$R$1</xm:f>
          </x14:formula1>
          <xm:sqref>X10:X13</xm:sqref>
        </x14:dataValidation>
        <x14:dataValidation type="list" allowBlank="1" showInputMessage="1" showErrorMessage="1" xr:uid="{00000000-0002-0000-2200-00000B000000}">
          <x14:formula1>
            <xm:f>Lookups2!$M$41:$M$45</xm:f>
          </x14:formula1>
          <xm:sqref>S10:S13</xm:sqref>
        </x14:dataValidation>
        <x14:dataValidation type="list" allowBlank="1" showInputMessage="1" showErrorMessage="1" xr:uid="{00000000-0002-0000-2200-00000C000000}">
          <x14:formula1>
            <xm:f>INDIRECT(Lookups2!$K$9)</xm:f>
          </x14:formula1>
          <xm:sqref>T10:T13</xm:sqref>
        </x14:dataValidation>
        <x14:dataValidation type="list" allowBlank="1" showInputMessage="1" showErrorMessage="1" xr:uid="{00000000-0002-0000-2200-00000D000000}">
          <x14:formula1>
            <xm:f>Lookups2!$C$40:$C$45</xm:f>
          </x14:formula1>
          <xm:sqref>B78</xm:sqref>
        </x14:dataValidation>
        <x14:dataValidation type="list" allowBlank="1" showInputMessage="1" showErrorMessage="1" xr:uid="{00000000-0002-0000-2200-00000E000000}">
          <x14:formula1>
            <xm:f>Lookups2!$AC$2:$AC$3</xm:f>
          </x14:formula1>
          <xm:sqref>B14:B15</xm:sqref>
        </x14:dataValidation>
        <x14:dataValidation type="list" allowBlank="1" showInputMessage="1" showErrorMessage="1" xr:uid="{00000000-0002-0000-2200-00000F000000}">
          <x14:formula1>
            <xm:f>Lookups2!$Y$8:$Y$10</xm:f>
          </x14:formula1>
          <xm:sqref>B33</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5">
    <tabColor theme="4" tint="-0.499984740745262"/>
  </sheetPr>
  <dimension ref="A1:AA110"/>
  <sheetViews>
    <sheetView showGridLines="0" zoomScaleNormal="100" workbookViewId="0">
      <pane xSplit="6" ySplit="9" topLeftCell="I10" activePane="bottomRight" state="frozen"/>
      <selection pane="topRight" activeCell="G1" sqref="G1"/>
      <selection pane="bottomLeft" activeCell="A11" sqref="A11"/>
      <selection pane="bottomRight" activeCell="E19" sqref="E19"/>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3.2851562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fx_rates_udi_xp_xa</v>
      </c>
    </row>
    <row r="2" spans="1:26" x14ac:dyDescent="0.2">
      <c r="F2" s="35"/>
      <c r="G2" s="291"/>
      <c r="H2" s="291"/>
      <c r="I2" s="291"/>
    </row>
    <row r="3" spans="1:26" x14ac:dyDescent="0.2">
      <c r="A3" s="294" t="s">
        <v>238</v>
      </c>
      <c r="B3" s="295"/>
      <c r="C3" s="295"/>
      <c r="D3" s="295"/>
      <c r="E3" s="295"/>
      <c r="F3" s="296"/>
      <c r="G3" s="270"/>
      <c r="H3" s="270"/>
      <c r="L3" s="171" t="s">
        <v>3421</v>
      </c>
      <c r="M3" s="171"/>
    </row>
    <row r="4" spans="1:26" x14ac:dyDescent="0.2">
      <c r="A4" s="59" t="s">
        <v>3422</v>
      </c>
      <c r="B4" s="293" t="s">
        <v>3705</v>
      </c>
      <c r="C4" s="293"/>
      <c r="D4" s="293"/>
      <c r="E4" s="293"/>
      <c r="F4" s="293"/>
      <c r="G4" s="270"/>
      <c r="H4" s="270"/>
      <c r="K4" s="201" t="s">
        <v>239</v>
      </c>
      <c r="L4" s="202" t="s">
        <v>844</v>
      </c>
      <c r="M4" s="23" t="s">
        <v>3425</v>
      </c>
    </row>
    <row r="5" spans="1:26" ht="71.25" customHeight="1" x14ac:dyDescent="0.2">
      <c r="A5" s="151" t="s">
        <v>3426</v>
      </c>
      <c r="B5" s="293" t="s">
        <v>4117</v>
      </c>
      <c r="C5" s="293"/>
      <c r="D5" s="293"/>
      <c r="E5" s="293"/>
      <c r="F5" s="293"/>
      <c r="G5" s="270"/>
      <c r="H5" s="270"/>
      <c r="L5" s="71" t="s">
        <v>3428</v>
      </c>
      <c r="M5" s="172" t="str">
        <f>VLOOKUP(L4,Lookups2!AM:AN,2,FALSE)</f>
        <v>The risk free currency from a market risk point of view.</v>
      </c>
    </row>
    <row r="6" spans="1:26" x14ac:dyDescent="0.2">
      <c r="A6" s="71" t="s">
        <v>3429</v>
      </c>
      <c r="B6" s="293"/>
      <c r="C6" s="293"/>
      <c r="D6" s="293"/>
      <c r="E6" s="293"/>
      <c r="F6" s="293"/>
      <c r="G6" s="270"/>
      <c r="H6" s="270"/>
    </row>
    <row r="7" spans="1:26" x14ac:dyDescent="0.2">
      <c r="C7" s="36"/>
      <c r="D7" s="36"/>
      <c r="E7" s="36"/>
      <c r="F7" s="36"/>
      <c r="G7" s="270"/>
      <c r="H7" s="270"/>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64">
        <v>1</v>
      </c>
      <c r="E10" s="64" t="s">
        <v>3683</v>
      </c>
      <c r="F10" s="64">
        <v>1</v>
      </c>
      <c r="G10" s="64" t="s">
        <v>10</v>
      </c>
      <c r="H10" s="64"/>
      <c r="I10" s="64" t="s">
        <v>3684</v>
      </c>
      <c r="J10" s="64" t="s">
        <v>3683</v>
      </c>
      <c r="K10" s="64" t="s">
        <v>3706</v>
      </c>
      <c r="L10" s="23"/>
      <c r="M10" s="154" t="e">
        <f>VLOOKUP(Table2726[[#This Row],[Data Element]],Lookups2!AM:AN,2,FALSE)</f>
        <v>#N/A</v>
      </c>
      <c r="N10" s="64" t="s">
        <v>3707</v>
      </c>
      <c r="O10" s="64" t="s">
        <v>3708</v>
      </c>
      <c r="P10" s="64"/>
      <c r="Q10" s="64"/>
      <c r="R10" s="64"/>
      <c r="S10" s="64" t="s">
        <v>387</v>
      </c>
      <c r="T10" s="64"/>
      <c r="U10" s="64"/>
      <c r="V10" s="64"/>
      <c r="W10" s="64"/>
      <c r="X10" s="64"/>
      <c r="Y10" s="72"/>
      <c r="Z10" s="26"/>
    </row>
    <row r="11" spans="1:26" ht="25.5" x14ac:dyDescent="0.2">
      <c r="A11" s="148" t="s">
        <v>153</v>
      </c>
      <c r="B11" s="23" t="s">
        <v>4118</v>
      </c>
      <c r="D11" s="64">
        <v>2</v>
      </c>
      <c r="E11" s="64" t="s">
        <v>3679</v>
      </c>
      <c r="F11" s="64">
        <v>1</v>
      </c>
      <c r="G11" s="64" t="s">
        <v>259</v>
      </c>
      <c r="H11" s="64"/>
      <c r="I11" s="64"/>
      <c r="J11" s="64" t="s">
        <v>3679</v>
      </c>
      <c r="K11" s="212" t="s">
        <v>3709</v>
      </c>
      <c r="L11" s="202" t="s">
        <v>844</v>
      </c>
      <c r="M11" s="154" t="s">
        <v>845</v>
      </c>
      <c r="N11" s="64" t="s">
        <v>3707</v>
      </c>
      <c r="O11" s="64" t="s">
        <v>3708</v>
      </c>
      <c r="P11" s="64"/>
      <c r="Q11" s="64"/>
      <c r="R11" s="64"/>
      <c r="S11" s="64" t="s">
        <v>387</v>
      </c>
      <c r="T11" s="64"/>
      <c r="U11" s="64"/>
      <c r="V11" s="64"/>
      <c r="W11" s="64"/>
      <c r="X11" s="64"/>
      <c r="Y11" s="72"/>
      <c r="Z11" s="26"/>
    </row>
    <row r="12" spans="1:26" x14ac:dyDescent="0.2">
      <c r="A12" s="194" t="s">
        <v>3454</v>
      </c>
      <c r="B12" s="62" t="s">
        <v>3350</v>
      </c>
      <c r="D12" s="64">
        <v>3</v>
      </c>
      <c r="E12" s="64" t="s">
        <v>3681</v>
      </c>
      <c r="F12" s="64">
        <v>1</v>
      </c>
      <c r="G12" s="64" t="s">
        <v>259</v>
      </c>
      <c r="H12" s="64"/>
      <c r="I12" s="64"/>
      <c r="J12" s="64" t="s">
        <v>3681</v>
      </c>
      <c r="K12" s="64" t="s">
        <v>3710</v>
      </c>
      <c r="L12" s="211"/>
      <c r="M12" s="154" t="e">
        <f>VLOOKUP(Table2726[[#This Row],[Data Element]],Lookups2!AM:AN,2,FALSE)</f>
        <v>#N/A</v>
      </c>
      <c r="N12" s="64" t="s">
        <v>3707</v>
      </c>
      <c r="O12" s="64" t="s">
        <v>3708</v>
      </c>
      <c r="P12" s="64"/>
      <c r="Q12" s="64"/>
      <c r="R12" s="64"/>
      <c r="S12" s="64" t="s">
        <v>387</v>
      </c>
      <c r="T12" s="64"/>
      <c r="U12" s="64"/>
      <c r="V12" s="64"/>
      <c r="W12" s="64"/>
      <c r="X12" s="64"/>
      <c r="Y12" s="72"/>
    </row>
    <row r="13" spans="1:26" x14ac:dyDescent="0.2">
      <c r="A13" s="195" t="s">
        <v>3455</v>
      </c>
      <c r="B13" s="62" t="s">
        <v>3711</v>
      </c>
    </row>
    <row r="14" spans="1:26" x14ac:dyDescent="0.2">
      <c r="A14" s="196" t="s">
        <v>234</v>
      </c>
      <c r="B14" s="116" t="s">
        <v>264</v>
      </c>
    </row>
    <row r="15" spans="1:26" x14ac:dyDescent="0.2">
      <c r="A15" s="149"/>
      <c r="B15" s="26"/>
    </row>
    <row r="16" spans="1:26" x14ac:dyDescent="0.2">
      <c r="A16" s="150" t="s">
        <v>3456</v>
      </c>
      <c r="B16" s="69"/>
    </row>
    <row r="17" spans="1:2" x14ac:dyDescent="0.2">
      <c r="A17" s="151" t="s">
        <v>3457</v>
      </c>
      <c r="B17" s="175" t="s">
        <v>303</v>
      </c>
    </row>
    <row r="18" spans="1:2" x14ac:dyDescent="0.2">
      <c r="A18" s="151" t="s">
        <v>3458</v>
      </c>
      <c r="B18" s="175" t="s">
        <v>513</v>
      </c>
    </row>
    <row r="19" spans="1:2" ht="78" customHeight="1" x14ac:dyDescent="0.2">
      <c r="A19" s="71" t="s">
        <v>238</v>
      </c>
      <c r="B19" s="182" t="str">
        <f>VLOOKUP(B18,Lookups2!AI:AJ,2,0)</f>
        <v>Conversion of one currency into another currency</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t="s">
        <v>3712</v>
      </c>
    </row>
    <row r="35" spans="1:2" ht="14.25" x14ac:dyDescent="0.25">
      <c r="A35" s="73"/>
      <c r="B35" s="73"/>
    </row>
    <row r="36" spans="1:2" x14ac:dyDescent="0.2">
      <c r="A36" s="65" t="s">
        <v>754</v>
      </c>
      <c r="B36" s="69"/>
    </row>
    <row r="37" spans="1:2" ht="14.25" x14ac:dyDescent="0.25">
      <c r="A37" s="135" t="s">
        <v>3469</v>
      </c>
      <c r="B37" s="70"/>
    </row>
    <row r="38" spans="1:2" x14ac:dyDescent="0.2">
      <c r="A38" s="136" t="s">
        <v>3470</v>
      </c>
      <c r="B38" s="68"/>
    </row>
    <row r="40" spans="1:2" x14ac:dyDescent="0.2">
      <c r="A40" s="65" t="s">
        <v>3471</v>
      </c>
      <c r="B40" s="66"/>
    </row>
    <row r="41" spans="1:2" x14ac:dyDescent="0.2">
      <c r="A41" s="152" t="s">
        <v>3472</v>
      </c>
      <c r="B41" s="64"/>
    </row>
    <row r="42" spans="1:2" x14ac:dyDescent="0.2">
      <c r="A42" s="152" t="s">
        <v>3473</v>
      </c>
      <c r="B42" s="64"/>
    </row>
    <row r="44" spans="1:2" x14ac:dyDescent="0.2">
      <c r="A44" s="250" t="s">
        <v>3474</v>
      </c>
      <c r="B44" s="251"/>
    </row>
    <row r="45" spans="1:2" x14ac:dyDescent="0.2">
      <c r="A45" s="131" t="s">
        <v>3475</v>
      </c>
      <c r="B45" s="12" t="s">
        <v>255</v>
      </c>
    </row>
    <row r="46" spans="1:2" x14ac:dyDescent="0.2">
      <c r="A46" s="132" t="s">
        <v>3476</v>
      </c>
      <c r="B46" s="54" t="s">
        <v>440</v>
      </c>
    </row>
    <row r="47" spans="1:2" x14ac:dyDescent="0.2">
      <c r="A47" s="132" t="s">
        <v>3477</v>
      </c>
      <c r="B47" s="55" t="s">
        <v>3570</v>
      </c>
    </row>
    <row r="48" spans="1:2" x14ac:dyDescent="0.2">
      <c r="A48" s="133" t="s">
        <v>3478</v>
      </c>
      <c r="B48" s="50" t="s">
        <v>440</v>
      </c>
    </row>
    <row r="49" spans="1:2" x14ac:dyDescent="0.2">
      <c r="A49" s="133" t="s">
        <v>3479</v>
      </c>
      <c r="B49" s="49" t="s">
        <v>3571</v>
      </c>
    </row>
    <row r="50" spans="1:2" x14ac:dyDescent="0.2">
      <c r="A50" s="44" t="s">
        <v>3480</v>
      </c>
      <c r="B50" s="28" t="s">
        <v>3572</v>
      </c>
    </row>
    <row r="51" spans="1:2" x14ac:dyDescent="0.2">
      <c r="A51" s="192" t="s">
        <v>3481</v>
      </c>
      <c r="B51" s="282"/>
    </row>
    <row r="52" spans="1:2" x14ac:dyDescent="0.2">
      <c r="A52" s="81"/>
      <c r="B52" s="283"/>
    </row>
    <row r="53" spans="1:2" x14ac:dyDescent="0.2">
      <c r="A53" s="81"/>
      <c r="B53" s="283"/>
    </row>
    <row r="54" spans="1:2" x14ac:dyDescent="0.2">
      <c r="A54" s="81"/>
      <c r="B54" s="283"/>
    </row>
    <row r="55" spans="1:2" x14ac:dyDescent="0.2">
      <c r="A55" s="81"/>
      <c r="B55" s="283"/>
    </row>
    <row r="56" spans="1:2" x14ac:dyDescent="0.2">
      <c r="A56" s="81"/>
      <c r="B56" s="283"/>
    </row>
    <row r="57" spans="1:2" x14ac:dyDescent="0.2">
      <c r="A57" s="81"/>
      <c r="B57" s="283"/>
    </row>
    <row r="58" spans="1:2" x14ac:dyDescent="0.2">
      <c r="A58" s="82"/>
      <c r="B58" s="284"/>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71"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72" t="s">
        <v>3481</v>
      </c>
      <c r="B96" s="282"/>
    </row>
    <row r="97" spans="1:2" x14ac:dyDescent="0.2">
      <c r="A97" s="273"/>
      <c r="B97" s="283"/>
    </row>
    <row r="98" spans="1:2" x14ac:dyDescent="0.2">
      <c r="A98" s="273"/>
      <c r="B98" s="283"/>
    </row>
    <row r="99" spans="1:2" x14ac:dyDescent="0.2">
      <c r="A99" s="273"/>
      <c r="B99" s="283"/>
    </row>
    <row r="100" spans="1:2" x14ac:dyDescent="0.2">
      <c r="A100" s="273"/>
      <c r="B100" s="283"/>
    </row>
    <row r="101" spans="1:2" x14ac:dyDescent="0.2">
      <c r="A101" s="273"/>
      <c r="B101" s="283"/>
    </row>
    <row r="102" spans="1:2" x14ac:dyDescent="0.2">
      <c r="A102" s="273"/>
      <c r="B102" s="283"/>
    </row>
    <row r="103" spans="1:2" x14ac:dyDescent="0.2">
      <c r="A103" s="274"/>
      <c r="B103" s="284"/>
    </row>
    <row r="105" spans="1:2" x14ac:dyDescent="0.2">
      <c r="A105" s="271" t="s">
        <v>3493</v>
      </c>
      <c r="B105" s="113"/>
    </row>
    <row r="106" spans="1:2" x14ac:dyDescent="0.2">
      <c r="A106" s="143" t="s">
        <v>3494</v>
      </c>
      <c r="B106" s="78"/>
    </row>
    <row r="108" spans="1:2" x14ac:dyDescent="0.2">
      <c r="A108" s="271"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101" priority="23" operator="equal">
      <formula>"?"</formula>
    </cfRule>
  </conditionalFormatting>
  <conditionalFormatting sqref="B94">
    <cfRule type="cellIs" dxfId="100" priority="16" operator="equal">
      <formula>"&lt;unk.&gt;"</formula>
    </cfRule>
  </conditionalFormatting>
  <conditionalFormatting sqref="B95">
    <cfRule type="cellIs" dxfId="99" priority="15" operator="equal">
      <formula>"&lt;unk.&gt;"</formula>
    </cfRule>
  </conditionalFormatting>
  <conditionalFormatting sqref="B84:B87">
    <cfRule type="cellIs" dxfId="98" priority="14" operator="equal">
      <formula>"&lt;unk.&gt;"</formula>
    </cfRule>
  </conditionalFormatting>
  <conditionalFormatting sqref="B27">
    <cfRule type="cellIs" dxfId="97" priority="13" operator="equal">
      <formula>"&lt;unk.&gt;"</formula>
    </cfRule>
  </conditionalFormatting>
  <conditionalFormatting sqref="B66">
    <cfRule type="cellIs" dxfId="96" priority="22" operator="equal">
      <formula>"&lt;unk.&gt;"</formula>
    </cfRule>
  </conditionalFormatting>
  <conditionalFormatting sqref="B64">
    <cfRule type="cellIs" dxfId="95" priority="21" operator="equal">
      <formula>"&lt;unk.&gt;"</formula>
    </cfRule>
  </conditionalFormatting>
  <conditionalFormatting sqref="B65">
    <cfRule type="cellIs" dxfId="94" priority="20" operator="equal">
      <formula>"&lt;unk.&gt;"</formula>
    </cfRule>
  </conditionalFormatting>
  <conditionalFormatting sqref="B92:B93">
    <cfRule type="cellIs" dxfId="93" priority="19" operator="equal">
      <formula>"&lt;unk.&gt;"</formula>
    </cfRule>
  </conditionalFormatting>
  <conditionalFormatting sqref="B90">
    <cfRule type="cellIs" dxfId="92" priority="18" operator="equal">
      <formula>"&lt;unk.&gt;"</formula>
    </cfRule>
  </conditionalFormatting>
  <conditionalFormatting sqref="B91">
    <cfRule type="cellIs" dxfId="91" priority="17" operator="equal">
      <formula>"&lt;unk.&gt;"</formula>
    </cfRule>
  </conditionalFormatting>
  <conditionalFormatting sqref="B30">
    <cfRule type="cellIs" dxfId="90" priority="12" operator="equal">
      <formula>"&lt;unk.&gt;"</formula>
    </cfRule>
  </conditionalFormatting>
  <conditionalFormatting sqref="B47:B48">
    <cfRule type="cellIs" dxfId="89" priority="11" operator="equal">
      <formula>"&lt;unk.&gt;"</formula>
    </cfRule>
  </conditionalFormatting>
  <conditionalFormatting sqref="B45">
    <cfRule type="cellIs" dxfId="88" priority="10" operator="equal">
      <formula>"&lt;unk.&gt;"</formula>
    </cfRule>
  </conditionalFormatting>
  <conditionalFormatting sqref="B46">
    <cfRule type="cellIs" dxfId="87" priority="9" operator="equal">
      <formula>"&lt;unk.&gt;"</formula>
    </cfRule>
  </conditionalFormatting>
  <conditionalFormatting sqref="B49">
    <cfRule type="cellIs" dxfId="86" priority="8" operator="equal">
      <formula>"&lt;unk.&gt;"</formula>
    </cfRule>
  </conditionalFormatting>
  <conditionalFormatting sqref="B50">
    <cfRule type="cellIs" dxfId="85" priority="7" operator="equal">
      <formula>"&lt;unk.&gt;"</formula>
    </cfRule>
  </conditionalFormatting>
  <conditionalFormatting sqref="D10:E12">
    <cfRule type="expression" dxfId="84" priority="6">
      <formula>MOD(ROW(),2)=0</formula>
    </cfRule>
  </conditionalFormatting>
  <conditionalFormatting sqref="I10">
    <cfRule type="expression" dxfId="83" priority="5">
      <formula>MOD(ROW(),2)=0</formula>
    </cfRule>
  </conditionalFormatting>
  <conditionalFormatting sqref="K10:K12">
    <cfRule type="expression" dxfId="82" priority="4">
      <formula>MOD(ROW(),2)=0</formula>
    </cfRule>
  </conditionalFormatting>
  <conditionalFormatting sqref="K10:K12">
    <cfRule type="expression" dxfId="81" priority="3">
      <formula>MOD(ROW(),2)=0</formula>
    </cfRule>
  </conditionalFormatting>
  <conditionalFormatting sqref="J10:J12">
    <cfRule type="expression" dxfId="80" priority="2">
      <formula>MOD(ROW(),2)=0</formula>
    </cfRule>
  </conditionalFormatting>
  <conditionalFormatting sqref="J10:J12">
    <cfRule type="expression" dxfId="79" priority="1">
      <formula>MOD(ROW(),2)=0</formula>
    </cfRule>
  </conditionalFormatting>
  <dataValidations count="5">
    <dataValidation type="list" allowBlank="1" showInputMessage="1" showErrorMessage="1" sqref="B91 B93 B65 B46 B48" xr:uid="{00000000-0002-0000-2300-000000000000}">
      <formula1>LCals</formula1>
    </dataValidation>
    <dataValidation type="list" allowBlank="1" showInputMessage="1" showErrorMessage="1" sqref="B90 B64 B45" xr:uid="{00000000-0002-0000-2300-000001000000}">
      <formula1>LPeriods</formula1>
    </dataValidation>
    <dataValidation type="list" allowBlank="1" showInputMessage="1" showErrorMessage="1" sqref="Y10:Y12" xr:uid="{00000000-0002-0000-2300-000002000000}">
      <formula1>INDIRECT($X10)</formula1>
    </dataValidation>
    <dataValidation type="list" allowBlank="1" showInputMessage="1" showErrorMessage="1" sqref="B22:B26" xr:uid="{00000000-0002-0000-2300-000003000000}">
      <formula1>LYesNo</formula1>
    </dataValidation>
    <dataValidation type="list" allowBlank="1" showInputMessage="1" showErrorMessage="1" sqref="B18" xr:uid="{00000000-0002-0000-2300-000004000000}">
      <formula1>INDIRECT(SUBSTITUTE(SUBSTITUTE(SUBSTITUTE(B17," ","_"),"&amp;",""),"/",""))</formula1>
    </dataValidation>
  </dataValidations>
  <pageMargins left="0.7" right="0.7" top="0.75" bottom="0.75" header="0.3" footer="0.3"/>
  <pageSetup paperSize="9" orientation="portrait" r:id="rId2"/>
  <legacyDrawing r:id="rId3"/>
  <tableParts count="1">
    <tablePart r:id="rId4"/>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2300-000005000000}">
          <x14:formula1>
            <xm:f>Lookups2!$Y$8:$Y$10</xm:f>
          </x14:formula1>
          <xm:sqref>B33</xm:sqref>
        </x14:dataValidation>
        <x14:dataValidation type="list" allowBlank="1" showInputMessage="1" showErrorMessage="1" xr:uid="{00000000-0002-0000-2300-000006000000}">
          <x14:formula1>
            <xm:f>Lookups2!$AC$2:$AC$3</xm:f>
          </x14:formula1>
          <xm:sqref>B14:B15</xm:sqref>
        </x14:dataValidation>
        <x14:dataValidation type="list" allowBlank="1" showInputMessage="1" showErrorMessage="1" xr:uid="{00000000-0002-0000-2300-000007000000}">
          <x14:formula1>
            <xm:f>Lookups2!$C$40:$C$45</xm:f>
          </x14:formula1>
          <xm:sqref>B78</xm:sqref>
        </x14:dataValidation>
        <x14:dataValidation type="list" allowBlank="1" showInputMessage="1" showErrorMessage="1" xr:uid="{00000000-0002-0000-2300-000008000000}">
          <x14:formula1>
            <xm:f>INDIRECT(Lookups2!$K$9)</xm:f>
          </x14:formula1>
          <xm:sqref>T10:T12</xm:sqref>
        </x14:dataValidation>
        <x14:dataValidation type="list" allowBlank="1" showInputMessage="1" showErrorMessage="1" xr:uid="{00000000-0002-0000-2300-000009000000}">
          <x14:formula1>
            <xm:f>Lookups2!$M$41:$M$45</xm:f>
          </x14:formula1>
          <xm:sqref>S10:S12</xm:sqref>
        </x14:dataValidation>
        <x14:dataValidation type="list" allowBlank="1" showInputMessage="1" showErrorMessage="1" xr:uid="{00000000-0002-0000-2300-00000A000000}">
          <x14:formula1>
            <xm:f>EDOAlgo!$A$1:$R$1</xm:f>
          </x14:formula1>
          <xm:sqref>X10:X12</xm:sqref>
        </x14:dataValidation>
        <x14:dataValidation type="list" allowBlank="1" showInputMessage="1" showErrorMessage="1" xr:uid="{00000000-0002-0000-2300-00000B000000}">
          <x14:formula1>
            <xm:f>Lookups2!$M$35:$M$36</xm:f>
          </x14:formula1>
          <xm:sqref>V10:V12 H10:H12</xm:sqref>
        </x14:dataValidation>
        <x14:dataValidation type="list" allowBlank="1" showInputMessage="1" showErrorMessage="1" xr:uid="{00000000-0002-0000-2300-00000C000000}">
          <x14:formula1>
            <xm:f>Lookups2!$Q$15:$Q$20</xm:f>
          </x14:formula1>
          <xm:sqref>G10:G12</xm:sqref>
        </x14:dataValidation>
        <x14:dataValidation type="list" allowBlank="1" showInputMessage="1" showErrorMessage="1" xr:uid="{00000000-0002-0000-2300-00000D000000}">
          <x14:formula1>
            <xm:f>Lookups2!$C$8:$C$11</xm:f>
          </x14:formula1>
          <xm:sqref>B30</xm:sqref>
        </x14:dataValidation>
        <x14:dataValidation type="list" showInputMessage="1" showErrorMessage="1" xr:uid="{00000000-0002-0000-2300-00000E000000}">
          <x14:formula1>
            <xm:f>Lookups2!$AG$2:$AG$28</xm:f>
          </x14:formula1>
          <xm:sqref>B17</xm:sqref>
        </x14:dataValidation>
        <x14:dataValidation type="list" allowBlank="1" showInputMessage="1" showErrorMessage="1" xr:uid="{00000000-0002-0000-2300-00000F000000}">
          <x14:formula1>
            <xm:f>Lookups2!$K$28:$K$46</xm:f>
          </x14:formula1>
          <xm:sqref>U10:U12</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theme="4" tint="-0.499984740745262"/>
  </sheetPr>
  <dimension ref="A1:AA110"/>
  <sheetViews>
    <sheetView showGridLines="0" zoomScaleNormal="100" workbookViewId="0">
      <pane xSplit="6" ySplit="9" topLeftCell="I10" activePane="bottomRight" state="frozen"/>
      <selection pane="topRight" activeCell="G1" sqref="G1"/>
      <selection pane="bottomLeft" activeCell="A11" sqref="A11"/>
      <selection pane="bottomRight" activeCell="C15" sqref="C14:C15"/>
    </sheetView>
  </sheetViews>
  <sheetFormatPr defaultColWidth="9.140625" defaultRowHeight="12.75" outlineLevelCol="1" x14ac:dyDescent="0.2"/>
  <cols>
    <col min="1" max="1" width="24" style="63" customWidth="1"/>
    <col min="2" max="2" width="47.28515625" style="63" customWidth="1"/>
    <col min="3" max="3" width="12.5703125" style="63" customWidth="1"/>
    <col min="4" max="4" width="11" style="63" customWidth="1"/>
    <col min="5" max="5" width="28.7109375" style="63" customWidth="1"/>
    <col min="6" max="6" width="11" style="63" customWidth="1"/>
    <col min="7" max="7" width="13.140625" style="63" customWidth="1" outlineLevel="1"/>
    <col min="8" max="8" width="18.28515625" style="63" customWidth="1" outlineLevel="1"/>
    <col min="9" max="9" width="20.140625" style="63" customWidth="1" outlineLevel="1"/>
    <col min="10" max="10" width="14" style="63" customWidth="1" outlineLevel="1"/>
    <col min="11" max="11" width="11.140625" style="63" customWidth="1" outlineLevel="1"/>
    <col min="12" max="12" width="13.28515625" style="63" customWidth="1" outlineLevel="1"/>
    <col min="13" max="13" width="41" style="63" customWidth="1"/>
    <col min="14" max="14" width="18.140625" style="63" customWidth="1" outlineLevel="1"/>
    <col min="15" max="15" width="18.140625" style="63" customWidth="1"/>
    <col min="16" max="18" width="18.140625" style="63" customWidth="1" outlineLevel="1"/>
    <col min="19" max="19" width="18.7109375" style="63" customWidth="1" outlineLevel="1"/>
    <col min="20" max="20" width="18.28515625" style="63" customWidth="1"/>
    <col min="21" max="21" width="18.28515625" style="63" customWidth="1" outlineLevel="1"/>
    <col min="22" max="22" width="17" style="63" customWidth="1" outlineLevel="1"/>
    <col min="23" max="23" width="33.140625" style="63" customWidth="1"/>
    <col min="24" max="24" width="14.85546875" style="63" customWidth="1" outlineLevel="1"/>
    <col min="25" max="25" width="14.28515625" style="63" customWidth="1" outlineLevel="1"/>
    <col min="26" max="26" width="18.85546875" style="63" customWidth="1" outlineLevel="1"/>
    <col min="27" max="27" width="69.85546875" style="63" customWidth="1" outlineLevel="1"/>
    <col min="28" max="28" width="25.7109375" style="63" customWidth="1"/>
    <col min="29" max="29" width="5.5703125" style="63" customWidth="1"/>
    <col min="30" max="16384" width="9.140625" style="63"/>
  </cols>
  <sheetData>
    <row r="1" spans="1:26" s="34" customFormat="1" ht="26.45" customHeight="1" x14ac:dyDescent="0.2">
      <c r="A1" s="34" t="str">
        <f>CONCATENATE("Dataset ",B11)</f>
        <v>Dataset fx_rates_historical</v>
      </c>
    </row>
    <row r="2" spans="1:26" x14ac:dyDescent="0.2">
      <c r="F2" s="35"/>
      <c r="G2" s="291"/>
      <c r="H2" s="291"/>
      <c r="I2" s="291"/>
    </row>
    <row r="3" spans="1:26" x14ac:dyDescent="0.2">
      <c r="A3" s="294" t="s">
        <v>238</v>
      </c>
      <c r="B3" s="295"/>
      <c r="C3" s="295"/>
      <c r="D3" s="295"/>
      <c r="E3" s="295"/>
      <c r="F3" s="296"/>
      <c r="G3" s="270"/>
      <c r="H3" s="270"/>
      <c r="L3" s="171" t="s">
        <v>3421</v>
      </c>
      <c r="M3" s="171"/>
    </row>
    <row r="4" spans="1:26" x14ac:dyDescent="0.2">
      <c r="A4" s="59" t="s">
        <v>3422</v>
      </c>
      <c r="B4" s="293" t="s">
        <v>3705</v>
      </c>
      <c r="C4" s="293"/>
      <c r="D4" s="293"/>
      <c r="E4" s="293"/>
      <c r="F4" s="293"/>
      <c r="G4" s="270"/>
      <c r="H4" s="270"/>
      <c r="K4" s="201" t="s">
        <v>239</v>
      </c>
      <c r="L4" s="202" t="s">
        <v>844</v>
      </c>
      <c r="M4" s="23" t="s">
        <v>3425</v>
      </c>
    </row>
    <row r="5" spans="1:26" ht="71.25" customHeight="1" x14ac:dyDescent="0.2">
      <c r="A5" s="151" t="s">
        <v>3426</v>
      </c>
      <c r="B5" s="293" t="s">
        <v>4120</v>
      </c>
      <c r="C5" s="293"/>
      <c r="D5" s="293"/>
      <c r="E5" s="293"/>
      <c r="F5" s="293"/>
      <c r="G5" s="270"/>
      <c r="H5" s="270"/>
      <c r="L5" s="71" t="s">
        <v>3428</v>
      </c>
      <c r="M5" s="172" t="str">
        <f>VLOOKUP(L4,Lookups2!AM:AN,2,FALSE)</f>
        <v>The risk free currency from a market risk point of view.</v>
      </c>
    </row>
    <row r="6" spans="1:26" x14ac:dyDescent="0.2">
      <c r="A6" s="71" t="s">
        <v>3429</v>
      </c>
      <c r="B6" s="293"/>
      <c r="C6" s="293"/>
      <c r="D6" s="293"/>
      <c r="E6" s="293"/>
      <c r="F6" s="293"/>
      <c r="G6" s="270"/>
      <c r="H6" s="270"/>
    </row>
    <row r="7" spans="1:26" x14ac:dyDescent="0.2">
      <c r="C7" s="36"/>
      <c r="D7" s="36"/>
      <c r="E7" s="36"/>
      <c r="F7" s="36"/>
      <c r="G7" s="270"/>
      <c r="H7" s="270"/>
    </row>
    <row r="8" spans="1:26" x14ac:dyDescent="0.2">
      <c r="D8" s="140"/>
      <c r="E8" s="140"/>
      <c r="F8" s="140"/>
      <c r="G8" s="288" t="s">
        <v>3430</v>
      </c>
      <c r="H8" s="289"/>
      <c r="I8" s="289"/>
      <c r="J8" s="290"/>
      <c r="K8" s="288" t="s">
        <v>238</v>
      </c>
      <c r="L8" s="289"/>
      <c r="M8" s="289"/>
      <c r="N8" s="292" t="s">
        <v>3431</v>
      </c>
      <c r="O8" s="292"/>
      <c r="P8" s="292"/>
      <c r="Q8" s="292"/>
      <c r="R8" s="292"/>
      <c r="S8" s="141" t="s">
        <v>3432</v>
      </c>
      <c r="T8" s="142"/>
      <c r="U8" s="142"/>
      <c r="V8" s="285" t="s">
        <v>754</v>
      </c>
      <c r="W8" s="286"/>
      <c r="X8" s="286"/>
      <c r="Y8" s="287"/>
      <c r="Z8" s="37"/>
    </row>
    <row r="9" spans="1:26" x14ac:dyDescent="0.2">
      <c r="D9" s="137" t="s">
        <v>3433</v>
      </c>
      <c r="E9" s="128" t="s">
        <v>153</v>
      </c>
      <c r="F9" s="138" t="s">
        <v>3434</v>
      </c>
      <c r="G9" s="128" t="s">
        <v>3435</v>
      </c>
      <c r="H9" s="138" t="s">
        <v>3436</v>
      </c>
      <c r="I9" s="138" t="s">
        <v>3437</v>
      </c>
      <c r="J9" s="138" t="s">
        <v>3438</v>
      </c>
      <c r="K9" s="129" t="s">
        <v>3439</v>
      </c>
      <c r="L9" s="193" t="s">
        <v>239</v>
      </c>
      <c r="M9" s="153" t="s">
        <v>3440</v>
      </c>
      <c r="N9" s="190" t="s">
        <v>3441</v>
      </c>
      <c r="O9" s="139" t="s">
        <v>3442</v>
      </c>
      <c r="P9" s="139" t="s">
        <v>3443</v>
      </c>
      <c r="Q9" s="139" t="s">
        <v>3444</v>
      </c>
      <c r="R9" s="139" t="s">
        <v>3445</v>
      </c>
      <c r="S9" s="128" t="s">
        <v>3446</v>
      </c>
      <c r="T9" s="138" t="s">
        <v>3447</v>
      </c>
      <c r="U9" s="138" t="s">
        <v>3448</v>
      </c>
      <c r="V9" s="191" t="s">
        <v>3449</v>
      </c>
      <c r="W9" s="191" t="s">
        <v>3450</v>
      </c>
      <c r="X9" s="191" t="s">
        <v>3451</v>
      </c>
      <c r="Y9" s="191" t="s">
        <v>3452</v>
      </c>
      <c r="Z9" s="26"/>
    </row>
    <row r="10" spans="1:26" ht="12.75" customHeight="1" x14ac:dyDescent="0.2">
      <c r="A10" s="65" t="s">
        <v>3453</v>
      </c>
      <c r="B10" s="69"/>
      <c r="D10" s="64">
        <v>1</v>
      </c>
      <c r="E10" s="64" t="s">
        <v>3683</v>
      </c>
      <c r="F10" s="64">
        <v>1</v>
      </c>
      <c r="G10" s="64" t="s">
        <v>10</v>
      </c>
      <c r="H10" s="64"/>
      <c r="I10" s="64" t="s">
        <v>3684</v>
      </c>
      <c r="J10" s="64" t="s">
        <v>3683</v>
      </c>
      <c r="K10" s="64" t="s">
        <v>3706</v>
      </c>
      <c r="L10" s="23"/>
      <c r="M10" s="154" t="e">
        <f>VLOOKUP(Table272627[[#This Row],[Data Element]],Lookups2!AM:AN,2,FALSE)</f>
        <v>#N/A</v>
      </c>
      <c r="N10" s="64" t="s">
        <v>3707</v>
      </c>
      <c r="O10" s="64" t="s">
        <v>3708</v>
      </c>
      <c r="P10" s="64"/>
      <c r="Q10" s="64"/>
      <c r="R10" s="64"/>
      <c r="S10" s="64" t="s">
        <v>387</v>
      </c>
      <c r="T10" s="64"/>
      <c r="U10" s="64"/>
      <c r="V10" s="64"/>
      <c r="W10" s="64"/>
      <c r="X10" s="64"/>
      <c r="Y10" s="72"/>
      <c r="Z10" s="26"/>
    </row>
    <row r="11" spans="1:26" ht="25.5" x14ac:dyDescent="0.2">
      <c r="A11" s="148" t="s">
        <v>153</v>
      </c>
      <c r="B11" s="23" t="s">
        <v>4119</v>
      </c>
      <c r="D11" s="64">
        <v>2</v>
      </c>
      <c r="E11" s="64" t="s">
        <v>3679</v>
      </c>
      <c r="F11" s="64">
        <v>1</v>
      </c>
      <c r="G11" s="64" t="s">
        <v>259</v>
      </c>
      <c r="H11" s="64"/>
      <c r="I11" s="64"/>
      <c r="J11" s="64" t="s">
        <v>3679</v>
      </c>
      <c r="K11" s="212" t="s">
        <v>3709</v>
      </c>
      <c r="L11" s="202" t="s">
        <v>844</v>
      </c>
      <c r="M11" s="154" t="s">
        <v>845</v>
      </c>
      <c r="N11" s="64" t="s">
        <v>3707</v>
      </c>
      <c r="O11" s="64" t="s">
        <v>3708</v>
      </c>
      <c r="P11" s="64"/>
      <c r="Q11" s="64"/>
      <c r="R11" s="64"/>
      <c r="S11" s="64" t="s">
        <v>387</v>
      </c>
      <c r="T11" s="64"/>
      <c r="U11" s="64"/>
      <c r="V11" s="64"/>
      <c r="W11" s="64"/>
      <c r="X11" s="64"/>
      <c r="Y11" s="72"/>
      <c r="Z11" s="26"/>
    </row>
    <row r="12" spans="1:26" x14ac:dyDescent="0.2">
      <c r="A12" s="194" t="s">
        <v>3454</v>
      </c>
      <c r="B12" s="62" t="s">
        <v>3350</v>
      </c>
      <c r="D12" s="64">
        <v>3</v>
      </c>
      <c r="E12" s="64" t="s">
        <v>3681</v>
      </c>
      <c r="F12" s="64">
        <v>1</v>
      </c>
      <c r="G12" s="64" t="s">
        <v>259</v>
      </c>
      <c r="H12" s="64"/>
      <c r="I12" s="64"/>
      <c r="J12" s="64" t="s">
        <v>3681</v>
      </c>
      <c r="K12" s="64" t="s">
        <v>3710</v>
      </c>
      <c r="L12" s="211"/>
      <c r="M12" s="154" t="e">
        <f>VLOOKUP(Table272627[[#This Row],[Data Element]],Lookups2!AM:AN,2,FALSE)</f>
        <v>#N/A</v>
      </c>
      <c r="N12" s="64" t="s">
        <v>3707</v>
      </c>
      <c r="O12" s="64" t="s">
        <v>3708</v>
      </c>
      <c r="P12" s="64"/>
      <c r="Q12" s="64"/>
      <c r="R12" s="64"/>
      <c r="S12" s="64" t="s">
        <v>387</v>
      </c>
      <c r="T12" s="64"/>
      <c r="U12" s="64"/>
      <c r="V12" s="64"/>
      <c r="W12" s="64"/>
      <c r="X12" s="64"/>
      <c r="Y12" s="72"/>
    </row>
    <row r="13" spans="1:26" x14ac:dyDescent="0.2">
      <c r="A13" s="195" t="s">
        <v>3455</v>
      </c>
      <c r="B13" s="62" t="s">
        <v>3711</v>
      </c>
    </row>
    <row r="14" spans="1:26" x14ac:dyDescent="0.2">
      <c r="A14" s="196" t="s">
        <v>234</v>
      </c>
      <c r="B14" s="116" t="s">
        <v>264</v>
      </c>
    </row>
    <row r="15" spans="1:26" x14ac:dyDescent="0.2">
      <c r="A15" s="149"/>
      <c r="B15" s="26"/>
    </row>
    <row r="16" spans="1:26" x14ac:dyDescent="0.2">
      <c r="A16" s="150" t="s">
        <v>3456</v>
      </c>
      <c r="B16" s="69"/>
    </row>
    <row r="17" spans="1:2" x14ac:dyDescent="0.2">
      <c r="A17" s="151" t="s">
        <v>3457</v>
      </c>
      <c r="B17" s="175" t="s">
        <v>303</v>
      </c>
    </row>
    <row r="18" spans="1:2" x14ac:dyDescent="0.2">
      <c r="A18" s="151" t="s">
        <v>3458</v>
      </c>
      <c r="B18" s="175" t="s">
        <v>513</v>
      </c>
    </row>
    <row r="19" spans="1:2" ht="78" customHeight="1" x14ac:dyDescent="0.2">
      <c r="A19" s="71" t="s">
        <v>238</v>
      </c>
      <c r="B19" s="182" t="str">
        <f>VLOOKUP(B18,Lookups2!AI:AJ,2,0)</f>
        <v>Conversion of one currency into another currency</v>
      </c>
    </row>
    <row r="20" spans="1:2" x14ac:dyDescent="0.2">
      <c r="A20" s="149"/>
      <c r="B20" s="26"/>
    </row>
    <row r="21" spans="1:2" x14ac:dyDescent="0.2">
      <c r="A21" s="150" t="s">
        <v>3459</v>
      </c>
      <c r="B21" s="69"/>
    </row>
    <row r="22" spans="1:2" x14ac:dyDescent="0.2">
      <c r="A22" s="151" t="s">
        <v>3460</v>
      </c>
      <c r="B22" s="84" t="s">
        <v>276</v>
      </c>
    </row>
    <row r="23" spans="1:2" x14ac:dyDescent="0.2">
      <c r="A23" s="151" t="s">
        <v>3461</v>
      </c>
      <c r="B23" s="84" t="s">
        <v>276</v>
      </c>
    </row>
    <row r="24" spans="1:2" x14ac:dyDescent="0.2">
      <c r="A24" s="151" t="s">
        <v>3462</v>
      </c>
      <c r="B24" s="84" t="s">
        <v>276</v>
      </c>
    </row>
    <row r="25" spans="1:2" x14ac:dyDescent="0.2">
      <c r="A25" s="151" t="s">
        <v>3463</v>
      </c>
      <c r="B25" s="84" t="s">
        <v>276</v>
      </c>
    </row>
    <row r="26" spans="1:2" x14ac:dyDescent="0.2">
      <c r="A26" s="151" t="s">
        <v>3464</v>
      </c>
      <c r="B26" s="84" t="s">
        <v>276</v>
      </c>
    </row>
    <row r="27" spans="1:2" x14ac:dyDescent="0.2">
      <c r="A27" s="173" t="s">
        <v>3465</v>
      </c>
      <c r="B27" s="84"/>
    </row>
    <row r="28" spans="1:2" x14ac:dyDescent="0.2">
      <c r="A28" s="149"/>
      <c r="B28" s="26"/>
    </row>
    <row r="29" spans="1:2" x14ac:dyDescent="0.2">
      <c r="A29" s="65" t="s">
        <v>3446</v>
      </c>
      <c r="B29" s="69"/>
    </row>
    <row r="30" spans="1:2" x14ac:dyDescent="0.2">
      <c r="A30" s="134" t="s">
        <v>3466</v>
      </c>
      <c r="B30" s="84" t="s">
        <v>387</v>
      </c>
    </row>
    <row r="31" spans="1:2" x14ac:dyDescent="0.2">
      <c r="A31" s="8"/>
      <c r="B31" s="9"/>
    </row>
    <row r="32" spans="1:2" x14ac:dyDescent="0.2">
      <c r="A32" s="65" t="s">
        <v>3467</v>
      </c>
      <c r="B32" s="69"/>
    </row>
    <row r="33" spans="1:2" ht="14.25" x14ac:dyDescent="0.25">
      <c r="A33" s="134" t="s">
        <v>232</v>
      </c>
      <c r="B33" s="176" t="s">
        <v>377</v>
      </c>
    </row>
    <row r="34" spans="1:2" x14ac:dyDescent="0.2">
      <c r="A34" s="67" t="s">
        <v>3468</v>
      </c>
      <c r="B34" s="68" t="s">
        <v>3712</v>
      </c>
    </row>
    <row r="35" spans="1:2" ht="14.25" x14ac:dyDescent="0.25">
      <c r="A35" s="73"/>
      <c r="B35" s="73"/>
    </row>
    <row r="36" spans="1:2" x14ac:dyDescent="0.2">
      <c r="A36" s="65" t="s">
        <v>754</v>
      </c>
      <c r="B36" s="69"/>
    </row>
    <row r="37" spans="1:2" ht="14.25" x14ac:dyDescent="0.25">
      <c r="A37" s="135" t="s">
        <v>3469</v>
      </c>
      <c r="B37" s="70"/>
    </row>
    <row r="38" spans="1:2" x14ac:dyDescent="0.2">
      <c r="A38" s="136" t="s">
        <v>3470</v>
      </c>
      <c r="B38" s="68"/>
    </row>
    <row r="40" spans="1:2" x14ac:dyDescent="0.2">
      <c r="A40" s="65" t="s">
        <v>3471</v>
      </c>
      <c r="B40" s="66"/>
    </row>
    <row r="41" spans="1:2" x14ac:dyDescent="0.2">
      <c r="A41" s="152" t="s">
        <v>3472</v>
      </c>
      <c r="B41" s="64"/>
    </row>
    <row r="42" spans="1:2" x14ac:dyDescent="0.2">
      <c r="A42" s="152" t="s">
        <v>3473</v>
      </c>
      <c r="B42" s="64"/>
    </row>
    <row r="44" spans="1:2" x14ac:dyDescent="0.2">
      <c r="A44" s="250" t="s">
        <v>3474</v>
      </c>
      <c r="B44" s="251"/>
    </row>
    <row r="45" spans="1:2" x14ac:dyDescent="0.2">
      <c r="A45" s="131" t="s">
        <v>3475</v>
      </c>
      <c r="B45" s="12" t="s">
        <v>255</v>
      </c>
    </row>
    <row r="46" spans="1:2" x14ac:dyDescent="0.2">
      <c r="A46" s="132" t="s">
        <v>3476</v>
      </c>
      <c r="B46" s="54" t="s">
        <v>440</v>
      </c>
    </row>
    <row r="47" spans="1:2" x14ac:dyDescent="0.2">
      <c r="A47" s="132" t="s">
        <v>3477</v>
      </c>
      <c r="B47" s="55" t="s">
        <v>3570</v>
      </c>
    </row>
    <row r="48" spans="1:2" x14ac:dyDescent="0.2">
      <c r="A48" s="133" t="s">
        <v>3478</v>
      </c>
      <c r="B48" s="50" t="s">
        <v>440</v>
      </c>
    </row>
    <row r="49" spans="1:2" x14ac:dyDescent="0.2">
      <c r="A49" s="133" t="s">
        <v>3479</v>
      </c>
      <c r="B49" s="49" t="s">
        <v>3571</v>
      </c>
    </row>
    <row r="50" spans="1:2" x14ac:dyDescent="0.2">
      <c r="A50" s="44" t="s">
        <v>3480</v>
      </c>
      <c r="B50" s="28" t="s">
        <v>3572</v>
      </c>
    </row>
    <row r="51" spans="1:2" x14ac:dyDescent="0.2">
      <c r="A51" s="192" t="s">
        <v>3481</v>
      </c>
      <c r="B51" s="282"/>
    </row>
    <row r="52" spans="1:2" x14ac:dyDescent="0.2">
      <c r="A52" s="81"/>
      <c r="B52" s="283"/>
    </row>
    <row r="53" spans="1:2" x14ac:dyDescent="0.2">
      <c r="A53" s="81"/>
      <c r="B53" s="283"/>
    </row>
    <row r="54" spans="1:2" x14ac:dyDescent="0.2">
      <c r="A54" s="81"/>
      <c r="B54" s="283"/>
    </row>
    <row r="55" spans="1:2" x14ac:dyDescent="0.2">
      <c r="A55" s="81"/>
      <c r="B55" s="283"/>
    </row>
    <row r="56" spans="1:2" x14ac:dyDescent="0.2">
      <c r="A56" s="81"/>
      <c r="B56" s="283"/>
    </row>
    <row r="57" spans="1:2" x14ac:dyDescent="0.2">
      <c r="A57" s="81"/>
      <c r="B57" s="283"/>
    </row>
    <row r="58" spans="1:2" x14ac:dyDescent="0.2">
      <c r="A58" s="82"/>
      <c r="B58" s="284"/>
    </row>
    <row r="60" spans="1:2" x14ac:dyDescent="0.2">
      <c r="A60" s="65" t="s">
        <v>3482</v>
      </c>
      <c r="B60" s="69"/>
    </row>
    <row r="61" spans="1:2" x14ac:dyDescent="0.2">
      <c r="A61" s="61" t="s">
        <v>3483</v>
      </c>
      <c r="B61" s="23"/>
    </row>
    <row r="63" spans="1:2" x14ac:dyDescent="0.2">
      <c r="A63" s="250" t="s">
        <v>3484</v>
      </c>
      <c r="B63" s="251"/>
    </row>
    <row r="64" spans="1:2" x14ac:dyDescent="0.2">
      <c r="A64" s="197" t="s">
        <v>3475</v>
      </c>
      <c r="B64" s="91"/>
    </row>
    <row r="65" spans="1:2" x14ac:dyDescent="0.2">
      <c r="A65" s="198" t="s">
        <v>3476</v>
      </c>
      <c r="B65" s="92"/>
    </row>
    <row r="66" spans="1:2" x14ac:dyDescent="0.2">
      <c r="A66" s="198" t="s">
        <v>3477</v>
      </c>
      <c r="B66" s="55"/>
    </row>
    <row r="67" spans="1:2" ht="12.75" customHeight="1" x14ac:dyDescent="0.2">
      <c r="A67" s="107" t="s">
        <v>238</v>
      </c>
      <c r="B67" s="323" t="s">
        <v>4107</v>
      </c>
    </row>
    <row r="68" spans="1:2" x14ac:dyDescent="0.2">
      <c r="A68" s="81"/>
      <c r="B68" s="324"/>
    </row>
    <row r="69" spans="1:2" x14ac:dyDescent="0.2">
      <c r="A69" s="81"/>
      <c r="B69" s="324"/>
    </row>
    <row r="70" spans="1:2" x14ac:dyDescent="0.2">
      <c r="A70" s="81"/>
      <c r="B70" s="324"/>
    </row>
    <row r="71" spans="1:2" x14ac:dyDescent="0.2">
      <c r="A71" s="81"/>
      <c r="B71" s="324"/>
    </row>
    <row r="72" spans="1:2" x14ac:dyDescent="0.2">
      <c r="A72" s="81"/>
      <c r="B72" s="324"/>
    </row>
    <row r="73" spans="1:2" x14ac:dyDescent="0.2">
      <c r="A73" s="81"/>
      <c r="B73" s="324"/>
    </row>
    <row r="74" spans="1:2" x14ac:dyDescent="0.2">
      <c r="A74" s="82"/>
      <c r="B74" s="325"/>
    </row>
    <row r="76" spans="1:2" x14ac:dyDescent="0.2">
      <c r="A76" s="271" t="s">
        <v>3338</v>
      </c>
      <c r="B76" s="113"/>
    </row>
    <row r="77" spans="1:2" x14ac:dyDescent="0.2">
      <c r="A77" s="143" t="s">
        <v>3485</v>
      </c>
      <c r="B77" s="78"/>
    </row>
    <row r="78" spans="1:2" x14ac:dyDescent="0.2">
      <c r="A78" s="143" t="s">
        <v>3338</v>
      </c>
      <c r="B78" s="77"/>
    </row>
    <row r="79" spans="1:2" x14ac:dyDescent="0.2">
      <c r="A79" s="143" t="s">
        <v>3486</v>
      </c>
      <c r="B79" s="79"/>
    </row>
    <row r="80" spans="1:2" x14ac:dyDescent="0.2">
      <c r="B80" s="115"/>
    </row>
    <row r="81" spans="1:2" x14ac:dyDescent="0.2">
      <c r="B81" s="115"/>
    </row>
    <row r="82" spans="1:2" x14ac:dyDescent="0.2">
      <c r="A82" s="108" t="s">
        <v>3487</v>
      </c>
      <c r="B82" s="109"/>
    </row>
    <row r="83" spans="1:2" x14ac:dyDescent="0.2">
      <c r="A83" s="57" t="s">
        <v>3488</v>
      </c>
      <c r="B83" s="57"/>
    </row>
    <row r="84" spans="1:2" x14ac:dyDescent="0.2">
      <c r="A84" s="144" t="s">
        <v>3489</v>
      </c>
      <c r="B84" s="49"/>
    </row>
    <row r="85" spans="1:2" x14ac:dyDescent="0.2">
      <c r="A85" s="144" t="s">
        <v>3490</v>
      </c>
      <c r="B85" s="49"/>
    </row>
    <row r="86" spans="1:2" x14ac:dyDescent="0.2">
      <c r="A86" s="144" t="s">
        <v>3491</v>
      </c>
      <c r="B86" s="49"/>
    </row>
    <row r="87" spans="1:2" x14ac:dyDescent="0.2">
      <c r="A87" s="145" t="s">
        <v>238</v>
      </c>
      <c r="B87" s="106"/>
    </row>
    <row r="89" spans="1:2" x14ac:dyDescent="0.2">
      <c r="A89" s="250" t="s">
        <v>3492</v>
      </c>
      <c r="B89" s="251"/>
    </row>
    <row r="90" spans="1:2" x14ac:dyDescent="0.2">
      <c r="A90" s="144" t="s">
        <v>3475</v>
      </c>
      <c r="B90" s="12" t="s">
        <v>345</v>
      </c>
    </row>
    <row r="91" spans="1:2" x14ac:dyDescent="0.2">
      <c r="A91" s="145" t="s">
        <v>3476</v>
      </c>
      <c r="B91" s="54"/>
    </row>
    <row r="92" spans="1:2" x14ac:dyDescent="0.2">
      <c r="A92" s="145" t="s">
        <v>3477</v>
      </c>
      <c r="B92" s="55"/>
    </row>
    <row r="93" spans="1:2" x14ac:dyDescent="0.2">
      <c r="A93" s="146" t="s">
        <v>3478</v>
      </c>
      <c r="B93" s="50"/>
    </row>
    <row r="94" spans="1:2" x14ac:dyDescent="0.2">
      <c r="A94" s="146" t="s">
        <v>3479</v>
      </c>
      <c r="B94" s="49"/>
    </row>
    <row r="95" spans="1:2" x14ac:dyDescent="0.2">
      <c r="A95" s="147" t="s">
        <v>3480</v>
      </c>
      <c r="B95" s="28"/>
    </row>
    <row r="96" spans="1:2" x14ac:dyDescent="0.2">
      <c r="A96" s="272" t="s">
        <v>3481</v>
      </c>
      <c r="B96" s="282"/>
    </row>
    <row r="97" spans="1:2" x14ac:dyDescent="0.2">
      <c r="A97" s="273"/>
      <c r="B97" s="283"/>
    </row>
    <row r="98" spans="1:2" x14ac:dyDescent="0.2">
      <c r="A98" s="273"/>
      <c r="B98" s="283"/>
    </row>
    <row r="99" spans="1:2" x14ac:dyDescent="0.2">
      <c r="A99" s="273"/>
      <c r="B99" s="283"/>
    </row>
    <row r="100" spans="1:2" x14ac:dyDescent="0.2">
      <c r="A100" s="273"/>
      <c r="B100" s="283"/>
    </row>
    <row r="101" spans="1:2" x14ac:dyDescent="0.2">
      <c r="A101" s="273"/>
      <c r="B101" s="283"/>
    </row>
    <row r="102" spans="1:2" x14ac:dyDescent="0.2">
      <c r="A102" s="273"/>
      <c r="B102" s="283"/>
    </row>
    <row r="103" spans="1:2" x14ac:dyDescent="0.2">
      <c r="A103" s="274"/>
      <c r="B103" s="284"/>
    </row>
    <row r="105" spans="1:2" x14ac:dyDescent="0.2">
      <c r="A105" s="271" t="s">
        <v>3493</v>
      </c>
      <c r="B105" s="113"/>
    </row>
    <row r="106" spans="1:2" x14ac:dyDescent="0.2">
      <c r="A106" s="143" t="s">
        <v>3494</v>
      </c>
      <c r="B106" s="78"/>
    </row>
    <row r="108" spans="1:2" x14ac:dyDescent="0.2">
      <c r="A108" s="271" t="s">
        <v>3495</v>
      </c>
      <c r="B108" s="113"/>
    </row>
    <row r="109" spans="1:2" x14ac:dyDescent="0.2">
      <c r="A109" s="143" t="s">
        <v>3483</v>
      </c>
      <c r="B109" s="78"/>
    </row>
    <row r="110" spans="1:2" x14ac:dyDescent="0.2">
      <c r="A110" s="143" t="s">
        <v>3496</v>
      </c>
      <c r="B110" s="78"/>
    </row>
  </sheetData>
  <sheetProtection formatCells="0"/>
  <mergeCells count="12">
    <mergeCell ref="B96:B103"/>
    <mergeCell ref="G2:I2"/>
    <mergeCell ref="A3:F3"/>
    <mergeCell ref="B4:F4"/>
    <mergeCell ref="B5:F5"/>
    <mergeCell ref="B6:F6"/>
    <mergeCell ref="G8:J8"/>
    <mergeCell ref="K8:M8"/>
    <mergeCell ref="N8:R8"/>
    <mergeCell ref="V8:Y8"/>
    <mergeCell ref="B51:B58"/>
    <mergeCell ref="B67:B74"/>
  </mergeCells>
  <conditionalFormatting sqref="B31">
    <cfRule type="cellIs" dxfId="50" priority="23" operator="equal">
      <formula>"?"</formula>
    </cfRule>
  </conditionalFormatting>
  <conditionalFormatting sqref="B94">
    <cfRule type="cellIs" dxfId="49" priority="16" operator="equal">
      <formula>"&lt;unk.&gt;"</formula>
    </cfRule>
  </conditionalFormatting>
  <conditionalFormatting sqref="B95">
    <cfRule type="cellIs" dxfId="48" priority="15" operator="equal">
      <formula>"&lt;unk.&gt;"</formula>
    </cfRule>
  </conditionalFormatting>
  <conditionalFormatting sqref="B84:B87">
    <cfRule type="cellIs" dxfId="47" priority="14" operator="equal">
      <formula>"&lt;unk.&gt;"</formula>
    </cfRule>
  </conditionalFormatting>
  <conditionalFormatting sqref="B27">
    <cfRule type="cellIs" dxfId="46" priority="13" operator="equal">
      <formula>"&lt;unk.&gt;"</formula>
    </cfRule>
  </conditionalFormatting>
  <conditionalFormatting sqref="B66">
    <cfRule type="cellIs" dxfId="45" priority="22" operator="equal">
      <formula>"&lt;unk.&gt;"</formula>
    </cfRule>
  </conditionalFormatting>
  <conditionalFormatting sqref="B64">
    <cfRule type="cellIs" dxfId="44" priority="21" operator="equal">
      <formula>"&lt;unk.&gt;"</formula>
    </cfRule>
  </conditionalFormatting>
  <conditionalFormatting sqref="B65">
    <cfRule type="cellIs" dxfId="43" priority="20" operator="equal">
      <formula>"&lt;unk.&gt;"</formula>
    </cfRule>
  </conditionalFormatting>
  <conditionalFormatting sqref="B92:B93">
    <cfRule type="cellIs" dxfId="42" priority="19" operator="equal">
      <formula>"&lt;unk.&gt;"</formula>
    </cfRule>
  </conditionalFormatting>
  <conditionalFormatting sqref="B90">
    <cfRule type="cellIs" dxfId="41" priority="18" operator="equal">
      <formula>"&lt;unk.&gt;"</formula>
    </cfRule>
  </conditionalFormatting>
  <conditionalFormatting sqref="B91">
    <cfRule type="cellIs" dxfId="40" priority="17" operator="equal">
      <formula>"&lt;unk.&gt;"</formula>
    </cfRule>
  </conditionalFormatting>
  <conditionalFormatting sqref="B30">
    <cfRule type="cellIs" dxfId="39" priority="12" operator="equal">
      <formula>"&lt;unk.&gt;"</formula>
    </cfRule>
  </conditionalFormatting>
  <conditionalFormatting sqref="B47:B48">
    <cfRule type="cellIs" dxfId="38" priority="11" operator="equal">
      <formula>"&lt;unk.&gt;"</formula>
    </cfRule>
  </conditionalFormatting>
  <conditionalFormatting sqref="B45">
    <cfRule type="cellIs" dxfId="37" priority="10" operator="equal">
      <formula>"&lt;unk.&gt;"</formula>
    </cfRule>
  </conditionalFormatting>
  <conditionalFormatting sqref="B46">
    <cfRule type="cellIs" dxfId="36" priority="9" operator="equal">
      <formula>"&lt;unk.&gt;"</formula>
    </cfRule>
  </conditionalFormatting>
  <conditionalFormatting sqref="B49">
    <cfRule type="cellIs" dxfId="35" priority="8" operator="equal">
      <formula>"&lt;unk.&gt;"</formula>
    </cfRule>
  </conditionalFormatting>
  <conditionalFormatting sqref="B50">
    <cfRule type="cellIs" dxfId="34" priority="7" operator="equal">
      <formula>"&lt;unk.&gt;"</formula>
    </cfRule>
  </conditionalFormatting>
  <conditionalFormatting sqref="D10:E12">
    <cfRule type="expression" dxfId="33" priority="6">
      <formula>MOD(ROW(),2)=0</formula>
    </cfRule>
  </conditionalFormatting>
  <conditionalFormatting sqref="I10">
    <cfRule type="expression" dxfId="32" priority="5">
      <formula>MOD(ROW(),2)=0</formula>
    </cfRule>
  </conditionalFormatting>
  <conditionalFormatting sqref="K10:K12">
    <cfRule type="expression" dxfId="31" priority="4">
      <formula>MOD(ROW(),2)=0</formula>
    </cfRule>
  </conditionalFormatting>
  <conditionalFormatting sqref="K10:K12">
    <cfRule type="expression" dxfId="30" priority="3">
      <formula>MOD(ROW(),2)=0</formula>
    </cfRule>
  </conditionalFormatting>
  <conditionalFormatting sqref="J10:J12">
    <cfRule type="expression" dxfId="29" priority="2">
      <formula>MOD(ROW(),2)=0</formula>
    </cfRule>
  </conditionalFormatting>
  <conditionalFormatting sqref="J10:J12">
    <cfRule type="expression" dxfId="28" priority="1">
      <formula>MOD(ROW(),2)=0</formula>
    </cfRule>
  </conditionalFormatting>
  <dataValidations count="5">
    <dataValidation type="list" allowBlank="1" showInputMessage="1" showErrorMessage="1" sqref="B18" xr:uid="{00000000-0002-0000-2400-000000000000}">
      <formula1>INDIRECT(SUBSTITUTE(SUBSTITUTE(SUBSTITUTE(B17," ","_"),"&amp;",""),"/",""))</formula1>
    </dataValidation>
    <dataValidation type="list" allowBlank="1" showInputMessage="1" showErrorMessage="1" sqref="B22:B26" xr:uid="{00000000-0002-0000-2400-000001000000}">
      <formula1>LYesNo</formula1>
    </dataValidation>
    <dataValidation type="list" allowBlank="1" showInputMessage="1" showErrorMessage="1" sqref="Y10:Y12" xr:uid="{00000000-0002-0000-2400-000002000000}">
      <formula1>INDIRECT($X10)</formula1>
    </dataValidation>
    <dataValidation type="list" allowBlank="1" showInputMessage="1" showErrorMessage="1" sqref="B90 B64 B45" xr:uid="{00000000-0002-0000-2400-000003000000}">
      <formula1>LPeriods</formula1>
    </dataValidation>
    <dataValidation type="list" allowBlank="1" showInputMessage="1" showErrorMessage="1" sqref="B91 B93 B65 B46 B48" xr:uid="{00000000-0002-0000-2400-000004000000}">
      <formula1>LCals</formula1>
    </dataValidation>
  </dataValidations>
  <pageMargins left="0.7" right="0.7" top="0.75" bottom="0.75" header="0.3" footer="0.3"/>
  <pageSetup paperSize="9" orientation="portrait" r:id="rId2"/>
  <legacyDrawing r:id="rId3"/>
  <tableParts count="1">
    <tablePart r:id="rId4"/>
  </tableParts>
  <extLst>
    <ext xmlns:x14="http://schemas.microsoft.com/office/spreadsheetml/2009/9/main" uri="{CCE6A557-97BC-4b89-ADB6-D9C93CAAB3DF}">
      <x14:dataValidations xmlns:xm="http://schemas.microsoft.com/office/excel/2006/main" count="11">
        <x14:dataValidation type="list" allowBlank="1" showInputMessage="1" showErrorMessage="1" xr:uid="{00000000-0002-0000-2400-000005000000}">
          <x14:formula1>
            <xm:f>Lookups2!$K$28:$K$46</xm:f>
          </x14:formula1>
          <xm:sqref>U10:U12</xm:sqref>
        </x14:dataValidation>
        <x14:dataValidation type="list" showInputMessage="1" showErrorMessage="1" xr:uid="{00000000-0002-0000-2400-000006000000}">
          <x14:formula1>
            <xm:f>Lookups2!$AG$2:$AG$28</xm:f>
          </x14:formula1>
          <xm:sqref>B17</xm:sqref>
        </x14:dataValidation>
        <x14:dataValidation type="list" allowBlank="1" showInputMessage="1" showErrorMessage="1" xr:uid="{00000000-0002-0000-2400-000007000000}">
          <x14:formula1>
            <xm:f>Lookups2!$C$8:$C$11</xm:f>
          </x14:formula1>
          <xm:sqref>B30</xm:sqref>
        </x14:dataValidation>
        <x14:dataValidation type="list" allowBlank="1" showInputMessage="1" showErrorMessage="1" xr:uid="{00000000-0002-0000-2400-000008000000}">
          <x14:formula1>
            <xm:f>Lookups2!$Q$15:$Q$20</xm:f>
          </x14:formula1>
          <xm:sqref>G10:G12</xm:sqref>
        </x14:dataValidation>
        <x14:dataValidation type="list" allowBlank="1" showInputMessage="1" showErrorMessage="1" xr:uid="{00000000-0002-0000-2400-000009000000}">
          <x14:formula1>
            <xm:f>Lookups2!$M$35:$M$36</xm:f>
          </x14:formula1>
          <xm:sqref>V10:V12 H10:H12</xm:sqref>
        </x14:dataValidation>
        <x14:dataValidation type="list" allowBlank="1" showInputMessage="1" showErrorMessage="1" xr:uid="{00000000-0002-0000-2400-00000A000000}">
          <x14:formula1>
            <xm:f>EDOAlgo!$A$1:$R$1</xm:f>
          </x14:formula1>
          <xm:sqref>X10:X12</xm:sqref>
        </x14:dataValidation>
        <x14:dataValidation type="list" allowBlank="1" showInputMessage="1" showErrorMessage="1" xr:uid="{00000000-0002-0000-2400-00000B000000}">
          <x14:formula1>
            <xm:f>Lookups2!$M$41:$M$45</xm:f>
          </x14:formula1>
          <xm:sqref>S10:S12</xm:sqref>
        </x14:dataValidation>
        <x14:dataValidation type="list" allowBlank="1" showInputMessage="1" showErrorMessage="1" xr:uid="{00000000-0002-0000-2400-00000C000000}">
          <x14:formula1>
            <xm:f>INDIRECT(Lookups2!$K$9)</xm:f>
          </x14:formula1>
          <xm:sqref>T10:T12</xm:sqref>
        </x14:dataValidation>
        <x14:dataValidation type="list" allowBlank="1" showInputMessage="1" showErrorMessage="1" xr:uid="{00000000-0002-0000-2400-00000D000000}">
          <x14:formula1>
            <xm:f>Lookups2!$C$40:$C$45</xm:f>
          </x14:formula1>
          <xm:sqref>B78</xm:sqref>
        </x14:dataValidation>
        <x14:dataValidation type="list" allowBlank="1" showInputMessage="1" showErrorMessage="1" xr:uid="{00000000-0002-0000-2400-00000E000000}">
          <x14:formula1>
            <xm:f>Lookups2!$AC$2:$AC$3</xm:f>
          </x14:formula1>
          <xm:sqref>B14:B15</xm:sqref>
        </x14:dataValidation>
        <x14:dataValidation type="list" allowBlank="1" showInputMessage="1" showErrorMessage="1" xr:uid="{00000000-0002-0000-2400-00000F000000}">
          <x14:formula1>
            <xm:f>Lookups2!$Y$8:$Y$10</xm:f>
          </x14:formula1>
          <xm:sqref>B33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58455f3b-936c-40c2-9707-274b25579ad5">
      <UserInfo>
        <DisplayName>Shorrock, Thomas (CDQC 10)</DisplayName>
        <AccountId>135</AccountId>
        <AccountType/>
      </UserInfo>
    </SharedWithUsers>
    <Status xmlns="060e30b3-39b0-47b7-9e4b-63e8e4b0952b">In Progress</Status>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00CD39A73F93D145A218EE4985D5BD9B" ma:contentTypeVersion="4" ma:contentTypeDescription="Create a new document." ma:contentTypeScope="" ma:versionID="f234db9acdd7fda155d997f826b609fe">
  <xsd:schema xmlns:xsd="http://www.w3.org/2001/XMLSchema" xmlns:xs="http://www.w3.org/2001/XMLSchema" xmlns:p="http://schemas.microsoft.com/office/2006/metadata/properties" xmlns:ns2="060e30b3-39b0-47b7-9e4b-63e8e4b0952b" xmlns:ns3="58455f3b-936c-40c2-9707-274b25579ad5" targetNamespace="http://schemas.microsoft.com/office/2006/metadata/properties" ma:root="true" ma:fieldsID="41695a0ea81aa6bf9ff051516f74b78d" ns2:_="" ns3:_="">
    <xsd:import namespace="060e30b3-39b0-47b7-9e4b-63e8e4b0952b"/>
    <xsd:import namespace="58455f3b-936c-40c2-9707-274b25579ad5"/>
    <xsd:element name="properties">
      <xsd:complexType>
        <xsd:sequence>
          <xsd:element name="documentManagement">
            <xsd:complexType>
              <xsd:all>
                <xsd:element ref="ns2:Status"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0e30b3-39b0-47b7-9e4b-63e8e4b0952b" elementFormDefault="qualified">
    <xsd:import namespace="http://schemas.microsoft.com/office/2006/documentManagement/types"/>
    <xsd:import namespace="http://schemas.microsoft.com/office/infopath/2007/PartnerControls"/>
    <xsd:element name="Status" ma:index="4" nillable="true" ma:displayName="Status" ma:default="In Progress" ma:format="Dropdown" ma:internalName="Status" ma:readOnly="false">
      <xsd:simpleType>
        <xsd:restriction base="dms:Choice">
          <xsd:enumeration value="In Progress"/>
          <xsd:enumeration value="In Production"/>
        </xsd:restriction>
      </xsd:simpleType>
    </xsd:element>
  </xsd:schema>
  <xsd:schema xmlns:xsd="http://www.w3.org/2001/XMLSchema" xmlns:xs="http://www.w3.org/2001/XMLSchema" xmlns:dms="http://schemas.microsoft.com/office/2006/documentManagement/types" xmlns:pc="http://schemas.microsoft.com/office/infopath/2007/PartnerControls" targetNamespace="58455f3b-936c-40c2-9707-274b25579ad5" elementFormDefault="qualified">
    <xsd:import namespace="http://schemas.microsoft.com/office/2006/documentManagement/types"/>
    <xsd:import namespace="http://schemas.microsoft.com/office/infopath/2007/PartnerControls"/>
    <xsd:element name="SharedWithUsers" ma:index="9"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5"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DCDFCA8F-85A0-4733-B9DB-98341896B08C}">
  <ds:schemaRefs>
    <ds:schemaRef ds:uri="http://schemas.microsoft.com/DataMashup"/>
  </ds:schemaRefs>
</ds:datastoreItem>
</file>

<file path=customXml/itemProps2.xml><?xml version="1.0" encoding="utf-8"?>
<ds:datastoreItem xmlns:ds="http://schemas.openxmlformats.org/officeDocument/2006/customXml" ds:itemID="{CE3EA9CA-36DE-43E8-8B0F-22F10EA35F95}">
  <ds:schemaRefs>
    <ds:schemaRef ds:uri="http://schemas.microsoft.com/sharepoint/v3/contenttype/forms"/>
  </ds:schemaRefs>
</ds:datastoreItem>
</file>

<file path=customXml/itemProps3.xml><?xml version="1.0" encoding="utf-8"?>
<ds:datastoreItem xmlns:ds="http://schemas.openxmlformats.org/officeDocument/2006/customXml" ds:itemID="{508B088D-B386-43C1-8208-F6FB4220793E}">
  <ds:schemaRefs>
    <ds:schemaRef ds:uri="http://www.w3.org/XML/1998/namespace"/>
    <ds:schemaRef ds:uri="http://purl.org/dc/elements/1.1/"/>
    <ds:schemaRef ds:uri="060e30b3-39b0-47b7-9e4b-63e8e4b0952b"/>
    <ds:schemaRef ds:uri="58455f3b-936c-40c2-9707-274b25579ad5"/>
    <ds:schemaRef ds:uri="http://purl.org/dc/terms/"/>
    <ds:schemaRef ds:uri="http://schemas.microsoft.com/office/2006/documentManagement/types"/>
    <ds:schemaRef ds:uri="http://purl.org/dc/dcmitype/"/>
    <ds:schemaRef ds:uri="http://schemas.microsoft.com/office/infopath/2007/PartnerControls"/>
    <ds:schemaRef ds:uri="http://schemas.openxmlformats.org/package/2006/metadata/core-properties"/>
    <ds:schemaRef ds:uri="http://schemas.microsoft.com/office/2006/metadata/properties"/>
  </ds:schemaRefs>
</ds:datastoreItem>
</file>

<file path=customXml/itemProps4.xml><?xml version="1.0" encoding="utf-8"?>
<ds:datastoreItem xmlns:ds="http://schemas.openxmlformats.org/officeDocument/2006/customXml" ds:itemID="{FEAC911D-0A56-4682-BE5C-6693F1CBD4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0e30b3-39b0-47b7-9e4b-63e8e4b0952b"/>
    <ds:schemaRef ds:uri="58455f3b-936c-40c2-9707-274b25579ad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36</vt:i4>
      </vt:variant>
      <vt:variant>
        <vt:lpstr>Named Ranges</vt:lpstr>
      </vt:variant>
      <vt:variant>
        <vt:i4>103</vt:i4>
      </vt:variant>
    </vt:vector>
  </HeadingPairs>
  <TitlesOfParts>
    <vt:vector size="139" baseType="lpstr">
      <vt:lpstr>RACI Tasks</vt:lpstr>
      <vt:lpstr>EDOAlgo</vt:lpstr>
      <vt:lpstr>SettingsMtx</vt:lpstr>
      <vt:lpstr>Lookups2</vt:lpstr>
      <vt:lpstr>AllDatasets</vt:lpstr>
      <vt:lpstr>Summary</vt:lpstr>
      <vt:lpstr>Tempset</vt:lpstr>
      <vt:lpstr>0.Audit</vt:lpstr>
      <vt:lpstr>1.Data Source</vt:lpstr>
      <vt:lpstr>2.Approvals</vt:lpstr>
      <vt:lpstr>3.Contacts</vt:lpstr>
      <vt:lpstr>4.Interface</vt:lpstr>
      <vt:lpstr>5.Technical</vt:lpstr>
      <vt:lpstr>Dataset 1 fx_schredder</vt:lpstr>
      <vt:lpstr>Dataset 2 vix_prices</vt:lpstr>
      <vt:lpstr>Dataset 3 fx_rates_usd</vt:lpstr>
      <vt:lpstr>Dataset 4 vix_prices_archive</vt:lpstr>
      <vt:lpstr>Dataset 5 traded_loan_price</vt:lpstr>
      <vt:lpstr>Dataset 6 market_cds_price</vt:lpstr>
      <vt:lpstr>Dataset 7 trader_cds_price</vt:lpstr>
      <vt:lpstr>Dataset 8 eq_rt_pr</vt:lpstr>
      <vt:lpstr>Dataset 9 market_index_price</vt:lpstr>
      <vt:lpstr>Dataset 10 eq_rt_pr_adj_factor</vt:lpstr>
      <vt:lpstr>Dataset 11 reference_entity</vt:lpstr>
      <vt:lpstr>Dataset 12 debt_bb_pr</vt:lpstr>
      <vt:lpstr>Dataset 13 entity_csid</vt:lpstr>
      <vt:lpstr>Dataset 14 fx_zur</vt:lpstr>
      <vt:lpstr>Dataset 15 trader</vt:lpstr>
      <vt:lpstr>Dataset 16 fbtrader</vt:lpstr>
      <vt:lpstr>Dataset 17 contoption</vt:lpstr>
      <vt:lpstr>Dataset 18 index_bb_pr</vt:lpstr>
      <vt:lpstr>Dataset 19 ma_cr_idx_pr</vt:lpstr>
      <vt:lpstr>Dataset 20 commod_bb_pr</vt:lpstr>
      <vt:lpstr>Dataset 21 cmtfix</vt:lpstr>
      <vt:lpstr>Dataset 22 fx_rates_udi_xp_xa</vt:lpstr>
      <vt:lpstr>Dataset 23 fx_rates_historical</vt:lpstr>
      <vt:lpstr>Lookups2!ADDRESS</vt:lpstr>
      <vt:lpstr>ADDRESS</vt:lpstr>
      <vt:lpstr>Agreement</vt:lpstr>
      <vt:lpstr>APAC_Countries</vt:lpstr>
      <vt:lpstr>Asia_Pacific</vt:lpstr>
      <vt:lpstr>Banking_Product</vt:lpstr>
      <vt:lpstr>BLOB</vt:lpstr>
      <vt:lpstr>Business_Transactions</vt:lpstr>
      <vt:lpstr>Calendar__Time</vt:lpstr>
      <vt:lpstr>Capital_Measures</vt:lpstr>
      <vt:lpstr>CDUAlgo</vt:lpstr>
      <vt:lpstr>Chief_Operating_Officer_Function</vt:lpstr>
      <vt:lpstr>Collateral_Agreement</vt:lpstr>
      <vt:lpstr>COO_Countries</vt:lpstr>
      <vt:lpstr>Corporate___Other_Transactions</vt:lpstr>
      <vt:lpstr>Corporate__Other_Transactions</vt:lpstr>
      <vt:lpstr>CREDIT_CARD</vt:lpstr>
      <vt:lpstr>Credit_Risk</vt:lpstr>
      <vt:lpstr>Credit_Suisse_AG_Branches</vt:lpstr>
      <vt:lpstr>Credit_Suisse_Services_AG</vt:lpstr>
      <vt:lpstr>Credit_Suisse_Trust_AG</vt:lpstr>
      <vt:lpstr>CRO_ALGOS</vt:lpstr>
      <vt:lpstr>CS_COMPANY</vt:lpstr>
      <vt:lpstr>CS_Corporate_Data</vt:lpstr>
      <vt:lpstr>CS_Services_Countries</vt:lpstr>
      <vt:lpstr>CSAG_Countries</vt:lpstr>
      <vt:lpstr>CUS_RAPPORT</vt:lpstr>
      <vt:lpstr>DATE</vt:lpstr>
      <vt:lpstr>DERIVED</vt:lpstr>
      <vt:lpstr>Disclosures</vt:lpstr>
      <vt:lpstr>DTD_ALGOS</vt:lpstr>
      <vt:lpstr>DVSZ_CREDIT_CARD</vt:lpstr>
      <vt:lpstr>DVSZ_IBAN_NOS</vt:lpstr>
      <vt:lpstr>DVSZ_SYNTHETIC_DATA</vt:lpstr>
      <vt:lpstr>EDOAlgo__A_2__A_15</vt:lpstr>
      <vt:lpstr>EMAIL</vt:lpstr>
      <vt:lpstr>England_and_Wales_United_Kingdome</vt:lpstr>
      <vt:lpstr>Enterprise_Risk</vt:lpstr>
      <vt:lpstr>Financial_Instrument</vt:lpstr>
      <vt:lpstr>Geographical</vt:lpstr>
      <vt:lpstr>IB_Countries</vt:lpstr>
      <vt:lpstr>IDENTIFICATION</vt:lpstr>
      <vt:lpstr>Industry_Sector_Classification</vt:lpstr>
      <vt:lpstr>International_Wealth_Management</vt:lpstr>
      <vt:lpstr>INTL_ADDRESS</vt:lpstr>
      <vt:lpstr>Investment_Bank</vt:lpstr>
      <vt:lpstr>IWM_Countries</vt:lpstr>
      <vt:lpstr>KEY</vt:lpstr>
      <vt:lpstr>LApprovalStatus</vt:lpstr>
      <vt:lpstr>LApprovalTypes</vt:lpstr>
      <vt:lpstr>LAttType</vt:lpstr>
      <vt:lpstr>LAutomations</vt:lpstr>
      <vt:lpstr>LCals</vt:lpstr>
      <vt:lpstr>LCIDs</vt:lpstr>
      <vt:lpstr>LContactGroups</vt:lpstr>
      <vt:lpstr>LDistributions</vt:lpstr>
      <vt:lpstr>LDivisions</vt:lpstr>
      <vt:lpstr>LDSRoles</vt:lpstr>
      <vt:lpstr>LEDOAlgos</vt:lpstr>
      <vt:lpstr>LEnvSource</vt:lpstr>
      <vt:lpstr>LIngestFormat</vt:lpstr>
      <vt:lpstr>LInterfaceTypes</vt:lpstr>
      <vt:lpstr>LOAN_IQ_ALGOCLASS</vt:lpstr>
      <vt:lpstr>LookupContactGroups</vt:lpstr>
      <vt:lpstr>LookupProjects</vt:lpstr>
      <vt:lpstr>LookupRACITasks</vt:lpstr>
      <vt:lpstr>LPeriods</vt:lpstr>
      <vt:lpstr>LProjects</vt:lpstr>
      <vt:lpstr>LRACI</vt:lpstr>
      <vt:lpstr>LRegions</vt:lpstr>
      <vt:lpstr>LRegs</vt:lpstr>
      <vt:lpstr>LSenCategory</vt:lpstr>
      <vt:lpstr>LSenClass</vt:lpstr>
      <vt:lpstr>LSetInterfaceLookup</vt:lpstr>
      <vt:lpstr>LSetMatrix</vt:lpstr>
      <vt:lpstr>LYesNo</vt:lpstr>
      <vt:lpstr>Mappings_and_Configurations</vt:lpstr>
      <vt:lpstr>Market_Data</vt:lpstr>
      <vt:lpstr>Market_Risk</vt:lpstr>
      <vt:lpstr>NEMO_ALGOCLASS</vt:lpstr>
      <vt:lpstr>Operational_Risk</vt:lpstr>
      <vt:lpstr>Party</vt:lpstr>
      <vt:lpstr>PCals</vt:lpstr>
      <vt:lpstr>Positions</vt:lpstr>
      <vt:lpstr>PRISM</vt:lpstr>
      <vt:lpstr>RANDOM</vt:lpstr>
      <vt:lpstr>Rating_and_Watchlist</vt:lpstr>
      <vt:lpstr>REGEX_ALGO_CLASS</vt:lpstr>
      <vt:lpstr>Regulatory___Tax</vt:lpstr>
      <vt:lpstr>Regulatory__Tax</vt:lpstr>
      <vt:lpstr>Research_and_Recommendation</vt:lpstr>
      <vt:lpstr>Risk___Trading_Limits</vt:lpstr>
      <vt:lpstr>Risk__Trading_Limits</vt:lpstr>
      <vt:lpstr>SHUFFLE</vt:lpstr>
      <vt:lpstr>SUB_Countries</vt:lpstr>
      <vt:lpstr>SUBSTITUTION</vt:lpstr>
      <vt:lpstr>Support_Transactions</vt:lpstr>
      <vt:lpstr>Swiss_Universal_Bank</vt:lpstr>
      <vt:lpstr>Trust_Countries</vt:lpstr>
      <vt:lpstr>Valuation_and_Risk_Models</vt:lpstr>
      <vt:lpstr>Valuations_and_P_L</vt:lpstr>
      <vt:lpstr>Valuations_and_PL</vt:lpstr>
      <vt:lpstr>XML_ALGO_CLASS</vt:lpstr>
    </vt:vector>
  </TitlesOfParts>
  <Manager/>
  <Company>Credit Suisse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MM</dc:creator>
  <cp:keywords/>
  <dc:description/>
  <cp:lastModifiedBy>Wolek, Anna (MBDB 22)</cp:lastModifiedBy>
  <cp:revision/>
  <dcterms:created xsi:type="dcterms:W3CDTF">2010-04-23T11:17:44Z</dcterms:created>
  <dcterms:modified xsi:type="dcterms:W3CDTF">2023-03-10T13:13:45Z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IProp12DataClass+304a34c9-5b17-4e2a-bdc3-dec6a43f35e7">
    <vt:lpwstr>v=1.2&gt;I=304a34c9-5b17-4e2a-bdc3-dec6a43f35e7&amp;N=Unrestricted&amp;V=1.3&amp;U=S-1-5-21-3718294971-3193642644-4012788348-700706&amp;D=Maslevskiy%2c+Vitaly+(FXBC)&amp;A=Associated&amp;H=False</vt:lpwstr>
  </property>
  <property fmtid="{D5CDD505-2E9C-101B-9397-08002B2CF9AE}" pid="3" name="Classification">
    <vt:lpwstr>Unrestricted</vt:lpwstr>
  </property>
  <property fmtid="{D5CDD505-2E9C-101B-9397-08002B2CF9AE}" pid="4" name="ContentTypeId">
    <vt:lpwstr>0x01010000CD39A73F93D145A218EE4985D5BD9B</vt:lpwstr>
  </property>
  <property fmtid="{D5CDD505-2E9C-101B-9397-08002B2CF9AE}" pid="5" name="_NewReviewCycle">
    <vt:lpwstr/>
  </property>
  <property fmtid="{D5CDD505-2E9C-101B-9397-08002B2CF9AE}" pid="6" name="Status">
    <vt:lpwstr>In Progress</vt:lpwstr>
  </property>
  <property fmtid="{D5CDD505-2E9C-101B-9397-08002B2CF9AE}" pid="7" name="MSIP_Label_f3732d58-8c18-4bab-8f62-1159a69060e9_Enabled">
    <vt:lpwstr>True</vt:lpwstr>
  </property>
  <property fmtid="{D5CDD505-2E9C-101B-9397-08002B2CF9AE}" pid="8" name="MSIP_Label_f3732d58-8c18-4bab-8f62-1159a69060e9_SiteId">
    <vt:lpwstr>d0df3d96-c065-41c3-8c0b-5dcaa460ec33</vt:lpwstr>
  </property>
  <property fmtid="{D5CDD505-2E9C-101B-9397-08002B2CF9AE}" pid="9" name="MSIP_Label_f3732d58-8c18-4bab-8f62-1159a69060e9_Owner">
    <vt:lpwstr>maria.rusaikin@credit-suisse.com</vt:lpwstr>
  </property>
  <property fmtid="{D5CDD505-2E9C-101B-9397-08002B2CF9AE}" pid="10" name="MSIP_Label_f3732d58-8c18-4bab-8f62-1159a69060e9_SetDate">
    <vt:lpwstr>2022-01-18T15:50:06.9141669Z</vt:lpwstr>
  </property>
  <property fmtid="{D5CDD505-2E9C-101B-9397-08002B2CF9AE}" pid="11" name="MSIP_Label_f3732d58-8c18-4bab-8f62-1159a69060e9_Name">
    <vt:lpwstr>Unrestricted</vt:lpwstr>
  </property>
  <property fmtid="{D5CDD505-2E9C-101B-9397-08002B2CF9AE}" pid="12" name="MSIP_Label_f3732d58-8c18-4bab-8f62-1159a69060e9_Application">
    <vt:lpwstr>Microsoft Azure Information Protection</vt:lpwstr>
  </property>
  <property fmtid="{D5CDD505-2E9C-101B-9397-08002B2CF9AE}" pid="13" name="MSIP_Label_f3732d58-8c18-4bab-8f62-1159a69060e9_ActionId">
    <vt:lpwstr>68cc1295-7f8e-4364-af27-7e13735e3271</vt:lpwstr>
  </property>
  <property fmtid="{D5CDD505-2E9C-101B-9397-08002B2CF9AE}" pid="14" name="MSIP_Label_f3732d58-8c18-4bab-8f62-1159a69060e9_Extended_MSFT_Method">
    <vt:lpwstr>Automatic</vt:lpwstr>
  </property>
  <property fmtid="{D5CDD505-2E9C-101B-9397-08002B2CF9AE}" pid="15" name="Sensitivity">
    <vt:lpwstr>Unrestricted</vt:lpwstr>
  </property>
</Properties>
</file>